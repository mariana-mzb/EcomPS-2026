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namedSheetViews/namedSheetView2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riceshoescorp-my.sharepoint.com/personal/juan_diaz_priceshoes_com/Documents/JCLD/"/>
    </mc:Choice>
  </mc:AlternateContent>
  <xr:revisionPtr revIDLastSave="4063" documentId="8_{2B51DA9B-464D-43C1-B352-B32CCE2013CD}" xr6:coauthVersionLast="47" xr6:coauthVersionMax="47" xr10:uidLastSave="{CD9EC53E-686A-4820-849F-2DEB70C5FE6B}"/>
  <bookViews>
    <workbookView xWindow="-108" yWindow="-108" windowWidth="23256" windowHeight="12456" activeTab="1" xr2:uid="{76945653-6FC6-4C31-A9FC-38C4C8AE764E}"/>
  </bookViews>
  <sheets>
    <sheet name="BD MD" sheetId="2" r:id="rId1"/>
    <sheet name="BD MF" sheetId="6" r:id="rId2"/>
    <sheet name="Dashboard MD" sheetId="4" r:id="rId3"/>
    <sheet name="Dashboard MF" sheetId="7" r:id="rId4"/>
    <sheet name="Hoja1" sheetId="5" r:id="rId5"/>
  </sheets>
  <externalReferences>
    <externalReference r:id="rId6"/>
    <externalReference r:id="rId7"/>
  </externalReferences>
  <definedNames>
    <definedName name="_xlnm._FilterDatabase" localSheetId="0" hidden="1">'BD MD'!$A$3:$A$368</definedName>
    <definedName name="_xlnm._FilterDatabase" localSheetId="1" hidden="1">'BD MF'!$A$3:$A$368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2" i="2" l="1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E2" i="2"/>
  <c r="C2" i="2"/>
  <c r="B2" i="2"/>
  <c r="AV2" i="6"/>
  <c r="AU2" i="6"/>
  <c r="AR2" i="6"/>
  <c r="AQ2" i="6"/>
  <c r="AP2" i="6"/>
  <c r="AO2" i="6"/>
  <c r="AH2" i="6"/>
  <c r="AF2" i="6"/>
  <c r="AE2" i="6"/>
  <c r="AD2" i="6"/>
  <c r="AC2" i="6"/>
  <c r="AB2" i="6"/>
  <c r="AA2" i="6"/>
  <c r="Z2" i="6"/>
  <c r="Y2" i="6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E2" i="6"/>
  <c r="C2" i="6"/>
  <c r="B2" i="6"/>
  <c r="F8" i="4"/>
  <c r="F7" i="4"/>
  <c r="F6" i="4"/>
  <c r="F5" i="4"/>
  <c r="F8" i="7"/>
  <c r="H6" i="7"/>
  <c r="E10" i="7"/>
  <c r="E8" i="7"/>
  <c r="H8" i="7" s="1"/>
  <c r="F7" i="7"/>
  <c r="E7" i="7"/>
  <c r="I7" i="7" s="1"/>
  <c r="M7" i="7" s="1"/>
  <c r="M7" i="4" s="1"/>
  <c r="F6" i="7"/>
  <c r="E6" i="7"/>
  <c r="I6" i="7" s="1"/>
  <c r="M6" i="7" s="1"/>
  <c r="M6" i="4" s="1"/>
  <c r="F5" i="7"/>
  <c r="E5" i="7"/>
  <c r="I5" i="7" s="1"/>
  <c r="M5" i="7" s="1"/>
  <c r="M5" i="4" s="1"/>
  <c r="E1" i="6" l="1"/>
  <c r="H10" i="7" s="1"/>
  <c r="V10" i="7" s="1"/>
  <c r="H5" i="7"/>
  <c r="G8" i="7"/>
  <c r="I8" i="7"/>
  <c r="H7" i="7"/>
  <c r="E10" i="4"/>
  <c r="E8" i="4"/>
  <c r="H8" i="4" s="1"/>
  <c r="I7" i="4"/>
  <c r="E6" i="4"/>
  <c r="H6" i="4" s="1"/>
  <c r="I5" i="4"/>
  <c r="AN62" i="6"/>
  <c r="AN61" i="6"/>
  <c r="AN60" i="6"/>
  <c r="AN59" i="6"/>
  <c r="AN58" i="6"/>
  <c r="AN57" i="6"/>
  <c r="AN56" i="6"/>
  <c r="AN55" i="6"/>
  <c r="AN54" i="6"/>
  <c r="AN53" i="6"/>
  <c r="AN52" i="6"/>
  <c r="AN51" i="6"/>
  <c r="AN50" i="6"/>
  <c r="AN49" i="6"/>
  <c r="AN48" i="6"/>
  <c r="AN47" i="6"/>
  <c r="AN46" i="6"/>
  <c r="AN45" i="6"/>
  <c r="AN44" i="6"/>
  <c r="AN43" i="6"/>
  <c r="AN42" i="6"/>
  <c r="AN41" i="6"/>
  <c r="AN40" i="6"/>
  <c r="AN39" i="6"/>
  <c r="AN38" i="6"/>
  <c r="AN37" i="6"/>
  <c r="AN36" i="6"/>
  <c r="AN35" i="6"/>
  <c r="AN34" i="6"/>
  <c r="AN33" i="6"/>
  <c r="AN32" i="6"/>
  <c r="AN31" i="6"/>
  <c r="AN30" i="6"/>
  <c r="AN29" i="6"/>
  <c r="AN28" i="6"/>
  <c r="AN27" i="6"/>
  <c r="AN26" i="6"/>
  <c r="AN25" i="6"/>
  <c r="AN24" i="6"/>
  <c r="AN23" i="6"/>
  <c r="AN22" i="6"/>
  <c r="AN21" i="6"/>
  <c r="AN20" i="6"/>
  <c r="AN19" i="6"/>
  <c r="AN18" i="6"/>
  <c r="AN17" i="6"/>
  <c r="AN16" i="6"/>
  <c r="AN15" i="6"/>
  <c r="AN14" i="6"/>
  <c r="AN13" i="6"/>
  <c r="AN12" i="6"/>
  <c r="AN11" i="6"/>
  <c r="AN10" i="6"/>
  <c r="AN9" i="6"/>
  <c r="AN8" i="6"/>
  <c r="AN7" i="6"/>
  <c r="AN6" i="6"/>
  <c r="AN5" i="6"/>
  <c r="AN4" i="6"/>
  <c r="AV63" i="6"/>
  <c r="AU63" i="6"/>
  <c r="AR63" i="6"/>
  <c r="AQ63" i="6"/>
  <c r="AV62" i="6"/>
  <c r="AU62" i="6"/>
  <c r="AR62" i="6"/>
  <c r="AX62" i="6" s="1"/>
  <c r="AQ62" i="6"/>
  <c r="AV61" i="6"/>
  <c r="AU61" i="6"/>
  <c r="AR61" i="6"/>
  <c r="AQ61" i="6"/>
  <c r="AV60" i="6"/>
  <c r="AU60" i="6"/>
  <c r="AR60" i="6"/>
  <c r="AQ60" i="6"/>
  <c r="AS60" i="6" s="1"/>
  <c r="AV59" i="6"/>
  <c r="AU59" i="6"/>
  <c r="AR59" i="6"/>
  <c r="AX59" i="6" s="1"/>
  <c r="AQ59" i="6"/>
  <c r="AV58" i="6"/>
  <c r="AU58" i="6"/>
  <c r="AR58" i="6"/>
  <c r="AQ58" i="6"/>
  <c r="AW58" i="6" s="1"/>
  <c r="AV57" i="6"/>
  <c r="AX57" i="6" s="1"/>
  <c r="AU57" i="6"/>
  <c r="AR57" i="6"/>
  <c r="AT57" i="6" s="1"/>
  <c r="AQ57" i="6"/>
  <c r="AW57" i="6" s="1"/>
  <c r="AV56" i="6"/>
  <c r="AU56" i="6"/>
  <c r="AR56" i="6"/>
  <c r="AQ56" i="6"/>
  <c r="AV55" i="6"/>
  <c r="AU55" i="6"/>
  <c r="AR55" i="6"/>
  <c r="AQ55" i="6"/>
  <c r="AV54" i="6"/>
  <c r="AU54" i="6"/>
  <c r="AR54" i="6"/>
  <c r="AQ54" i="6"/>
  <c r="AV53" i="6"/>
  <c r="AU53" i="6"/>
  <c r="AR53" i="6"/>
  <c r="AQ53" i="6"/>
  <c r="AV52" i="6"/>
  <c r="AU52" i="6"/>
  <c r="AR52" i="6"/>
  <c r="AQ52" i="6"/>
  <c r="AV51" i="6"/>
  <c r="AU51" i="6"/>
  <c r="AR51" i="6"/>
  <c r="AQ51" i="6"/>
  <c r="AV50" i="6"/>
  <c r="AU50" i="6"/>
  <c r="AR50" i="6"/>
  <c r="AQ50" i="6"/>
  <c r="AV49" i="6"/>
  <c r="AU49" i="6"/>
  <c r="AR49" i="6"/>
  <c r="AX49" i="6" s="1"/>
  <c r="AQ49" i="6"/>
  <c r="AV48" i="6"/>
  <c r="AU48" i="6"/>
  <c r="AR48" i="6"/>
  <c r="AX48" i="6" s="1"/>
  <c r="AQ48" i="6"/>
  <c r="AV47" i="6"/>
  <c r="AU47" i="6"/>
  <c r="AR47" i="6"/>
  <c r="AQ47" i="6"/>
  <c r="AV46" i="6"/>
  <c r="AU46" i="6"/>
  <c r="AR46" i="6"/>
  <c r="AQ46" i="6"/>
  <c r="AV45" i="6"/>
  <c r="AU45" i="6"/>
  <c r="AR45" i="6"/>
  <c r="AQ45" i="6"/>
  <c r="AV44" i="6"/>
  <c r="AU44" i="6"/>
  <c r="AR44" i="6"/>
  <c r="AQ44" i="6"/>
  <c r="AV43" i="6"/>
  <c r="AU43" i="6"/>
  <c r="AR43" i="6"/>
  <c r="AQ43" i="6"/>
  <c r="AV42" i="6"/>
  <c r="AU42" i="6"/>
  <c r="AW42" i="6" s="1"/>
  <c r="AR42" i="6"/>
  <c r="AQ42" i="6"/>
  <c r="AV41" i="6"/>
  <c r="AU41" i="6"/>
  <c r="AR41" i="6"/>
  <c r="AQ41" i="6"/>
  <c r="AV40" i="6"/>
  <c r="AU40" i="6"/>
  <c r="AR40" i="6"/>
  <c r="AQ40" i="6"/>
  <c r="AV39" i="6"/>
  <c r="AU39" i="6"/>
  <c r="AR39" i="6"/>
  <c r="AQ39" i="6"/>
  <c r="AV38" i="6"/>
  <c r="AU38" i="6"/>
  <c r="AW38" i="6" s="1"/>
  <c r="AR38" i="6"/>
  <c r="AQ38" i="6"/>
  <c r="AV37" i="6"/>
  <c r="AU37" i="6"/>
  <c r="AR37" i="6"/>
  <c r="AQ37" i="6"/>
  <c r="AV36" i="6"/>
  <c r="AU36" i="6"/>
  <c r="AR36" i="6"/>
  <c r="AQ36" i="6"/>
  <c r="AV35" i="6"/>
  <c r="AU35" i="6"/>
  <c r="AR35" i="6"/>
  <c r="AQ35" i="6"/>
  <c r="AV34" i="6"/>
  <c r="AU34" i="6"/>
  <c r="AR34" i="6"/>
  <c r="AQ34" i="6"/>
  <c r="AV33" i="6"/>
  <c r="AU33" i="6"/>
  <c r="AR33" i="6"/>
  <c r="AX33" i="6" s="1"/>
  <c r="AQ33" i="6"/>
  <c r="AV32" i="6"/>
  <c r="AU32" i="6"/>
  <c r="AR32" i="6"/>
  <c r="AQ32" i="6"/>
  <c r="AV31" i="6"/>
  <c r="AU31" i="6"/>
  <c r="AR31" i="6"/>
  <c r="AQ31" i="6"/>
  <c r="AV30" i="6"/>
  <c r="AU30" i="6"/>
  <c r="AR30" i="6"/>
  <c r="AQ30" i="6"/>
  <c r="AS30" i="6" s="1"/>
  <c r="AV29" i="6"/>
  <c r="AU29" i="6"/>
  <c r="AR29" i="6"/>
  <c r="AQ29" i="6"/>
  <c r="AV28" i="6"/>
  <c r="AU28" i="6"/>
  <c r="AR28" i="6"/>
  <c r="AQ28" i="6"/>
  <c r="AV27" i="6"/>
  <c r="AU27" i="6"/>
  <c r="AR27" i="6"/>
  <c r="AQ27" i="6"/>
  <c r="AV26" i="6"/>
  <c r="AU26" i="6"/>
  <c r="AR26" i="6"/>
  <c r="AQ26" i="6"/>
  <c r="AV25" i="6"/>
  <c r="AU25" i="6"/>
  <c r="AR25" i="6"/>
  <c r="AT25" i="6" s="1"/>
  <c r="AQ25" i="6"/>
  <c r="AV24" i="6"/>
  <c r="AU24" i="6"/>
  <c r="AR24" i="6"/>
  <c r="AQ24" i="6"/>
  <c r="AV23" i="6"/>
  <c r="AU23" i="6"/>
  <c r="AR23" i="6"/>
  <c r="AQ23" i="6"/>
  <c r="AV22" i="6"/>
  <c r="AU22" i="6"/>
  <c r="AR22" i="6"/>
  <c r="AX22" i="6" s="1"/>
  <c r="AQ22" i="6"/>
  <c r="AV21" i="6"/>
  <c r="AU21" i="6"/>
  <c r="AR21" i="6"/>
  <c r="AQ21" i="6"/>
  <c r="AV20" i="6"/>
  <c r="AU20" i="6"/>
  <c r="AR20" i="6"/>
  <c r="AQ20" i="6"/>
  <c r="AV19" i="6"/>
  <c r="AU19" i="6"/>
  <c r="AR19" i="6"/>
  <c r="AQ19" i="6"/>
  <c r="AV18" i="6"/>
  <c r="AU18" i="6"/>
  <c r="AR18" i="6"/>
  <c r="AX18" i="6" s="1"/>
  <c r="AQ18" i="6"/>
  <c r="AV17" i="6"/>
  <c r="AU17" i="6"/>
  <c r="AR17" i="6"/>
  <c r="AQ17" i="6"/>
  <c r="AV16" i="6"/>
  <c r="AU16" i="6"/>
  <c r="AR16" i="6"/>
  <c r="AQ16" i="6"/>
  <c r="AV15" i="6"/>
  <c r="AU15" i="6"/>
  <c r="AR15" i="6"/>
  <c r="AQ15" i="6"/>
  <c r="AV14" i="6"/>
  <c r="AU14" i="6"/>
  <c r="AR14" i="6"/>
  <c r="AQ14" i="6"/>
  <c r="AV13" i="6"/>
  <c r="AU13" i="6"/>
  <c r="AR13" i="6"/>
  <c r="AQ13" i="6"/>
  <c r="AV12" i="6"/>
  <c r="AU12" i="6"/>
  <c r="AR12" i="6"/>
  <c r="AQ12" i="6"/>
  <c r="AV11" i="6"/>
  <c r="AU11" i="6"/>
  <c r="AR11" i="6"/>
  <c r="AQ11" i="6"/>
  <c r="AV10" i="6"/>
  <c r="AU10" i="6"/>
  <c r="AR10" i="6"/>
  <c r="AX10" i="6" s="1"/>
  <c r="AQ10" i="6"/>
  <c r="AV9" i="6"/>
  <c r="AU9" i="6"/>
  <c r="AR9" i="6"/>
  <c r="AQ9" i="6"/>
  <c r="AV8" i="6"/>
  <c r="AU8" i="6"/>
  <c r="AR8" i="6"/>
  <c r="AQ8" i="6"/>
  <c r="AV7" i="6"/>
  <c r="AU7" i="6"/>
  <c r="AR7" i="6"/>
  <c r="AX7" i="6" s="1"/>
  <c r="AQ7" i="6"/>
  <c r="AV6" i="6"/>
  <c r="AU6" i="6"/>
  <c r="AR6" i="6"/>
  <c r="AX6" i="6" s="1"/>
  <c r="AQ6" i="6"/>
  <c r="AV5" i="6"/>
  <c r="AU5" i="6"/>
  <c r="AR5" i="6"/>
  <c r="AQ5" i="6"/>
  <c r="AV4" i="6"/>
  <c r="AU4" i="6"/>
  <c r="AR4" i="6"/>
  <c r="AQ4" i="6"/>
  <c r="G368" i="6"/>
  <c r="G367" i="6"/>
  <c r="G366" i="6"/>
  <c r="G365" i="6"/>
  <c r="G364" i="6"/>
  <c r="G363" i="6"/>
  <c r="G362" i="6"/>
  <c r="G361" i="6"/>
  <c r="G360" i="6"/>
  <c r="G359" i="6"/>
  <c r="G358" i="6"/>
  <c r="G357" i="6"/>
  <c r="G356" i="6"/>
  <c r="G355" i="6"/>
  <c r="G354" i="6"/>
  <c r="G353" i="6"/>
  <c r="G352" i="6"/>
  <c r="G351" i="6"/>
  <c r="G350" i="6"/>
  <c r="G349" i="6"/>
  <c r="G348" i="6"/>
  <c r="G347" i="6"/>
  <c r="G346" i="6"/>
  <c r="G345" i="6"/>
  <c r="G344" i="6"/>
  <c r="G343" i="6"/>
  <c r="G342" i="6"/>
  <c r="G341" i="6"/>
  <c r="G340" i="6"/>
  <c r="G339" i="6"/>
  <c r="G338" i="6"/>
  <c r="G337" i="6"/>
  <c r="G336" i="6"/>
  <c r="G335" i="6"/>
  <c r="G334" i="6"/>
  <c r="G333" i="6"/>
  <c r="G332" i="6"/>
  <c r="G331" i="6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G4" i="6"/>
  <c r="I368" i="6"/>
  <c r="I367" i="6"/>
  <c r="I366" i="6"/>
  <c r="I365" i="6"/>
  <c r="I364" i="6"/>
  <c r="I363" i="6"/>
  <c r="I362" i="6"/>
  <c r="I361" i="6"/>
  <c r="I360" i="6"/>
  <c r="I359" i="6"/>
  <c r="I358" i="6"/>
  <c r="I357" i="6"/>
  <c r="I356" i="6"/>
  <c r="I355" i="6"/>
  <c r="I354" i="6"/>
  <c r="I353" i="6"/>
  <c r="I352" i="6"/>
  <c r="I351" i="6"/>
  <c r="I350" i="6"/>
  <c r="I349" i="6"/>
  <c r="I348" i="6"/>
  <c r="I347" i="6"/>
  <c r="I346" i="6"/>
  <c r="I345" i="6"/>
  <c r="I344" i="6"/>
  <c r="I343" i="6"/>
  <c r="I342" i="6"/>
  <c r="I341" i="6"/>
  <c r="I340" i="6"/>
  <c r="I339" i="6"/>
  <c r="I338" i="6"/>
  <c r="I337" i="6"/>
  <c r="I336" i="6"/>
  <c r="I335" i="6"/>
  <c r="I334" i="6"/>
  <c r="I333" i="6"/>
  <c r="I332" i="6"/>
  <c r="I331" i="6"/>
  <c r="I330" i="6"/>
  <c r="I329" i="6"/>
  <c r="I328" i="6"/>
  <c r="I327" i="6"/>
  <c r="I326" i="6"/>
  <c r="I325" i="6"/>
  <c r="I324" i="6"/>
  <c r="I323" i="6"/>
  <c r="I322" i="6"/>
  <c r="I321" i="6"/>
  <c r="I320" i="6"/>
  <c r="I319" i="6"/>
  <c r="I318" i="6"/>
  <c r="I317" i="6"/>
  <c r="I316" i="6"/>
  <c r="I315" i="6"/>
  <c r="I314" i="6"/>
  <c r="I313" i="6"/>
  <c r="I312" i="6"/>
  <c r="I311" i="6"/>
  <c r="I310" i="6"/>
  <c r="I309" i="6"/>
  <c r="I308" i="6"/>
  <c r="I307" i="6"/>
  <c r="I306" i="6"/>
  <c r="I305" i="6"/>
  <c r="I304" i="6"/>
  <c r="I303" i="6"/>
  <c r="I302" i="6"/>
  <c r="I301" i="6"/>
  <c r="I300" i="6"/>
  <c r="I299" i="6"/>
  <c r="I298" i="6"/>
  <c r="I297" i="6"/>
  <c r="I296" i="6"/>
  <c r="I295" i="6"/>
  <c r="I294" i="6"/>
  <c r="I293" i="6"/>
  <c r="I292" i="6"/>
  <c r="I291" i="6"/>
  <c r="I290" i="6"/>
  <c r="I289" i="6"/>
  <c r="I288" i="6"/>
  <c r="I287" i="6"/>
  <c r="I286" i="6"/>
  <c r="I285" i="6"/>
  <c r="I284" i="6"/>
  <c r="I283" i="6"/>
  <c r="I282" i="6"/>
  <c r="I281" i="6"/>
  <c r="I280" i="6"/>
  <c r="I279" i="6"/>
  <c r="I278" i="6"/>
  <c r="I277" i="6"/>
  <c r="I276" i="6"/>
  <c r="I275" i="6"/>
  <c r="I274" i="6"/>
  <c r="I273" i="6"/>
  <c r="I272" i="6"/>
  <c r="I271" i="6"/>
  <c r="I270" i="6"/>
  <c r="I269" i="6"/>
  <c r="I268" i="6"/>
  <c r="I267" i="6"/>
  <c r="I266" i="6"/>
  <c r="I265" i="6"/>
  <c r="I264" i="6"/>
  <c r="I263" i="6"/>
  <c r="I262" i="6"/>
  <c r="I261" i="6"/>
  <c r="I260" i="6"/>
  <c r="I259" i="6"/>
  <c r="I258" i="6"/>
  <c r="I257" i="6"/>
  <c r="I256" i="6"/>
  <c r="I255" i="6"/>
  <c r="I254" i="6"/>
  <c r="I253" i="6"/>
  <c r="I252" i="6"/>
  <c r="I251" i="6"/>
  <c r="I250" i="6"/>
  <c r="I249" i="6"/>
  <c r="I248" i="6"/>
  <c r="I247" i="6"/>
  <c r="I246" i="6"/>
  <c r="I245" i="6"/>
  <c r="I244" i="6"/>
  <c r="I243" i="6"/>
  <c r="I242" i="6"/>
  <c r="I241" i="6"/>
  <c r="I240" i="6"/>
  <c r="I239" i="6"/>
  <c r="I238" i="6"/>
  <c r="I237" i="6"/>
  <c r="I236" i="6"/>
  <c r="I235" i="6"/>
  <c r="I234" i="6"/>
  <c r="I233" i="6"/>
  <c r="I232" i="6"/>
  <c r="I231" i="6"/>
  <c r="I230" i="6"/>
  <c r="I229" i="6"/>
  <c r="I228" i="6"/>
  <c r="I227" i="6"/>
  <c r="I226" i="6"/>
  <c r="I225" i="6"/>
  <c r="I224" i="6"/>
  <c r="I223" i="6"/>
  <c r="I222" i="6"/>
  <c r="I221" i="6"/>
  <c r="I220" i="6"/>
  <c r="I219" i="6"/>
  <c r="I218" i="6"/>
  <c r="I217" i="6"/>
  <c r="I216" i="6"/>
  <c r="I215" i="6"/>
  <c r="I214" i="6"/>
  <c r="I213" i="6"/>
  <c r="I212" i="6"/>
  <c r="I211" i="6"/>
  <c r="I210" i="6"/>
  <c r="I209" i="6"/>
  <c r="I208" i="6"/>
  <c r="I207" i="6"/>
  <c r="I206" i="6"/>
  <c r="I205" i="6"/>
  <c r="I204" i="6"/>
  <c r="I203" i="6"/>
  <c r="I202" i="6"/>
  <c r="I201" i="6"/>
  <c r="I200" i="6"/>
  <c r="I199" i="6"/>
  <c r="I198" i="6"/>
  <c r="I197" i="6"/>
  <c r="I196" i="6"/>
  <c r="I195" i="6"/>
  <c r="I194" i="6"/>
  <c r="I193" i="6"/>
  <c r="I192" i="6"/>
  <c r="I191" i="6"/>
  <c r="I190" i="6"/>
  <c r="I189" i="6"/>
  <c r="I188" i="6"/>
  <c r="I187" i="6"/>
  <c r="I186" i="6"/>
  <c r="I185" i="6"/>
  <c r="I184" i="6"/>
  <c r="I183" i="6"/>
  <c r="I182" i="6"/>
  <c r="I181" i="6"/>
  <c r="I180" i="6"/>
  <c r="I179" i="6"/>
  <c r="I178" i="6"/>
  <c r="I177" i="6"/>
  <c r="I176" i="6"/>
  <c r="I175" i="6"/>
  <c r="I174" i="6"/>
  <c r="I173" i="6"/>
  <c r="I172" i="6"/>
  <c r="I171" i="6"/>
  <c r="I170" i="6"/>
  <c r="I169" i="6"/>
  <c r="I168" i="6"/>
  <c r="I167" i="6"/>
  <c r="I166" i="6"/>
  <c r="I165" i="6"/>
  <c r="I164" i="6"/>
  <c r="I163" i="6"/>
  <c r="I162" i="6"/>
  <c r="I161" i="6"/>
  <c r="I160" i="6"/>
  <c r="I159" i="6"/>
  <c r="I158" i="6"/>
  <c r="I157" i="6"/>
  <c r="I156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1" i="6"/>
  <c r="I140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4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1" i="6"/>
  <c r="I110" i="6"/>
  <c r="I109" i="6"/>
  <c r="I108" i="6"/>
  <c r="I107" i="6"/>
  <c r="I106" i="6"/>
  <c r="I105" i="6"/>
  <c r="I104" i="6"/>
  <c r="I103" i="6"/>
  <c r="I102" i="6"/>
  <c r="I101" i="6"/>
  <c r="I100" i="6"/>
  <c r="I99" i="6"/>
  <c r="I98" i="6"/>
  <c r="I97" i="6"/>
  <c r="I96" i="6"/>
  <c r="I95" i="6"/>
  <c r="I94" i="6"/>
  <c r="I93" i="6"/>
  <c r="I92" i="6"/>
  <c r="I91" i="6"/>
  <c r="I90" i="6"/>
  <c r="AV90" i="6" s="1"/>
  <c r="I89" i="6"/>
  <c r="AV89" i="6" s="1"/>
  <c r="I88" i="6"/>
  <c r="I87" i="6"/>
  <c r="I86" i="6"/>
  <c r="I85" i="6"/>
  <c r="I84" i="6"/>
  <c r="I83" i="6"/>
  <c r="I82" i="6"/>
  <c r="I81" i="6"/>
  <c r="I80" i="6"/>
  <c r="I79" i="6"/>
  <c r="I78" i="6"/>
  <c r="I77" i="6"/>
  <c r="I76" i="6"/>
  <c r="I75" i="6"/>
  <c r="I74" i="6"/>
  <c r="I73" i="6"/>
  <c r="AV73" i="6" s="1"/>
  <c r="I72" i="6"/>
  <c r="I71" i="6"/>
  <c r="I70" i="6"/>
  <c r="I69" i="6"/>
  <c r="I68" i="6"/>
  <c r="I67" i="6"/>
  <c r="I66" i="6"/>
  <c r="I65" i="6"/>
  <c r="AV65" i="6" s="1"/>
  <c r="I64" i="6"/>
  <c r="I63" i="6"/>
  <c r="I62" i="6"/>
  <c r="I61" i="6"/>
  <c r="I60" i="6"/>
  <c r="I59" i="6"/>
  <c r="I58" i="6"/>
  <c r="I57" i="6"/>
  <c r="I56" i="6"/>
  <c r="I55" i="6"/>
  <c r="I54" i="6"/>
  <c r="I53" i="6"/>
  <c r="I52" i="6"/>
  <c r="I51" i="6"/>
  <c r="I50" i="6"/>
  <c r="I49" i="6"/>
  <c r="I48" i="6"/>
  <c r="I47" i="6"/>
  <c r="I46" i="6"/>
  <c r="I45" i="6"/>
  <c r="I44" i="6"/>
  <c r="I43" i="6"/>
  <c r="I42" i="6"/>
  <c r="I41" i="6"/>
  <c r="I40" i="6"/>
  <c r="I39" i="6"/>
  <c r="I38" i="6"/>
  <c r="I37" i="6"/>
  <c r="I36" i="6"/>
  <c r="I35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H368" i="6"/>
  <c r="H367" i="6"/>
  <c r="H366" i="6"/>
  <c r="H365" i="6"/>
  <c r="H364" i="6"/>
  <c r="H363" i="6"/>
  <c r="H362" i="6"/>
  <c r="H361" i="6"/>
  <c r="H360" i="6"/>
  <c r="H359" i="6"/>
  <c r="H358" i="6"/>
  <c r="H357" i="6"/>
  <c r="H356" i="6"/>
  <c r="H355" i="6"/>
  <c r="H354" i="6"/>
  <c r="H353" i="6"/>
  <c r="H352" i="6"/>
  <c r="H351" i="6"/>
  <c r="H350" i="6"/>
  <c r="H349" i="6"/>
  <c r="H348" i="6"/>
  <c r="H347" i="6"/>
  <c r="H346" i="6"/>
  <c r="H345" i="6"/>
  <c r="H344" i="6"/>
  <c r="H343" i="6"/>
  <c r="H342" i="6"/>
  <c r="H341" i="6"/>
  <c r="H340" i="6"/>
  <c r="H339" i="6"/>
  <c r="H338" i="6"/>
  <c r="H337" i="6"/>
  <c r="H336" i="6"/>
  <c r="H335" i="6"/>
  <c r="H334" i="6"/>
  <c r="H333" i="6"/>
  <c r="H332" i="6"/>
  <c r="H331" i="6"/>
  <c r="H330" i="6"/>
  <c r="H329" i="6"/>
  <c r="H328" i="6"/>
  <c r="H327" i="6"/>
  <c r="H326" i="6"/>
  <c r="H325" i="6"/>
  <c r="H324" i="6"/>
  <c r="H323" i="6"/>
  <c r="H322" i="6"/>
  <c r="H321" i="6"/>
  <c r="H320" i="6"/>
  <c r="H319" i="6"/>
  <c r="H318" i="6"/>
  <c r="H317" i="6"/>
  <c r="H316" i="6"/>
  <c r="H315" i="6"/>
  <c r="H314" i="6"/>
  <c r="H313" i="6"/>
  <c r="H312" i="6"/>
  <c r="H311" i="6"/>
  <c r="H310" i="6"/>
  <c r="H309" i="6"/>
  <c r="H308" i="6"/>
  <c r="H246" i="6"/>
  <c r="H245" i="6"/>
  <c r="H244" i="6"/>
  <c r="H243" i="6"/>
  <c r="H242" i="6"/>
  <c r="H241" i="6"/>
  <c r="H240" i="6"/>
  <c r="H239" i="6"/>
  <c r="H238" i="6"/>
  <c r="H237" i="6"/>
  <c r="H236" i="6"/>
  <c r="H235" i="6"/>
  <c r="H234" i="6"/>
  <c r="H233" i="6"/>
  <c r="H232" i="6"/>
  <c r="H231" i="6"/>
  <c r="H230" i="6"/>
  <c r="H229" i="6"/>
  <c r="H228" i="6"/>
  <c r="H227" i="6"/>
  <c r="H226" i="6"/>
  <c r="H225" i="6"/>
  <c r="H224" i="6"/>
  <c r="H223" i="6"/>
  <c r="H222" i="6"/>
  <c r="H221" i="6"/>
  <c r="H220" i="6"/>
  <c r="H219" i="6"/>
  <c r="H218" i="6"/>
  <c r="H217" i="6"/>
  <c r="H216" i="6"/>
  <c r="H215" i="6"/>
  <c r="H214" i="6"/>
  <c r="H213" i="6"/>
  <c r="H212" i="6"/>
  <c r="H211" i="6"/>
  <c r="H210" i="6"/>
  <c r="H209" i="6"/>
  <c r="H208" i="6"/>
  <c r="H207" i="6"/>
  <c r="H206" i="6"/>
  <c r="H205" i="6"/>
  <c r="H204" i="6"/>
  <c r="H203" i="6"/>
  <c r="H202" i="6"/>
  <c r="H201" i="6"/>
  <c r="H200" i="6"/>
  <c r="H199" i="6"/>
  <c r="H198" i="6"/>
  <c r="H197" i="6"/>
  <c r="H196" i="6"/>
  <c r="H195" i="6"/>
  <c r="H194" i="6"/>
  <c r="H193" i="6"/>
  <c r="H192" i="6"/>
  <c r="H191" i="6"/>
  <c r="H190" i="6"/>
  <c r="H189" i="6"/>
  <c r="H188" i="6"/>
  <c r="H187" i="6"/>
  <c r="H186" i="6"/>
  <c r="H185" i="6"/>
  <c r="H184" i="6"/>
  <c r="H183" i="6"/>
  <c r="H182" i="6"/>
  <c r="H181" i="6"/>
  <c r="H180" i="6"/>
  <c r="H179" i="6"/>
  <c r="H178" i="6"/>
  <c r="H177" i="6"/>
  <c r="H176" i="6"/>
  <c r="H175" i="6"/>
  <c r="H174" i="6"/>
  <c r="H173" i="6"/>
  <c r="H172" i="6"/>
  <c r="H171" i="6"/>
  <c r="H170" i="6"/>
  <c r="H169" i="6"/>
  <c r="H168" i="6"/>
  <c r="H167" i="6"/>
  <c r="H166" i="6"/>
  <c r="H165" i="6"/>
  <c r="H164" i="6"/>
  <c r="H163" i="6"/>
  <c r="H162" i="6"/>
  <c r="H161" i="6"/>
  <c r="H160" i="6"/>
  <c r="H159" i="6"/>
  <c r="H158" i="6"/>
  <c r="H157" i="6"/>
  <c r="H156" i="6"/>
  <c r="H155" i="6"/>
  <c r="H154" i="6"/>
  <c r="H153" i="6"/>
  <c r="H152" i="6"/>
  <c r="H151" i="6"/>
  <c r="H150" i="6"/>
  <c r="H149" i="6"/>
  <c r="H148" i="6"/>
  <c r="H147" i="6"/>
  <c r="H146" i="6"/>
  <c r="H145" i="6"/>
  <c r="H144" i="6"/>
  <c r="H143" i="6"/>
  <c r="H142" i="6"/>
  <c r="H141" i="6"/>
  <c r="H140" i="6"/>
  <c r="H139" i="6"/>
  <c r="H138" i="6"/>
  <c r="H137" i="6"/>
  <c r="H136" i="6"/>
  <c r="H135" i="6"/>
  <c r="H134" i="6"/>
  <c r="H133" i="6"/>
  <c r="H132" i="6"/>
  <c r="H131" i="6"/>
  <c r="H130" i="6"/>
  <c r="H129" i="6"/>
  <c r="H128" i="6"/>
  <c r="H127" i="6"/>
  <c r="H126" i="6"/>
  <c r="H125" i="6"/>
  <c r="H124" i="6"/>
  <c r="H123" i="6"/>
  <c r="H122" i="6"/>
  <c r="H121" i="6"/>
  <c r="H120" i="6"/>
  <c r="H119" i="6"/>
  <c r="H118" i="6"/>
  <c r="H117" i="6"/>
  <c r="H116" i="6"/>
  <c r="H115" i="6"/>
  <c r="H114" i="6"/>
  <c r="H113" i="6"/>
  <c r="H112" i="6"/>
  <c r="H111" i="6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9" i="6"/>
  <c r="H88" i="6"/>
  <c r="H87" i="6"/>
  <c r="H86" i="6"/>
  <c r="H85" i="6"/>
  <c r="H84" i="6"/>
  <c r="H83" i="6"/>
  <c r="H82" i="6"/>
  <c r="H81" i="6"/>
  <c r="H80" i="6"/>
  <c r="H79" i="6"/>
  <c r="H78" i="6"/>
  <c r="H77" i="6"/>
  <c r="H76" i="6"/>
  <c r="H75" i="6"/>
  <c r="H74" i="6"/>
  <c r="H73" i="6"/>
  <c r="H72" i="6"/>
  <c r="H71" i="6"/>
  <c r="H70" i="6"/>
  <c r="H69" i="6"/>
  <c r="H68" i="6"/>
  <c r="H67" i="6"/>
  <c r="H66" i="6"/>
  <c r="H65" i="6"/>
  <c r="H64" i="6"/>
  <c r="H63" i="6"/>
  <c r="H62" i="6"/>
  <c r="H61" i="6"/>
  <c r="H60" i="6"/>
  <c r="H59" i="6"/>
  <c r="H58" i="6"/>
  <c r="H57" i="6"/>
  <c r="H56" i="6"/>
  <c r="H55" i="6"/>
  <c r="H54" i="6"/>
  <c r="H53" i="6"/>
  <c r="H52" i="6"/>
  <c r="H51" i="6"/>
  <c r="H50" i="6"/>
  <c r="H49" i="6"/>
  <c r="H48" i="6"/>
  <c r="H47" i="6"/>
  <c r="H46" i="6"/>
  <c r="H45" i="6"/>
  <c r="H44" i="6"/>
  <c r="H43" i="6"/>
  <c r="H42" i="6"/>
  <c r="H41" i="6"/>
  <c r="H40" i="6"/>
  <c r="H39" i="6"/>
  <c r="H38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4" i="6"/>
  <c r="G58" i="2"/>
  <c r="G55" i="2"/>
  <c r="G50" i="2"/>
  <c r="G47" i="2"/>
  <c r="G42" i="2"/>
  <c r="G39" i="2"/>
  <c r="G28" i="2"/>
  <c r="G27" i="2"/>
  <c r="G22" i="2"/>
  <c r="G20" i="2"/>
  <c r="G19" i="2"/>
  <c r="G14" i="2"/>
  <c r="G6" i="2"/>
  <c r="G30" i="2"/>
  <c r="G12" i="2"/>
  <c r="G11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50" i="2"/>
  <c r="G149" i="2"/>
  <c r="G148" i="2"/>
  <c r="G147" i="2"/>
  <c r="G146" i="2"/>
  <c r="G145" i="2"/>
  <c r="G144" i="2"/>
  <c r="G143" i="2"/>
  <c r="G142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G92" i="2"/>
  <c r="G91" i="2"/>
  <c r="G90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G73" i="2"/>
  <c r="G72" i="2"/>
  <c r="G71" i="2"/>
  <c r="G70" i="2"/>
  <c r="G69" i="2"/>
  <c r="G68" i="2"/>
  <c r="G67" i="2"/>
  <c r="G66" i="2"/>
  <c r="G65" i="2"/>
  <c r="G64" i="2"/>
  <c r="G63" i="2"/>
  <c r="G62" i="2"/>
  <c r="G61" i="2"/>
  <c r="G60" i="2"/>
  <c r="G59" i="2"/>
  <c r="G57" i="2"/>
  <c r="G56" i="2"/>
  <c r="G54" i="2"/>
  <c r="G53" i="2"/>
  <c r="G52" i="2"/>
  <c r="G51" i="2"/>
  <c r="G49" i="2"/>
  <c r="G48" i="2"/>
  <c r="G46" i="2"/>
  <c r="G45" i="2"/>
  <c r="G44" i="2"/>
  <c r="G43" i="2"/>
  <c r="G41" i="2"/>
  <c r="G40" i="2"/>
  <c r="G38" i="2"/>
  <c r="G37" i="2"/>
  <c r="G36" i="2"/>
  <c r="G35" i="2"/>
  <c r="G34" i="2"/>
  <c r="G33" i="2"/>
  <c r="G32" i="2"/>
  <c r="G31" i="2"/>
  <c r="G29" i="2"/>
  <c r="G26" i="2"/>
  <c r="G25" i="2"/>
  <c r="G24" i="2"/>
  <c r="G23" i="2"/>
  <c r="G21" i="2"/>
  <c r="G18" i="2"/>
  <c r="G17" i="2"/>
  <c r="G16" i="2"/>
  <c r="G15" i="2"/>
  <c r="G13" i="2"/>
  <c r="G10" i="2"/>
  <c r="G9" i="2"/>
  <c r="G8" i="2"/>
  <c r="G7" i="2"/>
  <c r="G5" i="2"/>
  <c r="G4" i="2"/>
  <c r="AN93" i="6"/>
  <c r="AN92" i="6"/>
  <c r="AN91" i="6"/>
  <c r="AN90" i="6"/>
  <c r="AN89" i="6"/>
  <c r="AN88" i="6"/>
  <c r="AN87" i="6"/>
  <c r="AN86" i="6"/>
  <c r="AN85" i="6"/>
  <c r="AN84" i="6"/>
  <c r="AN83" i="6"/>
  <c r="AN82" i="6"/>
  <c r="AN81" i="6"/>
  <c r="AN80" i="6"/>
  <c r="AN79" i="6"/>
  <c r="AN78" i="6"/>
  <c r="AN77" i="6"/>
  <c r="AN76" i="6"/>
  <c r="AN75" i="6"/>
  <c r="AN74" i="6"/>
  <c r="AN73" i="6"/>
  <c r="AN72" i="6"/>
  <c r="AN71" i="6"/>
  <c r="AN70" i="6"/>
  <c r="AN69" i="6"/>
  <c r="AN68" i="6"/>
  <c r="AN67" i="6"/>
  <c r="AN66" i="6"/>
  <c r="AN65" i="6"/>
  <c r="AN64" i="6"/>
  <c r="AN63" i="6"/>
  <c r="AV93" i="6"/>
  <c r="AV92" i="6"/>
  <c r="AV91" i="6"/>
  <c r="AV88" i="6"/>
  <c r="AV87" i="6"/>
  <c r="AV86" i="6"/>
  <c r="AV85" i="6"/>
  <c r="AV84" i="6"/>
  <c r="AV83" i="6"/>
  <c r="AV82" i="6"/>
  <c r="AV81" i="6"/>
  <c r="AV80" i="6"/>
  <c r="AV79" i="6"/>
  <c r="AV78" i="6"/>
  <c r="AV77" i="6"/>
  <c r="AV76" i="6"/>
  <c r="AV75" i="6"/>
  <c r="AV74" i="6"/>
  <c r="AV72" i="6"/>
  <c r="AV71" i="6"/>
  <c r="AV70" i="6"/>
  <c r="AV69" i="6"/>
  <c r="AV68" i="6"/>
  <c r="AV67" i="6"/>
  <c r="AV66" i="6"/>
  <c r="AV64" i="6"/>
  <c r="AR93" i="6"/>
  <c r="AR92" i="6"/>
  <c r="AR91" i="6"/>
  <c r="AR90" i="6"/>
  <c r="AR89" i="6"/>
  <c r="AR88" i="6"/>
  <c r="AR87" i="6"/>
  <c r="AR86" i="6"/>
  <c r="AR85" i="6"/>
  <c r="AR84" i="6"/>
  <c r="AR83" i="6"/>
  <c r="AR82" i="6"/>
  <c r="AR80" i="6"/>
  <c r="AR79" i="6"/>
  <c r="AR78" i="6"/>
  <c r="AR77" i="6"/>
  <c r="AR76" i="6"/>
  <c r="AX76" i="6" s="1"/>
  <c r="AR75" i="6"/>
  <c r="AR74" i="6"/>
  <c r="AR73" i="6"/>
  <c r="AR72" i="6"/>
  <c r="AR71" i="6"/>
  <c r="AR70" i="6"/>
  <c r="AR69" i="6"/>
  <c r="AR68" i="6"/>
  <c r="AR67" i="6"/>
  <c r="AR66" i="6"/>
  <c r="AR65" i="6"/>
  <c r="AR64" i="6"/>
  <c r="AQ93" i="6"/>
  <c r="AQ92" i="6"/>
  <c r="AQ91" i="6"/>
  <c r="AQ90" i="6"/>
  <c r="AQ89" i="6"/>
  <c r="AQ88" i="6"/>
  <c r="AQ87" i="6"/>
  <c r="AQ86" i="6"/>
  <c r="AQ85" i="6"/>
  <c r="AQ84" i="6"/>
  <c r="AQ83" i="6"/>
  <c r="AQ82" i="6"/>
  <c r="AQ80" i="6"/>
  <c r="AQ79" i="6"/>
  <c r="AQ78" i="6"/>
  <c r="AQ72" i="6"/>
  <c r="AQ69" i="6"/>
  <c r="AQ68" i="6"/>
  <c r="AQ66" i="6"/>
  <c r="AQ64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368" i="6"/>
  <c r="AO368" i="6"/>
  <c r="AP367" i="6"/>
  <c r="AO367" i="6"/>
  <c r="AP366" i="6"/>
  <c r="AO366" i="6"/>
  <c r="AP365" i="6"/>
  <c r="AO365" i="6"/>
  <c r="AP364" i="6"/>
  <c r="AO364" i="6"/>
  <c r="AP363" i="6"/>
  <c r="AO363" i="6"/>
  <c r="AP362" i="6"/>
  <c r="AO362" i="6"/>
  <c r="AP361" i="6"/>
  <c r="AO361" i="6"/>
  <c r="AP360" i="6"/>
  <c r="AO360" i="6"/>
  <c r="AP359" i="6"/>
  <c r="AO359" i="6"/>
  <c r="AP358" i="6"/>
  <c r="AO358" i="6"/>
  <c r="AP357" i="6"/>
  <c r="AO357" i="6"/>
  <c r="AP356" i="6"/>
  <c r="AO356" i="6"/>
  <c r="AP355" i="6"/>
  <c r="AO355" i="6"/>
  <c r="AP354" i="6"/>
  <c r="AO354" i="6"/>
  <c r="AP353" i="6"/>
  <c r="AO353" i="6"/>
  <c r="AP352" i="6"/>
  <c r="AO352" i="6"/>
  <c r="AP351" i="6"/>
  <c r="AO351" i="6"/>
  <c r="AP350" i="6"/>
  <c r="AO350" i="6"/>
  <c r="AP349" i="6"/>
  <c r="AO349" i="6"/>
  <c r="AP348" i="6"/>
  <c r="AO348" i="6"/>
  <c r="AP347" i="6"/>
  <c r="AO347" i="6"/>
  <c r="AP346" i="6"/>
  <c r="AO346" i="6"/>
  <c r="AP345" i="6"/>
  <c r="AO345" i="6"/>
  <c r="AP344" i="6"/>
  <c r="AO344" i="6"/>
  <c r="AP343" i="6"/>
  <c r="AO343" i="6"/>
  <c r="AP342" i="6"/>
  <c r="AO342" i="6"/>
  <c r="AP341" i="6"/>
  <c r="AO341" i="6"/>
  <c r="AP340" i="6"/>
  <c r="AO340" i="6"/>
  <c r="AP339" i="6"/>
  <c r="AO339" i="6"/>
  <c r="AP338" i="6"/>
  <c r="AO338" i="6"/>
  <c r="AP337" i="6"/>
  <c r="AO337" i="6"/>
  <c r="AP336" i="6"/>
  <c r="AO336" i="6"/>
  <c r="AP335" i="6"/>
  <c r="AO335" i="6"/>
  <c r="AP334" i="6"/>
  <c r="AO334" i="6"/>
  <c r="AP333" i="6"/>
  <c r="AO333" i="6"/>
  <c r="AP332" i="6"/>
  <c r="AO332" i="6"/>
  <c r="AP331" i="6"/>
  <c r="AO331" i="6"/>
  <c r="AP330" i="6"/>
  <c r="AO330" i="6"/>
  <c r="AP329" i="6"/>
  <c r="AO329" i="6"/>
  <c r="AP328" i="6"/>
  <c r="AO328" i="6"/>
  <c r="AP327" i="6"/>
  <c r="AO327" i="6"/>
  <c r="AP326" i="6"/>
  <c r="AO326" i="6"/>
  <c r="AP325" i="6"/>
  <c r="AO325" i="6"/>
  <c r="AP324" i="6"/>
  <c r="AO324" i="6"/>
  <c r="AP323" i="6"/>
  <c r="AO323" i="6"/>
  <c r="AP322" i="6"/>
  <c r="AO322" i="6"/>
  <c r="AP321" i="6"/>
  <c r="AO321" i="6"/>
  <c r="AP320" i="6"/>
  <c r="AO320" i="6"/>
  <c r="AP319" i="6"/>
  <c r="AO319" i="6"/>
  <c r="AP318" i="6"/>
  <c r="AO318" i="6"/>
  <c r="AP317" i="6"/>
  <c r="AO317" i="6"/>
  <c r="AP316" i="6"/>
  <c r="AO316" i="6"/>
  <c r="AP315" i="6"/>
  <c r="AO315" i="6"/>
  <c r="AP314" i="6"/>
  <c r="AO314" i="6"/>
  <c r="AP313" i="6"/>
  <c r="AO313" i="6"/>
  <c r="AP312" i="6"/>
  <c r="AO312" i="6"/>
  <c r="AP311" i="6"/>
  <c r="AO311" i="6"/>
  <c r="AP310" i="6"/>
  <c r="AO310" i="6"/>
  <c r="AP309" i="6"/>
  <c r="AO309" i="6"/>
  <c r="AP308" i="6"/>
  <c r="AO308" i="6"/>
  <c r="AP307" i="6"/>
  <c r="AO307" i="6"/>
  <c r="AP306" i="6"/>
  <c r="AO306" i="6"/>
  <c r="AP305" i="6"/>
  <c r="AO305" i="6"/>
  <c r="AP304" i="6"/>
  <c r="AO304" i="6"/>
  <c r="AP303" i="6"/>
  <c r="AO303" i="6"/>
  <c r="AP302" i="6"/>
  <c r="AO302" i="6"/>
  <c r="AP301" i="6"/>
  <c r="AO301" i="6"/>
  <c r="AP300" i="6"/>
  <c r="AO300" i="6"/>
  <c r="AP299" i="6"/>
  <c r="AO299" i="6"/>
  <c r="AP298" i="6"/>
  <c r="AO298" i="6"/>
  <c r="AP297" i="6"/>
  <c r="AO297" i="6"/>
  <c r="AP296" i="6"/>
  <c r="AO296" i="6"/>
  <c r="AP295" i="6"/>
  <c r="AO295" i="6"/>
  <c r="AP294" i="6"/>
  <c r="AO294" i="6"/>
  <c r="AP293" i="6"/>
  <c r="AO293" i="6"/>
  <c r="AP292" i="6"/>
  <c r="AO292" i="6"/>
  <c r="AP291" i="6"/>
  <c r="AO291" i="6"/>
  <c r="AP290" i="6"/>
  <c r="AO290" i="6"/>
  <c r="AP289" i="6"/>
  <c r="AO289" i="6"/>
  <c r="AP288" i="6"/>
  <c r="AO288" i="6"/>
  <c r="AP287" i="6"/>
  <c r="AO287" i="6"/>
  <c r="AP286" i="6"/>
  <c r="AO286" i="6"/>
  <c r="AP285" i="6"/>
  <c r="AO285" i="6"/>
  <c r="AP284" i="6"/>
  <c r="AO284" i="6"/>
  <c r="AP283" i="6"/>
  <c r="AO283" i="6"/>
  <c r="AP282" i="6"/>
  <c r="AO282" i="6"/>
  <c r="AP281" i="6"/>
  <c r="AO281" i="6"/>
  <c r="AP280" i="6"/>
  <c r="AO280" i="6"/>
  <c r="AP279" i="6"/>
  <c r="AO279" i="6"/>
  <c r="AP278" i="6"/>
  <c r="AO278" i="6"/>
  <c r="AP277" i="6"/>
  <c r="AO277" i="6"/>
  <c r="AP276" i="6"/>
  <c r="AO276" i="6"/>
  <c r="AP275" i="6"/>
  <c r="AO275" i="6"/>
  <c r="AP274" i="6"/>
  <c r="AO274" i="6"/>
  <c r="AP273" i="6"/>
  <c r="AO273" i="6"/>
  <c r="AP272" i="6"/>
  <c r="AO272" i="6"/>
  <c r="AP271" i="6"/>
  <c r="AO271" i="6"/>
  <c r="AP270" i="6"/>
  <c r="AO270" i="6"/>
  <c r="AP269" i="6"/>
  <c r="AO269" i="6"/>
  <c r="AP268" i="6"/>
  <c r="AO268" i="6"/>
  <c r="AP267" i="6"/>
  <c r="AO267" i="6"/>
  <c r="AP266" i="6"/>
  <c r="AO266" i="6"/>
  <c r="AP265" i="6"/>
  <c r="AO265" i="6"/>
  <c r="AP264" i="6"/>
  <c r="AO264" i="6"/>
  <c r="AP263" i="6"/>
  <c r="AO263" i="6"/>
  <c r="AP262" i="6"/>
  <c r="AO262" i="6"/>
  <c r="AP261" i="6"/>
  <c r="AO261" i="6"/>
  <c r="AP260" i="6"/>
  <c r="AO260" i="6"/>
  <c r="AP259" i="6"/>
  <c r="AO259" i="6"/>
  <c r="AP258" i="6"/>
  <c r="AO258" i="6"/>
  <c r="AP257" i="6"/>
  <c r="AO257" i="6"/>
  <c r="AP256" i="6"/>
  <c r="AO256" i="6"/>
  <c r="AP255" i="6"/>
  <c r="AO255" i="6"/>
  <c r="AP254" i="6"/>
  <c r="AO254" i="6"/>
  <c r="AP253" i="6"/>
  <c r="AO253" i="6"/>
  <c r="AP252" i="6"/>
  <c r="AO252" i="6"/>
  <c r="AP251" i="6"/>
  <c r="AO251" i="6"/>
  <c r="AP250" i="6"/>
  <c r="AO250" i="6"/>
  <c r="AP249" i="6"/>
  <c r="AO249" i="6"/>
  <c r="AP248" i="6"/>
  <c r="AO248" i="6"/>
  <c r="AP247" i="6"/>
  <c r="AO247" i="6"/>
  <c r="AP246" i="6"/>
  <c r="AO246" i="6"/>
  <c r="AP245" i="6"/>
  <c r="AO245" i="6"/>
  <c r="AP244" i="6"/>
  <c r="AO244" i="6"/>
  <c r="AP243" i="6"/>
  <c r="AO243" i="6"/>
  <c r="AP242" i="6"/>
  <c r="AO242" i="6"/>
  <c r="AP241" i="6"/>
  <c r="AO241" i="6"/>
  <c r="AP240" i="6"/>
  <c r="AO240" i="6"/>
  <c r="AP239" i="6"/>
  <c r="AO239" i="6"/>
  <c r="AP238" i="6"/>
  <c r="AO238" i="6"/>
  <c r="AP237" i="6"/>
  <c r="AO237" i="6"/>
  <c r="AP236" i="6"/>
  <c r="AO236" i="6"/>
  <c r="AP235" i="6"/>
  <c r="AO235" i="6"/>
  <c r="AP234" i="6"/>
  <c r="AO234" i="6"/>
  <c r="AP233" i="6"/>
  <c r="AO233" i="6"/>
  <c r="AP232" i="6"/>
  <c r="AO232" i="6"/>
  <c r="AP231" i="6"/>
  <c r="AO231" i="6"/>
  <c r="AP230" i="6"/>
  <c r="AO230" i="6"/>
  <c r="AP229" i="6"/>
  <c r="AO229" i="6"/>
  <c r="AP228" i="6"/>
  <c r="AO228" i="6"/>
  <c r="AP227" i="6"/>
  <c r="AO227" i="6"/>
  <c r="AP226" i="6"/>
  <c r="AO226" i="6"/>
  <c r="AP225" i="6"/>
  <c r="AO225" i="6"/>
  <c r="AP224" i="6"/>
  <c r="AO224" i="6"/>
  <c r="AP223" i="6"/>
  <c r="AO223" i="6"/>
  <c r="AP222" i="6"/>
  <c r="AO222" i="6"/>
  <c r="AP221" i="6"/>
  <c r="AO221" i="6"/>
  <c r="AP220" i="6"/>
  <c r="AO220" i="6"/>
  <c r="AP219" i="6"/>
  <c r="AO219" i="6"/>
  <c r="AP218" i="6"/>
  <c r="AO218" i="6"/>
  <c r="AP217" i="6"/>
  <c r="AO217" i="6"/>
  <c r="AP216" i="6"/>
  <c r="AO216" i="6"/>
  <c r="AP215" i="6"/>
  <c r="AO215" i="6"/>
  <c r="AP214" i="6"/>
  <c r="AO214" i="6"/>
  <c r="AP213" i="6"/>
  <c r="AO213" i="6"/>
  <c r="AP212" i="6"/>
  <c r="AO212" i="6"/>
  <c r="AP211" i="6"/>
  <c r="AO211" i="6"/>
  <c r="AP210" i="6"/>
  <c r="AO210" i="6"/>
  <c r="AP209" i="6"/>
  <c r="AO209" i="6"/>
  <c r="AP208" i="6"/>
  <c r="AO208" i="6"/>
  <c r="AP207" i="6"/>
  <c r="AO207" i="6"/>
  <c r="AP206" i="6"/>
  <c r="AO206" i="6"/>
  <c r="AP205" i="6"/>
  <c r="AO205" i="6"/>
  <c r="AP204" i="6"/>
  <c r="AO204" i="6"/>
  <c r="AP203" i="6"/>
  <c r="AO203" i="6"/>
  <c r="AP202" i="6"/>
  <c r="AO202" i="6"/>
  <c r="AP201" i="6"/>
  <c r="AO201" i="6"/>
  <c r="AP200" i="6"/>
  <c r="AO200" i="6"/>
  <c r="AP199" i="6"/>
  <c r="AO199" i="6"/>
  <c r="AP198" i="6"/>
  <c r="AO198" i="6"/>
  <c r="AP197" i="6"/>
  <c r="AO197" i="6"/>
  <c r="AP196" i="6"/>
  <c r="AO196" i="6"/>
  <c r="AP195" i="6"/>
  <c r="AO195" i="6"/>
  <c r="AP194" i="6"/>
  <c r="AO194" i="6"/>
  <c r="AP193" i="6"/>
  <c r="AO193" i="6"/>
  <c r="AP192" i="6"/>
  <c r="AO192" i="6"/>
  <c r="AP191" i="6"/>
  <c r="AO191" i="6"/>
  <c r="AP190" i="6"/>
  <c r="AO190" i="6"/>
  <c r="AP189" i="6"/>
  <c r="AO189" i="6"/>
  <c r="AP188" i="6"/>
  <c r="AO188" i="6"/>
  <c r="AP187" i="6"/>
  <c r="AO187" i="6"/>
  <c r="AP186" i="6"/>
  <c r="AO186" i="6"/>
  <c r="AP185" i="6"/>
  <c r="AO185" i="6"/>
  <c r="AP184" i="6"/>
  <c r="AO184" i="6"/>
  <c r="AP183" i="6"/>
  <c r="AO183" i="6"/>
  <c r="AP182" i="6"/>
  <c r="AO182" i="6"/>
  <c r="AP181" i="6"/>
  <c r="AO181" i="6"/>
  <c r="AP180" i="6"/>
  <c r="AO180" i="6"/>
  <c r="AP179" i="6"/>
  <c r="AO179" i="6"/>
  <c r="AP178" i="6"/>
  <c r="AO178" i="6"/>
  <c r="AP177" i="6"/>
  <c r="AO177" i="6"/>
  <c r="AP176" i="6"/>
  <c r="AO176" i="6"/>
  <c r="AP175" i="6"/>
  <c r="AO175" i="6"/>
  <c r="AP174" i="6"/>
  <c r="AO174" i="6"/>
  <c r="AP173" i="6"/>
  <c r="AO173" i="6"/>
  <c r="AP172" i="6"/>
  <c r="AO172" i="6"/>
  <c r="AP171" i="6"/>
  <c r="AO171" i="6"/>
  <c r="AP170" i="6"/>
  <c r="AO170" i="6"/>
  <c r="AP169" i="6"/>
  <c r="AO169" i="6"/>
  <c r="AP168" i="6"/>
  <c r="AO168" i="6"/>
  <c r="AP167" i="6"/>
  <c r="AO167" i="6"/>
  <c r="AP166" i="6"/>
  <c r="AO166" i="6"/>
  <c r="AP165" i="6"/>
  <c r="AO165" i="6"/>
  <c r="AP164" i="6"/>
  <c r="AO164" i="6"/>
  <c r="AP163" i="6"/>
  <c r="AO163" i="6"/>
  <c r="AP162" i="6"/>
  <c r="AO162" i="6"/>
  <c r="AP161" i="6"/>
  <c r="AO161" i="6"/>
  <c r="AP160" i="6"/>
  <c r="AO160" i="6"/>
  <c r="AP159" i="6"/>
  <c r="AO159" i="6"/>
  <c r="AP158" i="6"/>
  <c r="AO158" i="6"/>
  <c r="AP157" i="6"/>
  <c r="AO157" i="6"/>
  <c r="AP156" i="6"/>
  <c r="AO156" i="6"/>
  <c r="AP155" i="6"/>
  <c r="AO155" i="6"/>
  <c r="AP154" i="6"/>
  <c r="AO154" i="6"/>
  <c r="AP153" i="6"/>
  <c r="AO153" i="6"/>
  <c r="AP152" i="6"/>
  <c r="AO152" i="6"/>
  <c r="AP151" i="6"/>
  <c r="AO151" i="6"/>
  <c r="AP150" i="6"/>
  <c r="AO150" i="6"/>
  <c r="AP149" i="6"/>
  <c r="AO149" i="6"/>
  <c r="AP148" i="6"/>
  <c r="AO148" i="6"/>
  <c r="AP147" i="6"/>
  <c r="AO147" i="6"/>
  <c r="AP146" i="6"/>
  <c r="AO146" i="6"/>
  <c r="AP145" i="6"/>
  <c r="AO145" i="6"/>
  <c r="AP144" i="6"/>
  <c r="AO144" i="6"/>
  <c r="AP143" i="6"/>
  <c r="AO143" i="6"/>
  <c r="AP142" i="6"/>
  <c r="AO142" i="6"/>
  <c r="AP141" i="6"/>
  <c r="AO141" i="6"/>
  <c r="AP140" i="6"/>
  <c r="AO140" i="6"/>
  <c r="AP139" i="6"/>
  <c r="AO139" i="6"/>
  <c r="AP138" i="6"/>
  <c r="AO138" i="6"/>
  <c r="AP137" i="6"/>
  <c r="AO137" i="6"/>
  <c r="AP136" i="6"/>
  <c r="AO136" i="6"/>
  <c r="AP135" i="6"/>
  <c r="AO135" i="6"/>
  <c r="AP134" i="6"/>
  <c r="AO134" i="6"/>
  <c r="AP133" i="6"/>
  <c r="AO133" i="6"/>
  <c r="AP132" i="6"/>
  <c r="AO132" i="6"/>
  <c r="AP131" i="6"/>
  <c r="AO131" i="6"/>
  <c r="AP130" i="6"/>
  <c r="AO130" i="6"/>
  <c r="AP129" i="6"/>
  <c r="AO129" i="6"/>
  <c r="AP128" i="6"/>
  <c r="AO128" i="6"/>
  <c r="AP127" i="6"/>
  <c r="AO127" i="6"/>
  <c r="AP126" i="6"/>
  <c r="AO126" i="6"/>
  <c r="AP125" i="6"/>
  <c r="AO125" i="6"/>
  <c r="AP124" i="6"/>
  <c r="AO124" i="6"/>
  <c r="AP123" i="6"/>
  <c r="AO123" i="6"/>
  <c r="AP122" i="6"/>
  <c r="AO122" i="6"/>
  <c r="AP121" i="6"/>
  <c r="AO121" i="6"/>
  <c r="AP120" i="6"/>
  <c r="AO120" i="6"/>
  <c r="AP119" i="6"/>
  <c r="AO119" i="6"/>
  <c r="AP118" i="6"/>
  <c r="AO118" i="6"/>
  <c r="AP117" i="6"/>
  <c r="AO117" i="6"/>
  <c r="AP116" i="6"/>
  <c r="AO116" i="6"/>
  <c r="AP115" i="6"/>
  <c r="AO115" i="6"/>
  <c r="AP114" i="6"/>
  <c r="AO114" i="6"/>
  <c r="AP113" i="6"/>
  <c r="AO113" i="6"/>
  <c r="AP112" i="6"/>
  <c r="AO112" i="6"/>
  <c r="AP111" i="6"/>
  <c r="AO111" i="6"/>
  <c r="AP110" i="6"/>
  <c r="AO110" i="6"/>
  <c r="AP109" i="6"/>
  <c r="AO109" i="6"/>
  <c r="AP108" i="6"/>
  <c r="AO108" i="6"/>
  <c r="AP107" i="6"/>
  <c r="AO107" i="6"/>
  <c r="AP106" i="6"/>
  <c r="AO106" i="6"/>
  <c r="AP105" i="6"/>
  <c r="AO105" i="6"/>
  <c r="AP104" i="6"/>
  <c r="AO104" i="6"/>
  <c r="AP103" i="6"/>
  <c r="AO103" i="6"/>
  <c r="AP102" i="6"/>
  <c r="AO102" i="6"/>
  <c r="AP101" i="6"/>
  <c r="AO101" i="6"/>
  <c r="AP100" i="6"/>
  <c r="AO100" i="6"/>
  <c r="AP99" i="6"/>
  <c r="AO99" i="6"/>
  <c r="AP98" i="6"/>
  <c r="AO98" i="6"/>
  <c r="AP97" i="6"/>
  <c r="AO97" i="6"/>
  <c r="AP96" i="6"/>
  <c r="AO96" i="6"/>
  <c r="AP95" i="6"/>
  <c r="AO95" i="6"/>
  <c r="AP94" i="6"/>
  <c r="AO94" i="6"/>
  <c r="AO93" i="6"/>
  <c r="AO92" i="6"/>
  <c r="AO91" i="6"/>
  <c r="AS91" i="6" s="1"/>
  <c r="AO90" i="6"/>
  <c r="AO89" i="6"/>
  <c r="AS89" i="6" s="1"/>
  <c r="AO88" i="6"/>
  <c r="AO87" i="6"/>
  <c r="AO86" i="6"/>
  <c r="AO85" i="6"/>
  <c r="AP62" i="6"/>
  <c r="AP61" i="6"/>
  <c r="AT61" i="6" s="1"/>
  <c r="AP60" i="6"/>
  <c r="AP59" i="6"/>
  <c r="AP58" i="6"/>
  <c r="AT58" i="6" s="1"/>
  <c r="AP57" i="6"/>
  <c r="AP56" i="6"/>
  <c r="AP55" i="6"/>
  <c r="AP54" i="6"/>
  <c r="AP53" i="6"/>
  <c r="AP52" i="6"/>
  <c r="AP51" i="6"/>
  <c r="AP50" i="6"/>
  <c r="AT50" i="6" s="1"/>
  <c r="AP49" i="6"/>
  <c r="AP48" i="6"/>
  <c r="AP47" i="6"/>
  <c r="AP46" i="6"/>
  <c r="AP45" i="6"/>
  <c r="AT45" i="6" s="1"/>
  <c r="AP44" i="6"/>
  <c r="AP43" i="6"/>
  <c r="AP42" i="6"/>
  <c r="AP41" i="6"/>
  <c r="AP40" i="6"/>
  <c r="AP39" i="6"/>
  <c r="AP38" i="6"/>
  <c r="AP37" i="6"/>
  <c r="AP36" i="6"/>
  <c r="AP35" i="6"/>
  <c r="AP34" i="6"/>
  <c r="AT34" i="6" s="1"/>
  <c r="AP33" i="6"/>
  <c r="AT33" i="6" s="1"/>
  <c r="AP32" i="6"/>
  <c r="AP31" i="6"/>
  <c r="AP30" i="6"/>
  <c r="AP29" i="6"/>
  <c r="AP28" i="6"/>
  <c r="AP27" i="6"/>
  <c r="AP26" i="6"/>
  <c r="AT26" i="6" s="1"/>
  <c r="AP25" i="6"/>
  <c r="AP24" i="6"/>
  <c r="AP23" i="6"/>
  <c r="AP22" i="6"/>
  <c r="AP21" i="6"/>
  <c r="AP20" i="6"/>
  <c r="AP19" i="6"/>
  <c r="AP18" i="6"/>
  <c r="AT18" i="6" s="1"/>
  <c r="AP17" i="6"/>
  <c r="AT17" i="6" s="1"/>
  <c r="AP16" i="6"/>
  <c r="AP15" i="6"/>
  <c r="AP14" i="6"/>
  <c r="AP13" i="6"/>
  <c r="AP12" i="6"/>
  <c r="AP11" i="6"/>
  <c r="AP10" i="6"/>
  <c r="AP9" i="6"/>
  <c r="AP8" i="6"/>
  <c r="AP7" i="6"/>
  <c r="AP6" i="6"/>
  <c r="AP5" i="6"/>
  <c r="AP4" i="6"/>
  <c r="AO84" i="6"/>
  <c r="AO83" i="6"/>
  <c r="AO82" i="6"/>
  <c r="AO81" i="6"/>
  <c r="AO80" i="6"/>
  <c r="AO79" i="6"/>
  <c r="AO78" i="6"/>
  <c r="AO77" i="6"/>
  <c r="AO76" i="6"/>
  <c r="AO75" i="6"/>
  <c r="AO74" i="6"/>
  <c r="AO73" i="6"/>
  <c r="AO72" i="6"/>
  <c r="AO71" i="6"/>
  <c r="AO70" i="6"/>
  <c r="AO69" i="6"/>
  <c r="AO68" i="6"/>
  <c r="AO67" i="6"/>
  <c r="AO66" i="6"/>
  <c r="AO65" i="6"/>
  <c r="AO64" i="6"/>
  <c r="AO63" i="6"/>
  <c r="AO62" i="6"/>
  <c r="AS62" i="6" s="1"/>
  <c r="AO61" i="6"/>
  <c r="AO60" i="6"/>
  <c r="AO59" i="6"/>
  <c r="AO58" i="6"/>
  <c r="AO57" i="6"/>
  <c r="AO56" i="6"/>
  <c r="AO55" i="6"/>
  <c r="AO54" i="6"/>
  <c r="AO53" i="6"/>
  <c r="AO52" i="6"/>
  <c r="AO51" i="6"/>
  <c r="AO50" i="6"/>
  <c r="AO49" i="6"/>
  <c r="AO48" i="6"/>
  <c r="AO47" i="6"/>
  <c r="AO46" i="6"/>
  <c r="AO45" i="6"/>
  <c r="AS45" i="6" s="1"/>
  <c r="AO44" i="6"/>
  <c r="AO43" i="6"/>
  <c r="AO42" i="6"/>
  <c r="AO41" i="6"/>
  <c r="AO40" i="6"/>
  <c r="AO39" i="6"/>
  <c r="AO38" i="6"/>
  <c r="AO37" i="6"/>
  <c r="AO36" i="6"/>
  <c r="AO35" i="6"/>
  <c r="AO34" i="6"/>
  <c r="AO33" i="6"/>
  <c r="AO32" i="6"/>
  <c r="AO31" i="6"/>
  <c r="AO30" i="6"/>
  <c r="AO29" i="6"/>
  <c r="AS29" i="6" s="1"/>
  <c r="AO28" i="6"/>
  <c r="AO27" i="6"/>
  <c r="AO26" i="6"/>
  <c r="AS26" i="6" s="1"/>
  <c r="AO25" i="6"/>
  <c r="AS25" i="6" s="1"/>
  <c r="AO24" i="6"/>
  <c r="AO23" i="6"/>
  <c r="AO22" i="6"/>
  <c r="AS22" i="6" s="1"/>
  <c r="AO21" i="6"/>
  <c r="AS21" i="6" s="1"/>
  <c r="AO20" i="6"/>
  <c r="AO19" i="6"/>
  <c r="AO18" i="6"/>
  <c r="AO17" i="6"/>
  <c r="AS17" i="6" s="1"/>
  <c r="AO16" i="6"/>
  <c r="AO15" i="6"/>
  <c r="AO14" i="6"/>
  <c r="AS14" i="6" s="1"/>
  <c r="AO13" i="6"/>
  <c r="AO12" i="6"/>
  <c r="AO11" i="6"/>
  <c r="AO10" i="6"/>
  <c r="AS10" i="6" s="1"/>
  <c r="AO9" i="6"/>
  <c r="AO8" i="6"/>
  <c r="AO7" i="6"/>
  <c r="AO6" i="6"/>
  <c r="AS6" i="6" s="1"/>
  <c r="AO5" i="6"/>
  <c r="AS5" i="6" s="1"/>
  <c r="AO4" i="6"/>
  <c r="AE368" i="2"/>
  <c r="AE367" i="2"/>
  <c r="AE366" i="2"/>
  <c r="AE365" i="2"/>
  <c r="AE364" i="2"/>
  <c r="AE363" i="2"/>
  <c r="AE362" i="2"/>
  <c r="AE361" i="2"/>
  <c r="AE360" i="2"/>
  <c r="AE359" i="2"/>
  <c r="AE358" i="2"/>
  <c r="AE357" i="2"/>
  <c r="AE356" i="2"/>
  <c r="AE355" i="2"/>
  <c r="AE354" i="2"/>
  <c r="AE353" i="2"/>
  <c r="AE352" i="2"/>
  <c r="AE351" i="2"/>
  <c r="AE350" i="2"/>
  <c r="AE349" i="2"/>
  <c r="AE348" i="2"/>
  <c r="AE347" i="2"/>
  <c r="AE346" i="2"/>
  <c r="AE345" i="2"/>
  <c r="AE344" i="2"/>
  <c r="AE343" i="2"/>
  <c r="AE342" i="2"/>
  <c r="AE341" i="2"/>
  <c r="AE340" i="2"/>
  <c r="AE339" i="2"/>
  <c r="AE338" i="2"/>
  <c r="AE337" i="2"/>
  <c r="AE336" i="2"/>
  <c r="AE335" i="2"/>
  <c r="AE334" i="2"/>
  <c r="AE333" i="2"/>
  <c r="AE332" i="2"/>
  <c r="AE331" i="2"/>
  <c r="AE330" i="2"/>
  <c r="AE329" i="2"/>
  <c r="AE328" i="2"/>
  <c r="AE327" i="2"/>
  <c r="AE326" i="2"/>
  <c r="AE325" i="2"/>
  <c r="AE324" i="2"/>
  <c r="AE323" i="2"/>
  <c r="AE322" i="2"/>
  <c r="AE321" i="2"/>
  <c r="AE320" i="2"/>
  <c r="AE319" i="2"/>
  <c r="AE318" i="2"/>
  <c r="AE317" i="2"/>
  <c r="AE316" i="2"/>
  <c r="AE315" i="2"/>
  <c r="AE314" i="2"/>
  <c r="AE313" i="2"/>
  <c r="AE312" i="2"/>
  <c r="AE311" i="2"/>
  <c r="AE310" i="2"/>
  <c r="AE309" i="2"/>
  <c r="AE308" i="2"/>
  <c r="AE307" i="2"/>
  <c r="AE306" i="2"/>
  <c r="AE305" i="2"/>
  <c r="AE304" i="2"/>
  <c r="AE303" i="2"/>
  <c r="AE302" i="2"/>
  <c r="AE301" i="2"/>
  <c r="AE300" i="2"/>
  <c r="AE299" i="2"/>
  <c r="AE298" i="2"/>
  <c r="AE297" i="2"/>
  <c r="AE296" i="2"/>
  <c r="AE295" i="2"/>
  <c r="AE294" i="2"/>
  <c r="AE293" i="2"/>
  <c r="AE292" i="2"/>
  <c r="AE291" i="2"/>
  <c r="AE290" i="2"/>
  <c r="AE289" i="2"/>
  <c r="AE288" i="2"/>
  <c r="AE287" i="2"/>
  <c r="AE286" i="2"/>
  <c r="AE285" i="2"/>
  <c r="AE284" i="2"/>
  <c r="AE283" i="2"/>
  <c r="AE282" i="2"/>
  <c r="AE281" i="2"/>
  <c r="AE280" i="2"/>
  <c r="AE279" i="2"/>
  <c r="AE278" i="2"/>
  <c r="AE277" i="2"/>
  <c r="AE276" i="2"/>
  <c r="AE275" i="2"/>
  <c r="AE274" i="2"/>
  <c r="AE273" i="2"/>
  <c r="AE272" i="2"/>
  <c r="AE271" i="2"/>
  <c r="AE270" i="2"/>
  <c r="AE269" i="2"/>
  <c r="AE268" i="2"/>
  <c r="AE267" i="2"/>
  <c r="AE266" i="2"/>
  <c r="AE265" i="2"/>
  <c r="AE264" i="2"/>
  <c r="AE263" i="2"/>
  <c r="AE262" i="2"/>
  <c r="AE261" i="2"/>
  <c r="AE260" i="2"/>
  <c r="AE259" i="2"/>
  <c r="AE258" i="2"/>
  <c r="AE257" i="2"/>
  <c r="AE256" i="2"/>
  <c r="AE255" i="2"/>
  <c r="AE254" i="2"/>
  <c r="AE253" i="2"/>
  <c r="AE252" i="2"/>
  <c r="AE251" i="2"/>
  <c r="AE250" i="2"/>
  <c r="AE249" i="2"/>
  <c r="AE248" i="2"/>
  <c r="AE247" i="2"/>
  <c r="AE246" i="2"/>
  <c r="AE245" i="2"/>
  <c r="AE244" i="2"/>
  <c r="AE243" i="2"/>
  <c r="AE242" i="2"/>
  <c r="AE241" i="2"/>
  <c r="AE240" i="2"/>
  <c r="AE239" i="2"/>
  <c r="AE238" i="2"/>
  <c r="AE237" i="2"/>
  <c r="AE236" i="2"/>
  <c r="AE235" i="2"/>
  <c r="AE234" i="2"/>
  <c r="AE233" i="2"/>
  <c r="AE232" i="2"/>
  <c r="AE231" i="2"/>
  <c r="AE230" i="2"/>
  <c r="AE229" i="2"/>
  <c r="AE228" i="2"/>
  <c r="AE227" i="2"/>
  <c r="AE226" i="2"/>
  <c r="AE225" i="2"/>
  <c r="AE224" i="2"/>
  <c r="AE223" i="2"/>
  <c r="AE222" i="2"/>
  <c r="AE221" i="2"/>
  <c r="AE220" i="2"/>
  <c r="AE219" i="2"/>
  <c r="AE218" i="2"/>
  <c r="AE217" i="2"/>
  <c r="AE216" i="2"/>
  <c r="AE215" i="2"/>
  <c r="AE214" i="2"/>
  <c r="AE213" i="2"/>
  <c r="AE212" i="2"/>
  <c r="AE211" i="2"/>
  <c r="AE210" i="2"/>
  <c r="AE209" i="2"/>
  <c r="AE208" i="2"/>
  <c r="AE207" i="2"/>
  <c r="AE206" i="2"/>
  <c r="AE205" i="2"/>
  <c r="AE204" i="2"/>
  <c r="AE203" i="2"/>
  <c r="AE202" i="2"/>
  <c r="AE201" i="2"/>
  <c r="AE200" i="2"/>
  <c r="AE199" i="2"/>
  <c r="AE198" i="2"/>
  <c r="AE197" i="2"/>
  <c r="AE196" i="2"/>
  <c r="AE195" i="2"/>
  <c r="AE194" i="2"/>
  <c r="AE193" i="2"/>
  <c r="AE192" i="2"/>
  <c r="AE191" i="2"/>
  <c r="AE190" i="2"/>
  <c r="AE189" i="2"/>
  <c r="AE188" i="2"/>
  <c r="AE187" i="2"/>
  <c r="AE186" i="2"/>
  <c r="AE185" i="2"/>
  <c r="AE184" i="2"/>
  <c r="AE183" i="2"/>
  <c r="AE182" i="2"/>
  <c r="AE181" i="2"/>
  <c r="AE180" i="2"/>
  <c r="AE179" i="2"/>
  <c r="AE178" i="2"/>
  <c r="AE177" i="2"/>
  <c r="AE176" i="2"/>
  <c r="AE175" i="2"/>
  <c r="AE174" i="2"/>
  <c r="AE173" i="2"/>
  <c r="AE172" i="2"/>
  <c r="AE171" i="2"/>
  <c r="AE170" i="2"/>
  <c r="AE169" i="2"/>
  <c r="AE168" i="2"/>
  <c r="AE167" i="2"/>
  <c r="AE166" i="2"/>
  <c r="AE165" i="2"/>
  <c r="AE164" i="2"/>
  <c r="AE163" i="2"/>
  <c r="AE162" i="2"/>
  <c r="AE161" i="2"/>
  <c r="AE160" i="2"/>
  <c r="AE159" i="2"/>
  <c r="AE158" i="2"/>
  <c r="AE157" i="2"/>
  <c r="AE156" i="2"/>
  <c r="AE155" i="2"/>
  <c r="AE154" i="2"/>
  <c r="AE153" i="2"/>
  <c r="AE152" i="2"/>
  <c r="AE151" i="2"/>
  <c r="AE150" i="2"/>
  <c r="AE149" i="2"/>
  <c r="AE148" i="2"/>
  <c r="AE147" i="2"/>
  <c r="AE146" i="2"/>
  <c r="AE145" i="2"/>
  <c r="AE144" i="2"/>
  <c r="AE143" i="2"/>
  <c r="AE142" i="2"/>
  <c r="AE141" i="2"/>
  <c r="AE140" i="2"/>
  <c r="AE139" i="2"/>
  <c r="AE138" i="2"/>
  <c r="AE137" i="2"/>
  <c r="AE136" i="2"/>
  <c r="AE135" i="2"/>
  <c r="AE134" i="2"/>
  <c r="AE133" i="2"/>
  <c r="AE132" i="2"/>
  <c r="AE131" i="2"/>
  <c r="AE130" i="2"/>
  <c r="AE129" i="2"/>
  <c r="AE128" i="2"/>
  <c r="AE127" i="2"/>
  <c r="AE126" i="2"/>
  <c r="AE125" i="2"/>
  <c r="AE124" i="2"/>
  <c r="AE123" i="2"/>
  <c r="AE122" i="2"/>
  <c r="AE121" i="2"/>
  <c r="AE120" i="2"/>
  <c r="AE119" i="2"/>
  <c r="AE118" i="2"/>
  <c r="AE117" i="2"/>
  <c r="AE116" i="2"/>
  <c r="AE115" i="2"/>
  <c r="AE114" i="2"/>
  <c r="AE113" i="2"/>
  <c r="AE112" i="2"/>
  <c r="AE111" i="2"/>
  <c r="AE110" i="2"/>
  <c r="AE109" i="2"/>
  <c r="AE108" i="2"/>
  <c r="AE107" i="2"/>
  <c r="AE106" i="2"/>
  <c r="AE105" i="2"/>
  <c r="AE104" i="2"/>
  <c r="AE103" i="2"/>
  <c r="AE102" i="2"/>
  <c r="AE101" i="2"/>
  <c r="AE100" i="2"/>
  <c r="AE99" i="2"/>
  <c r="AE98" i="2"/>
  <c r="AE97" i="2"/>
  <c r="AE96" i="2"/>
  <c r="AE95" i="2"/>
  <c r="AE94" i="2"/>
  <c r="AE93" i="2"/>
  <c r="AE92" i="2"/>
  <c r="AE91" i="2"/>
  <c r="AE90" i="2"/>
  <c r="AE89" i="2"/>
  <c r="AE88" i="2"/>
  <c r="AE87" i="2"/>
  <c r="AE86" i="2"/>
  <c r="AE85" i="2"/>
  <c r="AE84" i="2"/>
  <c r="AE83" i="2"/>
  <c r="AE82" i="2"/>
  <c r="AC368" i="2"/>
  <c r="AC367" i="2"/>
  <c r="AC366" i="2"/>
  <c r="AC365" i="2"/>
  <c r="AC364" i="2"/>
  <c r="AC363" i="2"/>
  <c r="AC362" i="2"/>
  <c r="AC361" i="2"/>
  <c r="AC360" i="2"/>
  <c r="AC359" i="2"/>
  <c r="AC358" i="2"/>
  <c r="AC357" i="2"/>
  <c r="AC356" i="2"/>
  <c r="AC355" i="2"/>
  <c r="AC354" i="2"/>
  <c r="AC353" i="2"/>
  <c r="AC352" i="2"/>
  <c r="AC351" i="2"/>
  <c r="AC350" i="2"/>
  <c r="AC349" i="2"/>
  <c r="AC348" i="2"/>
  <c r="AC347" i="2"/>
  <c r="AC346" i="2"/>
  <c r="AC345" i="2"/>
  <c r="AC344" i="2"/>
  <c r="AC343" i="2"/>
  <c r="AC342" i="2"/>
  <c r="AC341" i="2"/>
  <c r="AC340" i="2"/>
  <c r="AC339" i="2"/>
  <c r="AC338" i="2"/>
  <c r="AC337" i="2"/>
  <c r="AC336" i="2"/>
  <c r="AC335" i="2"/>
  <c r="AC334" i="2"/>
  <c r="AC333" i="2"/>
  <c r="AC332" i="2"/>
  <c r="AC331" i="2"/>
  <c r="AC330" i="2"/>
  <c r="AC329" i="2"/>
  <c r="AC328" i="2"/>
  <c r="AC327" i="2"/>
  <c r="AC326" i="2"/>
  <c r="AC325" i="2"/>
  <c r="AC324" i="2"/>
  <c r="AC323" i="2"/>
  <c r="AC322" i="2"/>
  <c r="AC321" i="2"/>
  <c r="AC320" i="2"/>
  <c r="AC319" i="2"/>
  <c r="AC318" i="2"/>
  <c r="AC317" i="2"/>
  <c r="AC316" i="2"/>
  <c r="AC315" i="2"/>
  <c r="AC314" i="2"/>
  <c r="AC313" i="2"/>
  <c r="AC312" i="2"/>
  <c r="AC311" i="2"/>
  <c r="AC310" i="2"/>
  <c r="AC309" i="2"/>
  <c r="AC308" i="2"/>
  <c r="AC307" i="2"/>
  <c r="AC306" i="2"/>
  <c r="AC305" i="2"/>
  <c r="AC304" i="2"/>
  <c r="AC303" i="2"/>
  <c r="AC302" i="2"/>
  <c r="AC301" i="2"/>
  <c r="AC300" i="2"/>
  <c r="AC299" i="2"/>
  <c r="AC298" i="2"/>
  <c r="AC297" i="2"/>
  <c r="AC296" i="2"/>
  <c r="AC295" i="2"/>
  <c r="AC294" i="2"/>
  <c r="AC293" i="2"/>
  <c r="AC292" i="2"/>
  <c r="AC291" i="2"/>
  <c r="AC290" i="2"/>
  <c r="AC289" i="2"/>
  <c r="AC288" i="2"/>
  <c r="AC287" i="2"/>
  <c r="AC286" i="2"/>
  <c r="AC285" i="2"/>
  <c r="AC284" i="2"/>
  <c r="AC283" i="2"/>
  <c r="AC282" i="2"/>
  <c r="AC281" i="2"/>
  <c r="AC280" i="2"/>
  <c r="AC279" i="2"/>
  <c r="AC278" i="2"/>
  <c r="AC277" i="2"/>
  <c r="AC276" i="2"/>
  <c r="AC275" i="2"/>
  <c r="AC274" i="2"/>
  <c r="AC273" i="2"/>
  <c r="AC272" i="2"/>
  <c r="AC271" i="2"/>
  <c r="AC270" i="2"/>
  <c r="AC269" i="2"/>
  <c r="AC268" i="2"/>
  <c r="AC267" i="2"/>
  <c r="AC266" i="2"/>
  <c r="AC265" i="2"/>
  <c r="AC264" i="2"/>
  <c r="AC263" i="2"/>
  <c r="AC262" i="2"/>
  <c r="AC261" i="2"/>
  <c r="AC260" i="2"/>
  <c r="AC259" i="2"/>
  <c r="AC258" i="2"/>
  <c r="AC257" i="2"/>
  <c r="AC256" i="2"/>
  <c r="AC255" i="2"/>
  <c r="AC254" i="2"/>
  <c r="AC253" i="2"/>
  <c r="AC252" i="2"/>
  <c r="AC251" i="2"/>
  <c r="AC250" i="2"/>
  <c r="AC249" i="2"/>
  <c r="AC248" i="2"/>
  <c r="AC247" i="2"/>
  <c r="AC246" i="2"/>
  <c r="AC245" i="2"/>
  <c r="AC244" i="2"/>
  <c r="AC243" i="2"/>
  <c r="AC242" i="2"/>
  <c r="AC241" i="2"/>
  <c r="AC240" i="2"/>
  <c r="AC239" i="2"/>
  <c r="AC238" i="2"/>
  <c r="AC237" i="2"/>
  <c r="AC236" i="2"/>
  <c r="AC235" i="2"/>
  <c r="AC234" i="2"/>
  <c r="AC233" i="2"/>
  <c r="AC232" i="2"/>
  <c r="AC231" i="2"/>
  <c r="AC230" i="2"/>
  <c r="AC229" i="2"/>
  <c r="AC228" i="2"/>
  <c r="AC227" i="2"/>
  <c r="AC226" i="2"/>
  <c r="AC225" i="2"/>
  <c r="AC224" i="2"/>
  <c r="AC223" i="2"/>
  <c r="AC222" i="2"/>
  <c r="AC221" i="2"/>
  <c r="AC220" i="2"/>
  <c r="AC219" i="2"/>
  <c r="AC218" i="2"/>
  <c r="AC217" i="2"/>
  <c r="AC216" i="2"/>
  <c r="AC215" i="2"/>
  <c r="AC214" i="2"/>
  <c r="AC213" i="2"/>
  <c r="AC212" i="2"/>
  <c r="AC211" i="2"/>
  <c r="AC210" i="2"/>
  <c r="AC209" i="2"/>
  <c r="AC208" i="2"/>
  <c r="AC207" i="2"/>
  <c r="AC206" i="2"/>
  <c r="AC205" i="2"/>
  <c r="AC204" i="2"/>
  <c r="AC203" i="2"/>
  <c r="AC202" i="2"/>
  <c r="AC201" i="2"/>
  <c r="AC200" i="2"/>
  <c r="AC199" i="2"/>
  <c r="AC198" i="2"/>
  <c r="AC197" i="2"/>
  <c r="AC196" i="2"/>
  <c r="AC195" i="2"/>
  <c r="AC194" i="2"/>
  <c r="AC193" i="2"/>
  <c r="AC192" i="2"/>
  <c r="AC191" i="2"/>
  <c r="AC190" i="2"/>
  <c r="AC189" i="2"/>
  <c r="AC188" i="2"/>
  <c r="AC187" i="2"/>
  <c r="AC186" i="2"/>
  <c r="AC185" i="2"/>
  <c r="AC184" i="2"/>
  <c r="AC183" i="2"/>
  <c r="AC182" i="2"/>
  <c r="AC181" i="2"/>
  <c r="AC180" i="2"/>
  <c r="AC179" i="2"/>
  <c r="AC178" i="2"/>
  <c r="AC177" i="2"/>
  <c r="AC176" i="2"/>
  <c r="AC175" i="2"/>
  <c r="AC174" i="2"/>
  <c r="AC173" i="2"/>
  <c r="AC172" i="2"/>
  <c r="AC171" i="2"/>
  <c r="AC170" i="2"/>
  <c r="AC169" i="2"/>
  <c r="AC168" i="2"/>
  <c r="AC167" i="2"/>
  <c r="AC166" i="2"/>
  <c r="AC165" i="2"/>
  <c r="AC164" i="2"/>
  <c r="AC163" i="2"/>
  <c r="AC162" i="2"/>
  <c r="AC161" i="2"/>
  <c r="AC160" i="2"/>
  <c r="AC159" i="2"/>
  <c r="AC158" i="2"/>
  <c r="AC157" i="2"/>
  <c r="AC156" i="2"/>
  <c r="AC155" i="2"/>
  <c r="AC154" i="2"/>
  <c r="AC153" i="2"/>
  <c r="AC152" i="2"/>
  <c r="AC151" i="2"/>
  <c r="AC150" i="2"/>
  <c r="AC149" i="2"/>
  <c r="AC148" i="2"/>
  <c r="AC147" i="2"/>
  <c r="AC146" i="2"/>
  <c r="AC145" i="2"/>
  <c r="AC144" i="2"/>
  <c r="AC143" i="2"/>
  <c r="AC142" i="2"/>
  <c r="AC141" i="2"/>
  <c r="AC140" i="2"/>
  <c r="AC139" i="2"/>
  <c r="AC138" i="2"/>
  <c r="AC137" i="2"/>
  <c r="AC136" i="2"/>
  <c r="AC135" i="2"/>
  <c r="AC134" i="2"/>
  <c r="AC133" i="2"/>
  <c r="AC132" i="2"/>
  <c r="AC131" i="2"/>
  <c r="AC130" i="2"/>
  <c r="AC129" i="2"/>
  <c r="AC128" i="2"/>
  <c r="AC127" i="2"/>
  <c r="AC126" i="2"/>
  <c r="AC125" i="2"/>
  <c r="AC124" i="2"/>
  <c r="AC123" i="2"/>
  <c r="AC122" i="2"/>
  <c r="AC121" i="2"/>
  <c r="AC120" i="2"/>
  <c r="AC119" i="2"/>
  <c r="AC118" i="2"/>
  <c r="AC117" i="2"/>
  <c r="AC116" i="2"/>
  <c r="AC115" i="2"/>
  <c r="AC114" i="2"/>
  <c r="AC113" i="2"/>
  <c r="AC112" i="2"/>
  <c r="AC111" i="2"/>
  <c r="AC110" i="2"/>
  <c r="AC109" i="2"/>
  <c r="AC108" i="2"/>
  <c r="AC107" i="2"/>
  <c r="AC106" i="2"/>
  <c r="AC105" i="2"/>
  <c r="AC104" i="2"/>
  <c r="AC103" i="2"/>
  <c r="AC102" i="2"/>
  <c r="AC101" i="2"/>
  <c r="AC100" i="2"/>
  <c r="AC99" i="2"/>
  <c r="AC98" i="2"/>
  <c r="AC97" i="2"/>
  <c r="AC96" i="2"/>
  <c r="AC95" i="2"/>
  <c r="AC94" i="2"/>
  <c r="AC93" i="2"/>
  <c r="AC92" i="2"/>
  <c r="AC91" i="2"/>
  <c r="AC90" i="2"/>
  <c r="AC89" i="2"/>
  <c r="AC88" i="2"/>
  <c r="AC87" i="2"/>
  <c r="AC86" i="2"/>
  <c r="AC85" i="2"/>
  <c r="AC84" i="2"/>
  <c r="AC83" i="2"/>
  <c r="AC82" i="2"/>
  <c r="AA368" i="2"/>
  <c r="AA367" i="2"/>
  <c r="AA366" i="2"/>
  <c r="AA365" i="2"/>
  <c r="AA364" i="2"/>
  <c r="AA363" i="2"/>
  <c r="AA362" i="2"/>
  <c r="AA361" i="2"/>
  <c r="AA360" i="2"/>
  <c r="AA359" i="2"/>
  <c r="AA358" i="2"/>
  <c r="AA357" i="2"/>
  <c r="AA356" i="2"/>
  <c r="AA355" i="2"/>
  <c r="AA354" i="2"/>
  <c r="AA353" i="2"/>
  <c r="AA352" i="2"/>
  <c r="AA351" i="2"/>
  <c r="AA350" i="2"/>
  <c r="AA349" i="2"/>
  <c r="AA348" i="2"/>
  <c r="AA347" i="2"/>
  <c r="AA346" i="2"/>
  <c r="AA345" i="2"/>
  <c r="AA344" i="2"/>
  <c r="AA343" i="2"/>
  <c r="AA342" i="2"/>
  <c r="AA341" i="2"/>
  <c r="AA340" i="2"/>
  <c r="AA339" i="2"/>
  <c r="AA338" i="2"/>
  <c r="AA337" i="2"/>
  <c r="AA336" i="2"/>
  <c r="AA335" i="2"/>
  <c r="AA334" i="2"/>
  <c r="AA333" i="2"/>
  <c r="AA332" i="2"/>
  <c r="AA331" i="2"/>
  <c r="AA330" i="2"/>
  <c r="AA329" i="2"/>
  <c r="AA328" i="2"/>
  <c r="AA327" i="2"/>
  <c r="AA326" i="2"/>
  <c r="AA325" i="2"/>
  <c r="AA324" i="2"/>
  <c r="AA323" i="2"/>
  <c r="AA322" i="2"/>
  <c r="AA321" i="2"/>
  <c r="AA320" i="2"/>
  <c r="AA319" i="2"/>
  <c r="AA318" i="2"/>
  <c r="AA317" i="2"/>
  <c r="AA316" i="2"/>
  <c r="AA315" i="2"/>
  <c r="AA314" i="2"/>
  <c r="AA313" i="2"/>
  <c r="AA312" i="2"/>
  <c r="AA311" i="2"/>
  <c r="AA310" i="2"/>
  <c r="AA309" i="2"/>
  <c r="AA308" i="2"/>
  <c r="AA307" i="2"/>
  <c r="AA306" i="2"/>
  <c r="AA305" i="2"/>
  <c r="AA304" i="2"/>
  <c r="AA303" i="2"/>
  <c r="AA302" i="2"/>
  <c r="AA301" i="2"/>
  <c r="AA300" i="2"/>
  <c r="AA299" i="2"/>
  <c r="AA298" i="2"/>
  <c r="AA297" i="2"/>
  <c r="AA296" i="2"/>
  <c r="AA295" i="2"/>
  <c r="AA294" i="2"/>
  <c r="AA293" i="2"/>
  <c r="AA292" i="2"/>
  <c r="AA291" i="2"/>
  <c r="AA290" i="2"/>
  <c r="AA289" i="2"/>
  <c r="AA288" i="2"/>
  <c r="AA287" i="2"/>
  <c r="AA286" i="2"/>
  <c r="AA285" i="2"/>
  <c r="AA284" i="2"/>
  <c r="AA283" i="2"/>
  <c r="AA282" i="2"/>
  <c r="AA281" i="2"/>
  <c r="AA280" i="2"/>
  <c r="AA279" i="2"/>
  <c r="AA278" i="2"/>
  <c r="AA277" i="2"/>
  <c r="AA276" i="2"/>
  <c r="AA275" i="2"/>
  <c r="AA274" i="2"/>
  <c r="AA273" i="2"/>
  <c r="AA272" i="2"/>
  <c r="AA271" i="2"/>
  <c r="AA270" i="2"/>
  <c r="AA269" i="2"/>
  <c r="AA268" i="2"/>
  <c r="AA267" i="2"/>
  <c r="AA266" i="2"/>
  <c r="AA265" i="2"/>
  <c r="AA264" i="2"/>
  <c r="AA263" i="2"/>
  <c r="AA262" i="2"/>
  <c r="AA261" i="2"/>
  <c r="AA260" i="2"/>
  <c r="AA259" i="2"/>
  <c r="AA258" i="2"/>
  <c r="AA257" i="2"/>
  <c r="AA256" i="2"/>
  <c r="AA255" i="2"/>
  <c r="AA254" i="2"/>
  <c r="AA253" i="2"/>
  <c r="AA252" i="2"/>
  <c r="AA251" i="2"/>
  <c r="AA250" i="2"/>
  <c r="AA249" i="2"/>
  <c r="AA248" i="2"/>
  <c r="AA247" i="2"/>
  <c r="AA246" i="2"/>
  <c r="AA245" i="2"/>
  <c r="AA244" i="2"/>
  <c r="AA243" i="2"/>
  <c r="AA242" i="2"/>
  <c r="AA241" i="2"/>
  <c r="AA240" i="2"/>
  <c r="AA239" i="2"/>
  <c r="AA238" i="2"/>
  <c r="AA237" i="2"/>
  <c r="AA236" i="2"/>
  <c r="AA235" i="2"/>
  <c r="AA234" i="2"/>
  <c r="AA233" i="2"/>
  <c r="AA232" i="2"/>
  <c r="AA231" i="2"/>
  <c r="AA230" i="2"/>
  <c r="AA229" i="2"/>
  <c r="AA228" i="2"/>
  <c r="AA227" i="2"/>
  <c r="AA226" i="2"/>
  <c r="AA225" i="2"/>
  <c r="AA224" i="2"/>
  <c r="AA223" i="2"/>
  <c r="AA222" i="2"/>
  <c r="AA221" i="2"/>
  <c r="AA220" i="2"/>
  <c r="AA219" i="2"/>
  <c r="AA218" i="2"/>
  <c r="AA217" i="2"/>
  <c r="AA216" i="2"/>
  <c r="AA215" i="2"/>
  <c r="AA214" i="2"/>
  <c r="AA213" i="2"/>
  <c r="AA212" i="2"/>
  <c r="AA211" i="2"/>
  <c r="AA210" i="2"/>
  <c r="AA209" i="2"/>
  <c r="AA208" i="2"/>
  <c r="AA207" i="2"/>
  <c r="AA206" i="2"/>
  <c r="AA205" i="2"/>
  <c r="AA204" i="2"/>
  <c r="AA203" i="2"/>
  <c r="AA202" i="2"/>
  <c r="AA201" i="2"/>
  <c r="AA200" i="2"/>
  <c r="AA199" i="2"/>
  <c r="AA198" i="2"/>
  <c r="AA197" i="2"/>
  <c r="AA196" i="2"/>
  <c r="AA195" i="2"/>
  <c r="AA194" i="2"/>
  <c r="AA193" i="2"/>
  <c r="AA192" i="2"/>
  <c r="AA191" i="2"/>
  <c r="AA190" i="2"/>
  <c r="AA189" i="2"/>
  <c r="AA188" i="2"/>
  <c r="AA187" i="2"/>
  <c r="AA186" i="2"/>
  <c r="AA185" i="2"/>
  <c r="AA184" i="2"/>
  <c r="AA183" i="2"/>
  <c r="AA182" i="2"/>
  <c r="AA181" i="2"/>
  <c r="AA180" i="2"/>
  <c r="AA179" i="2"/>
  <c r="AA178" i="2"/>
  <c r="AA177" i="2"/>
  <c r="AA176" i="2"/>
  <c r="AA175" i="2"/>
  <c r="AA174" i="2"/>
  <c r="AA173" i="2"/>
  <c r="AA172" i="2"/>
  <c r="AA171" i="2"/>
  <c r="AA170" i="2"/>
  <c r="AA169" i="2"/>
  <c r="AA168" i="2"/>
  <c r="AA167" i="2"/>
  <c r="AA166" i="2"/>
  <c r="AA165" i="2"/>
  <c r="AA164" i="2"/>
  <c r="AA163" i="2"/>
  <c r="AA162" i="2"/>
  <c r="AA161" i="2"/>
  <c r="AA160" i="2"/>
  <c r="AA159" i="2"/>
  <c r="AA158" i="2"/>
  <c r="AA157" i="2"/>
  <c r="AA156" i="2"/>
  <c r="AA155" i="2"/>
  <c r="AA154" i="2"/>
  <c r="AA153" i="2"/>
  <c r="AA152" i="2"/>
  <c r="AA151" i="2"/>
  <c r="AA150" i="2"/>
  <c r="AA149" i="2"/>
  <c r="AA148" i="2"/>
  <c r="AA147" i="2"/>
  <c r="AA146" i="2"/>
  <c r="AA145" i="2"/>
  <c r="AA144" i="2"/>
  <c r="AA143" i="2"/>
  <c r="AA142" i="2"/>
  <c r="AA141" i="2"/>
  <c r="AA140" i="2"/>
  <c r="AA139" i="2"/>
  <c r="AA138" i="2"/>
  <c r="AA137" i="2"/>
  <c r="AA136" i="2"/>
  <c r="AA135" i="2"/>
  <c r="AA134" i="2"/>
  <c r="AA133" i="2"/>
  <c r="AA132" i="2"/>
  <c r="AA131" i="2"/>
  <c r="AA130" i="2"/>
  <c r="AA129" i="2"/>
  <c r="AA128" i="2"/>
  <c r="AA127" i="2"/>
  <c r="AA126" i="2"/>
  <c r="AA125" i="2"/>
  <c r="AA124" i="2"/>
  <c r="AA123" i="2"/>
  <c r="AA122" i="2"/>
  <c r="AA121" i="2"/>
  <c r="AA120" i="2"/>
  <c r="AA119" i="2"/>
  <c r="AA118" i="2"/>
  <c r="AA117" i="2"/>
  <c r="AA116" i="2"/>
  <c r="AA115" i="2"/>
  <c r="AA114" i="2"/>
  <c r="AA113" i="2"/>
  <c r="AA112" i="2"/>
  <c r="AA111" i="2"/>
  <c r="AA110" i="2"/>
  <c r="AA109" i="2"/>
  <c r="AA108" i="2"/>
  <c r="AA107" i="2"/>
  <c r="AA106" i="2"/>
  <c r="AA105" i="2"/>
  <c r="AA104" i="2"/>
  <c r="AA103" i="2"/>
  <c r="AA102" i="2"/>
  <c r="AA101" i="2"/>
  <c r="AA100" i="2"/>
  <c r="AA99" i="2"/>
  <c r="AA98" i="2"/>
  <c r="AA97" i="2"/>
  <c r="AA96" i="2"/>
  <c r="AA95" i="2"/>
  <c r="AA94" i="2"/>
  <c r="AA93" i="2"/>
  <c r="AA92" i="2"/>
  <c r="AA91" i="2"/>
  <c r="AA90" i="2"/>
  <c r="AA89" i="2"/>
  <c r="AA88" i="2"/>
  <c r="AA87" i="2"/>
  <c r="AA86" i="2"/>
  <c r="AA85" i="2"/>
  <c r="AA84" i="2"/>
  <c r="AA83" i="2"/>
  <c r="AA82" i="2"/>
  <c r="Y368" i="2"/>
  <c r="Y367" i="2"/>
  <c r="Y366" i="2"/>
  <c r="Y365" i="2"/>
  <c r="Y364" i="2"/>
  <c r="Y363" i="2"/>
  <c r="Y362" i="2"/>
  <c r="Y361" i="2"/>
  <c r="Y360" i="2"/>
  <c r="Y359" i="2"/>
  <c r="Y358" i="2"/>
  <c r="Y357" i="2"/>
  <c r="Y356" i="2"/>
  <c r="Y355" i="2"/>
  <c r="Y354" i="2"/>
  <c r="Y353" i="2"/>
  <c r="Y352" i="2"/>
  <c r="Y351" i="2"/>
  <c r="Y350" i="2"/>
  <c r="Y349" i="2"/>
  <c r="Y348" i="2"/>
  <c r="Y347" i="2"/>
  <c r="Y346" i="2"/>
  <c r="Y345" i="2"/>
  <c r="Y344" i="2"/>
  <c r="Y343" i="2"/>
  <c r="Y342" i="2"/>
  <c r="Y341" i="2"/>
  <c r="Y340" i="2"/>
  <c r="Y339" i="2"/>
  <c r="Y338" i="2"/>
  <c r="Y337" i="2"/>
  <c r="Y336" i="2"/>
  <c r="Y335" i="2"/>
  <c r="Y334" i="2"/>
  <c r="Y333" i="2"/>
  <c r="Y332" i="2"/>
  <c r="Y331" i="2"/>
  <c r="Y330" i="2"/>
  <c r="Y329" i="2"/>
  <c r="Y328" i="2"/>
  <c r="Y327" i="2"/>
  <c r="Y326" i="2"/>
  <c r="Y325" i="2"/>
  <c r="Y324" i="2"/>
  <c r="Y323" i="2"/>
  <c r="Y322" i="2"/>
  <c r="Y321" i="2"/>
  <c r="Y320" i="2"/>
  <c r="Y319" i="2"/>
  <c r="Y318" i="2"/>
  <c r="Y317" i="2"/>
  <c r="Y316" i="2"/>
  <c r="Y315" i="2"/>
  <c r="Y314" i="2"/>
  <c r="Y313" i="2"/>
  <c r="Y312" i="2"/>
  <c r="Y311" i="2"/>
  <c r="Y310" i="2"/>
  <c r="Y309" i="2"/>
  <c r="Y308" i="2"/>
  <c r="Y307" i="2"/>
  <c r="Y306" i="2"/>
  <c r="Y305" i="2"/>
  <c r="Y304" i="2"/>
  <c r="Y303" i="2"/>
  <c r="Y302" i="2"/>
  <c r="Y301" i="2"/>
  <c r="Y300" i="2"/>
  <c r="Y299" i="2"/>
  <c r="Y298" i="2"/>
  <c r="Y297" i="2"/>
  <c r="Y296" i="2"/>
  <c r="Y295" i="2"/>
  <c r="Y294" i="2"/>
  <c r="Y293" i="2"/>
  <c r="Y292" i="2"/>
  <c r="Y291" i="2"/>
  <c r="Y290" i="2"/>
  <c r="Y289" i="2"/>
  <c r="Y288" i="2"/>
  <c r="Y287" i="2"/>
  <c r="Y286" i="2"/>
  <c r="Y285" i="2"/>
  <c r="Y284" i="2"/>
  <c r="Y283" i="2"/>
  <c r="Y282" i="2"/>
  <c r="Y281" i="2"/>
  <c r="Y280" i="2"/>
  <c r="Y279" i="2"/>
  <c r="Y278" i="2"/>
  <c r="Y277" i="2"/>
  <c r="Y276" i="2"/>
  <c r="Y275" i="2"/>
  <c r="Y274" i="2"/>
  <c r="Y273" i="2"/>
  <c r="Y272" i="2"/>
  <c r="Y271" i="2"/>
  <c r="Y270" i="2"/>
  <c r="Y269" i="2"/>
  <c r="Y268" i="2"/>
  <c r="Y267" i="2"/>
  <c r="Y266" i="2"/>
  <c r="Y265" i="2"/>
  <c r="Y264" i="2"/>
  <c r="Y263" i="2"/>
  <c r="Y262" i="2"/>
  <c r="Y261" i="2"/>
  <c r="Y260" i="2"/>
  <c r="Y259" i="2"/>
  <c r="Y258" i="2"/>
  <c r="Y257" i="2"/>
  <c r="Y256" i="2"/>
  <c r="Y255" i="2"/>
  <c r="Y254" i="2"/>
  <c r="Y253" i="2"/>
  <c r="Y252" i="2"/>
  <c r="Y251" i="2"/>
  <c r="Y250" i="2"/>
  <c r="Y249" i="2"/>
  <c r="Y248" i="2"/>
  <c r="Y247" i="2"/>
  <c r="Y246" i="2"/>
  <c r="Y245" i="2"/>
  <c r="Y244" i="2"/>
  <c r="Y243" i="2"/>
  <c r="Y242" i="2"/>
  <c r="Y241" i="2"/>
  <c r="Y240" i="2"/>
  <c r="Y239" i="2"/>
  <c r="Y238" i="2"/>
  <c r="Y237" i="2"/>
  <c r="Y236" i="2"/>
  <c r="Y235" i="2"/>
  <c r="Y234" i="2"/>
  <c r="Y233" i="2"/>
  <c r="Y232" i="2"/>
  <c r="Y231" i="2"/>
  <c r="Y230" i="2"/>
  <c r="Y229" i="2"/>
  <c r="Y228" i="2"/>
  <c r="Y227" i="2"/>
  <c r="Y226" i="2"/>
  <c r="Y225" i="2"/>
  <c r="Y224" i="2"/>
  <c r="Y223" i="2"/>
  <c r="Y222" i="2"/>
  <c r="Y221" i="2"/>
  <c r="Y220" i="2"/>
  <c r="Y219" i="2"/>
  <c r="Y218" i="2"/>
  <c r="Y217" i="2"/>
  <c r="Y216" i="2"/>
  <c r="Y215" i="2"/>
  <c r="Y214" i="2"/>
  <c r="Y213" i="2"/>
  <c r="Y212" i="2"/>
  <c r="Y211" i="2"/>
  <c r="Y210" i="2"/>
  <c r="Y209" i="2"/>
  <c r="Y208" i="2"/>
  <c r="Y207" i="2"/>
  <c r="Y206" i="2"/>
  <c r="Y205" i="2"/>
  <c r="Y204" i="2"/>
  <c r="Y203" i="2"/>
  <c r="Y202" i="2"/>
  <c r="Y201" i="2"/>
  <c r="Y200" i="2"/>
  <c r="Y199" i="2"/>
  <c r="Y198" i="2"/>
  <c r="Y197" i="2"/>
  <c r="Y196" i="2"/>
  <c r="Y195" i="2"/>
  <c r="Y194" i="2"/>
  <c r="Y193" i="2"/>
  <c r="Y192" i="2"/>
  <c r="Y191" i="2"/>
  <c r="Y190" i="2"/>
  <c r="Y189" i="2"/>
  <c r="Y188" i="2"/>
  <c r="Y187" i="2"/>
  <c r="Y186" i="2"/>
  <c r="Y185" i="2"/>
  <c r="Y184" i="2"/>
  <c r="Y183" i="2"/>
  <c r="Y182" i="2"/>
  <c r="Y181" i="2"/>
  <c r="Y180" i="2"/>
  <c r="Y179" i="2"/>
  <c r="Y178" i="2"/>
  <c r="Y177" i="2"/>
  <c r="Y176" i="2"/>
  <c r="Y175" i="2"/>
  <c r="Y174" i="2"/>
  <c r="Y173" i="2"/>
  <c r="Y172" i="2"/>
  <c r="Y171" i="2"/>
  <c r="Y170" i="2"/>
  <c r="Y169" i="2"/>
  <c r="Y168" i="2"/>
  <c r="Y167" i="2"/>
  <c r="Y166" i="2"/>
  <c r="Y165" i="2"/>
  <c r="Y164" i="2"/>
  <c r="Y163" i="2"/>
  <c r="Y162" i="2"/>
  <c r="Y161" i="2"/>
  <c r="Y160" i="2"/>
  <c r="Y159" i="2"/>
  <c r="Y158" i="2"/>
  <c r="Y157" i="2"/>
  <c r="Y156" i="2"/>
  <c r="Y155" i="2"/>
  <c r="Y154" i="2"/>
  <c r="Y153" i="2"/>
  <c r="Y152" i="2"/>
  <c r="Y151" i="2"/>
  <c r="Y150" i="2"/>
  <c r="Y149" i="2"/>
  <c r="Y148" i="2"/>
  <c r="Y147" i="2"/>
  <c r="Y146" i="2"/>
  <c r="Y145" i="2"/>
  <c r="Y144" i="2"/>
  <c r="Y143" i="2"/>
  <c r="Y142" i="2"/>
  <c r="Y141" i="2"/>
  <c r="Y140" i="2"/>
  <c r="Y139" i="2"/>
  <c r="Y138" i="2"/>
  <c r="Y137" i="2"/>
  <c r="Y136" i="2"/>
  <c r="Y135" i="2"/>
  <c r="Y134" i="2"/>
  <c r="Y133" i="2"/>
  <c r="Y132" i="2"/>
  <c r="Y131" i="2"/>
  <c r="Y130" i="2"/>
  <c r="Y129" i="2"/>
  <c r="Y128" i="2"/>
  <c r="Y127" i="2"/>
  <c r="Y126" i="2"/>
  <c r="Y125" i="2"/>
  <c r="Y124" i="2"/>
  <c r="Y123" i="2"/>
  <c r="Y122" i="2"/>
  <c r="Y121" i="2"/>
  <c r="Y120" i="2"/>
  <c r="Y119" i="2"/>
  <c r="Y118" i="2"/>
  <c r="Y117" i="2"/>
  <c r="Y116" i="2"/>
  <c r="Y115" i="2"/>
  <c r="Y114" i="2"/>
  <c r="Y113" i="2"/>
  <c r="Y112" i="2"/>
  <c r="Y111" i="2"/>
  <c r="Y110" i="2"/>
  <c r="Y109" i="2"/>
  <c r="Y108" i="2"/>
  <c r="Y107" i="2"/>
  <c r="Y106" i="2"/>
  <c r="Y105" i="2"/>
  <c r="Y104" i="2"/>
  <c r="Y103" i="2"/>
  <c r="Y102" i="2"/>
  <c r="Y101" i="2"/>
  <c r="Y100" i="2"/>
  <c r="Y99" i="2"/>
  <c r="Y98" i="2"/>
  <c r="Y97" i="2"/>
  <c r="Y96" i="2"/>
  <c r="Y95" i="2"/>
  <c r="Y94" i="2"/>
  <c r="Y93" i="2"/>
  <c r="Y92" i="2"/>
  <c r="Y91" i="2"/>
  <c r="Y90" i="2"/>
  <c r="Y89" i="2"/>
  <c r="Y88" i="2"/>
  <c r="Y87" i="2"/>
  <c r="Y86" i="2"/>
  <c r="Y85" i="2"/>
  <c r="Y84" i="2"/>
  <c r="Y83" i="2"/>
  <c r="Y82" i="2"/>
  <c r="W368" i="2"/>
  <c r="W367" i="2"/>
  <c r="W366" i="2"/>
  <c r="W365" i="2"/>
  <c r="W364" i="2"/>
  <c r="W363" i="2"/>
  <c r="W362" i="2"/>
  <c r="W361" i="2"/>
  <c r="W360" i="2"/>
  <c r="W359" i="2"/>
  <c r="W358" i="2"/>
  <c r="W357" i="2"/>
  <c r="W356" i="2"/>
  <c r="W355" i="2"/>
  <c r="W354" i="2"/>
  <c r="W353" i="2"/>
  <c r="W352" i="2"/>
  <c r="W351" i="2"/>
  <c r="W350" i="2"/>
  <c r="W349" i="2"/>
  <c r="W348" i="2"/>
  <c r="W347" i="2"/>
  <c r="W346" i="2"/>
  <c r="W345" i="2"/>
  <c r="W344" i="2"/>
  <c r="W343" i="2"/>
  <c r="W342" i="2"/>
  <c r="W341" i="2"/>
  <c r="W340" i="2"/>
  <c r="W339" i="2"/>
  <c r="W338" i="2"/>
  <c r="W337" i="2"/>
  <c r="W336" i="2"/>
  <c r="W335" i="2"/>
  <c r="W334" i="2"/>
  <c r="W333" i="2"/>
  <c r="W332" i="2"/>
  <c r="W331" i="2"/>
  <c r="W330" i="2"/>
  <c r="W329" i="2"/>
  <c r="W328" i="2"/>
  <c r="W327" i="2"/>
  <c r="W326" i="2"/>
  <c r="W325" i="2"/>
  <c r="W324" i="2"/>
  <c r="W323" i="2"/>
  <c r="W322" i="2"/>
  <c r="W321" i="2"/>
  <c r="W320" i="2"/>
  <c r="W319" i="2"/>
  <c r="W318" i="2"/>
  <c r="W317" i="2"/>
  <c r="W316" i="2"/>
  <c r="W315" i="2"/>
  <c r="W314" i="2"/>
  <c r="W313" i="2"/>
  <c r="W312" i="2"/>
  <c r="W311" i="2"/>
  <c r="W310" i="2"/>
  <c r="W309" i="2"/>
  <c r="W308" i="2"/>
  <c r="W307" i="2"/>
  <c r="W306" i="2"/>
  <c r="W305" i="2"/>
  <c r="W304" i="2"/>
  <c r="W303" i="2"/>
  <c r="W302" i="2"/>
  <c r="W301" i="2"/>
  <c r="W300" i="2"/>
  <c r="W299" i="2"/>
  <c r="W298" i="2"/>
  <c r="W297" i="2"/>
  <c r="W296" i="2"/>
  <c r="W295" i="2"/>
  <c r="W294" i="2"/>
  <c r="W293" i="2"/>
  <c r="W292" i="2"/>
  <c r="W291" i="2"/>
  <c r="W290" i="2"/>
  <c r="W289" i="2"/>
  <c r="W288" i="2"/>
  <c r="W287" i="2"/>
  <c r="W286" i="2"/>
  <c r="W285" i="2"/>
  <c r="W284" i="2"/>
  <c r="W283" i="2"/>
  <c r="W282" i="2"/>
  <c r="W281" i="2"/>
  <c r="W280" i="2"/>
  <c r="W279" i="2"/>
  <c r="W278" i="2"/>
  <c r="W277" i="2"/>
  <c r="W276" i="2"/>
  <c r="W275" i="2"/>
  <c r="W274" i="2"/>
  <c r="W273" i="2"/>
  <c r="W272" i="2"/>
  <c r="W271" i="2"/>
  <c r="W270" i="2"/>
  <c r="W269" i="2"/>
  <c r="W268" i="2"/>
  <c r="W267" i="2"/>
  <c r="W266" i="2"/>
  <c r="W265" i="2"/>
  <c r="W264" i="2"/>
  <c r="W263" i="2"/>
  <c r="W262" i="2"/>
  <c r="W261" i="2"/>
  <c r="W260" i="2"/>
  <c r="W259" i="2"/>
  <c r="W258" i="2"/>
  <c r="W257" i="2"/>
  <c r="W256" i="2"/>
  <c r="W255" i="2"/>
  <c r="W254" i="2"/>
  <c r="W253" i="2"/>
  <c r="W252" i="2"/>
  <c r="W251" i="2"/>
  <c r="W250" i="2"/>
  <c r="W249" i="2"/>
  <c r="W248" i="2"/>
  <c r="W247" i="2"/>
  <c r="W246" i="2"/>
  <c r="W245" i="2"/>
  <c r="W244" i="2"/>
  <c r="W243" i="2"/>
  <c r="W242" i="2"/>
  <c r="W241" i="2"/>
  <c r="W240" i="2"/>
  <c r="W239" i="2"/>
  <c r="W238" i="2"/>
  <c r="W237" i="2"/>
  <c r="W236" i="2"/>
  <c r="W235" i="2"/>
  <c r="W234" i="2"/>
  <c r="W233" i="2"/>
  <c r="W232" i="2"/>
  <c r="W231" i="2"/>
  <c r="W230" i="2"/>
  <c r="W229" i="2"/>
  <c r="W228" i="2"/>
  <c r="W227" i="2"/>
  <c r="W226" i="2"/>
  <c r="W225" i="2"/>
  <c r="W224" i="2"/>
  <c r="W223" i="2"/>
  <c r="W222" i="2"/>
  <c r="W221" i="2"/>
  <c r="W220" i="2"/>
  <c r="W219" i="2"/>
  <c r="W218" i="2"/>
  <c r="W217" i="2"/>
  <c r="W216" i="2"/>
  <c r="W215" i="2"/>
  <c r="W214" i="2"/>
  <c r="W213" i="2"/>
  <c r="W212" i="2"/>
  <c r="W211" i="2"/>
  <c r="W210" i="2"/>
  <c r="W209" i="2"/>
  <c r="W208" i="2"/>
  <c r="W207" i="2"/>
  <c r="W206" i="2"/>
  <c r="W205" i="2"/>
  <c r="W204" i="2"/>
  <c r="W203" i="2"/>
  <c r="W202" i="2"/>
  <c r="W201" i="2"/>
  <c r="W200" i="2"/>
  <c r="W199" i="2"/>
  <c r="W198" i="2"/>
  <c r="W197" i="2"/>
  <c r="W196" i="2"/>
  <c r="W195" i="2"/>
  <c r="W194" i="2"/>
  <c r="W193" i="2"/>
  <c r="W192" i="2"/>
  <c r="W191" i="2"/>
  <c r="W190" i="2"/>
  <c r="W189" i="2"/>
  <c r="W188" i="2"/>
  <c r="W187" i="2"/>
  <c r="W186" i="2"/>
  <c r="W185" i="2"/>
  <c r="W184" i="2"/>
  <c r="W183" i="2"/>
  <c r="W182" i="2"/>
  <c r="W181" i="2"/>
  <c r="W180" i="2"/>
  <c r="W179" i="2"/>
  <c r="W178" i="2"/>
  <c r="W177" i="2"/>
  <c r="W176" i="2"/>
  <c r="W175" i="2"/>
  <c r="W174" i="2"/>
  <c r="W173" i="2"/>
  <c r="W172" i="2"/>
  <c r="W171" i="2"/>
  <c r="W170" i="2"/>
  <c r="W169" i="2"/>
  <c r="W168" i="2"/>
  <c r="W167" i="2"/>
  <c r="W166" i="2"/>
  <c r="W165" i="2"/>
  <c r="W164" i="2"/>
  <c r="W163" i="2"/>
  <c r="W162" i="2"/>
  <c r="W161" i="2"/>
  <c r="W160" i="2"/>
  <c r="W159" i="2"/>
  <c r="W158" i="2"/>
  <c r="W157" i="2"/>
  <c r="W156" i="2"/>
  <c r="W155" i="2"/>
  <c r="W154" i="2"/>
  <c r="W153" i="2"/>
  <c r="W152" i="2"/>
  <c r="W151" i="2"/>
  <c r="W150" i="2"/>
  <c r="W149" i="2"/>
  <c r="W148" i="2"/>
  <c r="W147" i="2"/>
  <c r="W146" i="2"/>
  <c r="W145" i="2"/>
  <c r="W144" i="2"/>
  <c r="W143" i="2"/>
  <c r="W142" i="2"/>
  <c r="W141" i="2"/>
  <c r="W140" i="2"/>
  <c r="W139" i="2"/>
  <c r="W138" i="2"/>
  <c r="W137" i="2"/>
  <c r="W136" i="2"/>
  <c r="W135" i="2"/>
  <c r="W134" i="2"/>
  <c r="W133" i="2"/>
  <c r="W132" i="2"/>
  <c r="W131" i="2"/>
  <c r="W130" i="2"/>
  <c r="W129" i="2"/>
  <c r="W128" i="2"/>
  <c r="W127" i="2"/>
  <c r="W126" i="2"/>
  <c r="W125" i="2"/>
  <c r="W124" i="2"/>
  <c r="W123" i="2"/>
  <c r="W122" i="2"/>
  <c r="W121" i="2"/>
  <c r="W120" i="2"/>
  <c r="W119" i="2"/>
  <c r="W118" i="2"/>
  <c r="W117" i="2"/>
  <c r="W116" i="2"/>
  <c r="W115" i="2"/>
  <c r="W114" i="2"/>
  <c r="W113" i="2"/>
  <c r="W112" i="2"/>
  <c r="W111" i="2"/>
  <c r="W110" i="2"/>
  <c r="W109" i="2"/>
  <c r="W108" i="2"/>
  <c r="W107" i="2"/>
  <c r="W106" i="2"/>
  <c r="W105" i="2"/>
  <c r="W104" i="2"/>
  <c r="W103" i="2"/>
  <c r="W102" i="2"/>
  <c r="W101" i="2"/>
  <c r="W100" i="2"/>
  <c r="W99" i="2"/>
  <c r="W98" i="2"/>
  <c r="W97" i="2"/>
  <c r="W96" i="2"/>
  <c r="W95" i="2"/>
  <c r="W94" i="2"/>
  <c r="W93" i="2"/>
  <c r="W92" i="2"/>
  <c r="W91" i="2"/>
  <c r="W90" i="2"/>
  <c r="W89" i="2"/>
  <c r="W88" i="2"/>
  <c r="W87" i="2"/>
  <c r="W86" i="2"/>
  <c r="W85" i="2"/>
  <c r="W84" i="2"/>
  <c r="W83" i="2"/>
  <c r="W82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S368" i="2"/>
  <c r="S367" i="2"/>
  <c r="S366" i="2"/>
  <c r="S365" i="2"/>
  <c r="S364" i="2"/>
  <c r="S363" i="2"/>
  <c r="S362" i="2"/>
  <c r="S361" i="2"/>
  <c r="S360" i="2"/>
  <c r="S359" i="2"/>
  <c r="S358" i="2"/>
  <c r="S357" i="2"/>
  <c r="S356" i="2"/>
  <c r="S355" i="2"/>
  <c r="S354" i="2"/>
  <c r="S353" i="2"/>
  <c r="S352" i="2"/>
  <c r="S351" i="2"/>
  <c r="S350" i="2"/>
  <c r="S349" i="2"/>
  <c r="S348" i="2"/>
  <c r="S347" i="2"/>
  <c r="S346" i="2"/>
  <c r="S345" i="2"/>
  <c r="S344" i="2"/>
  <c r="S343" i="2"/>
  <c r="S342" i="2"/>
  <c r="S341" i="2"/>
  <c r="S340" i="2"/>
  <c r="S339" i="2"/>
  <c r="S338" i="2"/>
  <c r="S337" i="2"/>
  <c r="S336" i="2"/>
  <c r="S335" i="2"/>
  <c r="S334" i="2"/>
  <c r="S333" i="2"/>
  <c r="S332" i="2"/>
  <c r="S331" i="2"/>
  <c r="S330" i="2"/>
  <c r="S329" i="2"/>
  <c r="S328" i="2"/>
  <c r="S327" i="2"/>
  <c r="S326" i="2"/>
  <c r="S325" i="2"/>
  <c r="S324" i="2"/>
  <c r="S323" i="2"/>
  <c r="S322" i="2"/>
  <c r="S321" i="2"/>
  <c r="S320" i="2"/>
  <c r="S319" i="2"/>
  <c r="S318" i="2"/>
  <c r="S317" i="2"/>
  <c r="S316" i="2"/>
  <c r="S315" i="2"/>
  <c r="S314" i="2"/>
  <c r="S313" i="2"/>
  <c r="S312" i="2"/>
  <c r="S311" i="2"/>
  <c r="S310" i="2"/>
  <c r="S309" i="2"/>
  <c r="S308" i="2"/>
  <c r="S307" i="2"/>
  <c r="S306" i="2"/>
  <c r="S305" i="2"/>
  <c r="S304" i="2"/>
  <c r="S303" i="2"/>
  <c r="S302" i="2"/>
  <c r="S301" i="2"/>
  <c r="S300" i="2"/>
  <c r="S299" i="2"/>
  <c r="S298" i="2"/>
  <c r="S297" i="2"/>
  <c r="S296" i="2"/>
  <c r="S295" i="2"/>
  <c r="S294" i="2"/>
  <c r="S293" i="2"/>
  <c r="S292" i="2"/>
  <c r="S291" i="2"/>
  <c r="S290" i="2"/>
  <c r="S289" i="2"/>
  <c r="S288" i="2"/>
  <c r="S287" i="2"/>
  <c r="S286" i="2"/>
  <c r="S285" i="2"/>
  <c r="S284" i="2"/>
  <c r="S283" i="2"/>
  <c r="S282" i="2"/>
  <c r="S281" i="2"/>
  <c r="S280" i="2"/>
  <c r="S279" i="2"/>
  <c r="S278" i="2"/>
  <c r="S277" i="2"/>
  <c r="S276" i="2"/>
  <c r="S275" i="2"/>
  <c r="S274" i="2"/>
  <c r="S273" i="2"/>
  <c r="S272" i="2"/>
  <c r="S271" i="2"/>
  <c r="S270" i="2"/>
  <c r="S269" i="2"/>
  <c r="S268" i="2"/>
  <c r="S267" i="2"/>
  <c r="S266" i="2"/>
  <c r="S265" i="2"/>
  <c r="S264" i="2"/>
  <c r="S263" i="2"/>
  <c r="S262" i="2"/>
  <c r="S261" i="2"/>
  <c r="S260" i="2"/>
  <c r="S259" i="2"/>
  <c r="S258" i="2"/>
  <c r="S257" i="2"/>
  <c r="S256" i="2"/>
  <c r="S255" i="2"/>
  <c r="S254" i="2"/>
  <c r="S253" i="2"/>
  <c r="S252" i="2"/>
  <c r="S251" i="2"/>
  <c r="S250" i="2"/>
  <c r="S249" i="2"/>
  <c r="S248" i="2"/>
  <c r="S247" i="2"/>
  <c r="S246" i="2"/>
  <c r="S245" i="2"/>
  <c r="S244" i="2"/>
  <c r="S243" i="2"/>
  <c r="S242" i="2"/>
  <c r="S241" i="2"/>
  <c r="S240" i="2"/>
  <c r="S239" i="2"/>
  <c r="S238" i="2"/>
  <c r="S237" i="2"/>
  <c r="S236" i="2"/>
  <c r="S235" i="2"/>
  <c r="S234" i="2"/>
  <c r="S233" i="2"/>
  <c r="S232" i="2"/>
  <c r="S231" i="2"/>
  <c r="S230" i="2"/>
  <c r="S229" i="2"/>
  <c r="S228" i="2"/>
  <c r="S227" i="2"/>
  <c r="S226" i="2"/>
  <c r="S225" i="2"/>
  <c r="S224" i="2"/>
  <c r="S223" i="2"/>
  <c r="S222" i="2"/>
  <c r="S221" i="2"/>
  <c r="S220" i="2"/>
  <c r="S219" i="2"/>
  <c r="S218" i="2"/>
  <c r="S217" i="2"/>
  <c r="S216" i="2"/>
  <c r="S215" i="2"/>
  <c r="S214" i="2"/>
  <c r="S213" i="2"/>
  <c r="S212" i="2"/>
  <c r="S211" i="2"/>
  <c r="S210" i="2"/>
  <c r="S209" i="2"/>
  <c r="S208" i="2"/>
  <c r="S207" i="2"/>
  <c r="S206" i="2"/>
  <c r="S205" i="2"/>
  <c r="S204" i="2"/>
  <c r="S203" i="2"/>
  <c r="S202" i="2"/>
  <c r="S201" i="2"/>
  <c r="S200" i="2"/>
  <c r="S199" i="2"/>
  <c r="S198" i="2"/>
  <c r="S197" i="2"/>
  <c r="S196" i="2"/>
  <c r="S195" i="2"/>
  <c r="S194" i="2"/>
  <c r="S193" i="2"/>
  <c r="S192" i="2"/>
  <c r="S191" i="2"/>
  <c r="S190" i="2"/>
  <c r="S189" i="2"/>
  <c r="S188" i="2"/>
  <c r="S187" i="2"/>
  <c r="S186" i="2"/>
  <c r="S185" i="2"/>
  <c r="S184" i="2"/>
  <c r="S183" i="2"/>
  <c r="S182" i="2"/>
  <c r="S181" i="2"/>
  <c r="S180" i="2"/>
  <c r="S179" i="2"/>
  <c r="S178" i="2"/>
  <c r="S177" i="2"/>
  <c r="S176" i="2"/>
  <c r="S175" i="2"/>
  <c r="S174" i="2"/>
  <c r="S173" i="2"/>
  <c r="S172" i="2"/>
  <c r="S171" i="2"/>
  <c r="S170" i="2"/>
  <c r="S169" i="2"/>
  <c r="S168" i="2"/>
  <c r="S167" i="2"/>
  <c r="S166" i="2"/>
  <c r="S165" i="2"/>
  <c r="S164" i="2"/>
  <c r="S163" i="2"/>
  <c r="S162" i="2"/>
  <c r="S161" i="2"/>
  <c r="S160" i="2"/>
  <c r="S159" i="2"/>
  <c r="S158" i="2"/>
  <c r="S157" i="2"/>
  <c r="S156" i="2"/>
  <c r="S155" i="2"/>
  <c r="S154" i="2"/>
  <c r="S153" i="2"/>
  <c r="S152" i="2"/>
  <c r="S151" i="2"/>
  <c r="S150" i="2"/>
  <c r="S149" i="2"/>
  <c r="S148" i="2"/>
  <c r="S147" i="2"/>
  <c r="S146" i="2"/>
  <c r="S145" i="2"/>
  <c r="S144" i="2"/>
  <c r="S143" i="2"/>
  <c r="S142" i="2"/>
  <c r="S141" i="2"/>
  <c r="S140" i="2"/>
  <c r="S139" i="2"/>
  <c r="S138" i="2"/>
  <c r="S137" i="2"/>
  <c r="S136" i="2"/>
  <c r="S135" i="2"/>
  <c r="S134" i="2"/>
  <c r="S133" i="2"/>
  <c r="S132" i="2"/>
  <c r="S131" i="2"/>
  <c r="S130" i="2"/>
  <c r="S129" i="2"/>
  <c r="S128" i="2"/>
  <c r="S127" i="2"/>
  <c r="S126" i="2"/>
  <c r="S125" i="2"/>
  <c r="S124" i="2"/>
  <c r="S123" i="2"/>
  <c r="S122" i="2"/>
  <c r="S121" i="2"/>
  <c r="S120" i="2"/>
  <c r="S119" i="2"/>
  <c r="S118" i="2"/>
  <c r="S117" i="2"/>
  <c r="S116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101" i="2"/>
  <c r="S100" i="2"/>
  <c r="S99" i="2"/>
  <c r="S98" i="2"/>
  <c r="S97" i="2"/>
  <c r="S96" i="2"/>
  <c r="S95" i="2"/>
  <c r="S94" i="2"/>
  <c r="S93" i="2"/>
  <c r="S92" i="2"/>
  <c r="S91" i="2"/>
  <c r="S90" i="2"/>
  <c r="S89" i="2"/>
  <c r="S88" i="2"/>
  <c r="S87" i="2"/>
  <c r="S86" i="2"/>
  <c r="S85" i="2"/>
  <c r="S84" i="2"/>
  <c r="S83" i="2"/>
  <c r="S82" i="2"/>
  <c r="Q368" i="2"/>
  <c r="Q367" i="2"/>
  <c r="Q366" i="2"/>
  <c r="Q365" i="2"/>
  <c r="Q364" i="2"/>
  <c r="Q363" i="2"/>
  <c r="Q362" i="2"/>
  <c r="Q361" i="2"/>
  <c r="Q360" i="2"/>
  <c r="Q359" i="2"/>
  <c r="Q358" i="2"/>
  <c r="Q357" i="2"/>
  <c r="Q356" i="2"/>
  <c r="Q355" i="2"/>
  <c r="Q354" i="2"/>
  <c r="Q353" i="2"/>
  <c r="Q352" i="2"/>
  <c r="Q351" i="2"/>
  <c r="Q350" i="2"/>
  <c r="Q349" i="2"/>
  <c r="Q348" i="2"/>
  <c r="Q347" i="2"/>
  <c r="Q346" i="2"/>
  <c r="Q345" i="2"/>
  <c r="Q344" i="2"/>
  <c r="Q343" i="2"/>
  <c r="Q342" i="2"/>
  <c r="Q341" i="2"/>
  <c r="Q340" i="2"/>
  <c r="Q339" i="2"/>
  <c r="Q338" i="2"/>
  <c r="Q337" i="2"/>
  <c r="Q336" i="2"/>
  <c r="Q335" i="2"/>
  <c r="Q334" i="2"/>
  <c r="Q333" i="2"/>
  <c r="Q332" i="2"/>
  <c r="Q331" i="2"/>
  <c r="Q330" i="2"/>
  <c r="Q329" i="2"/>
  <c r="Q328" i="2"/>
  <c r="Q327" i="2"/>
  <c r="Q326" i="2"/>
  <c r="Q325" i="2"/>
  <c r="Q324" i="2"/>
  <c r="Q323" i="2"/>
  <c r="Q322" i="2"/>
  <c r="Q321" i="2"/>
  <c r="Q320" i="2"/>
  <c r="Q319" i="2"/>
  <c r="Q318" i="2"/>
  <c r="Q317" i="2"/>
  <c r="Q316" i="2"/>
  <c r="Q315" i="2"/>
  <c r="Q314" i="2"/>
  <c r="Q313" i="2"/>
  <c r="Q312" i="2"/>
  <c r="Q311" i="2"/>
  <c r="Q310" i="2"/>
  <c r="Q309" i="2"/>
  <c r="Q308" i="2"/>
  <c r="Q307" i="2"/>
  <c r="Q306" i="2"/>
  <c r="Q305" i="2"/>
  <c r="Q304" i="2"/>
  <c r="Q303" i="2"/>
  <c r="Q302" i="2"/>
  <c r="Q301" i="2"/>
  <c r="Q300" i="2"/>
  <c r="Q299" i="2"/>
  <c r="Q298" i="2"/>
  <c r="Q297" i="2"/>
  <c r="Q296" i="2"/>
  <c r="Q295" i="2"/>
  <c r="Q294" i="2"/>
  <c r="Q293" i="2"/>
  <c r="Q292" i="2"/>
  <c r="Q291" i="2"/>
  <c r="Q290" i="2"/>
  <c r="Q289" i="2"/>
  <c r="Q288" i="2"/>
  <c r="Q287" i="2"/>
  <c r="Q286" i="2"/>
  <c r="Q285" i="2"/>
  <c r="Q284" i="2"/>
  <c r="Q283" i="2"/>
  <c r="Q282" i="2"/>
  <c r="Q281" i="2"/>
  <c r="Q280" i="2"/>
  <c r="Q279" i="2"/>
  <c r="Q278" i="2"/>
  <c r="Q277" i="2"/>
  <c r="Q276" i="2"/>
  <c r="Q275" i="2"/>
  <c r="Q274" i="2"/>
  <c r="Q273" i="2"/>
  <c r="Q272" i="2"/>
  <c r="Q271" i="2"/>
  <c r="Q270" i="2"/>
  <c r="Q269" i="2"/>
  <c r="Q268" i="2"/>
  <c r="Q267" i="2"/>
  <c r="Q266" i="2"/>
  <c r="Q265" i="2"/>
  <c r="Q264" i="2"/>
  <c r="Q263" i="2"/>
  <c r="Q262" i="2"/>
  <c r="Q261" i="2"/>
  <c r="Q260" i="2"/>
  <c r="Q259" i="2"/>
  <c r="Q258" i="2"/>
  <c r="Q257" i="2"/>
  <c r="Q256" i="2"/>
  <c r="Q255" i="2"/>
  <c r="Q254" i="2"/>
  <c r="Q253" i="2"/>
  <c r="Q252" i="2"/>
  <c r="Q251" i="2"/>
  <c r="Q250" i="2"/>
  <c r="Q249" i="2"/>
  <c r="Q248" i="2"/>
  <c r="Q247" i="2"/>
  <c r="Q246" i="2"/>
  <c r="Q245" i="2"/>
  <c r="Q244" i="2"/>
  <c r="Q243" i="2"/>
  <c r="Q242" i="2"/>
  <c r="Q241" i="2"/>
  <c r="Q240" i="2"/>
  <c r="Q239" i="2"/>
  <c r="Q238" i="2"/>
  <c r="Q237" i="2"/>
  <c r="Q236" i="2"/>
  <c r="Q235" i="2"/>
  <c r="Q234" i="2"/>
  <c r="Q233" i="2"/>
  <c r="Q232" i="2"/>
  <c r="Q231" i="2"/>
  <c r="Q230" i="2"/>
  <c r="Q229" i="2"/>
  <c r="Q228" i="2"/>
  <c r="Q227" i="2"/>
  <c r="Q226" i="2"/>
  <c r="Q225" i="2"/>
  <c r="Q224" i="2"/>
  <c r="Q223" i="2"/>
  <c r="Q222" i="2"/>
  <c r="Q221" i="2"/>
  <c r="Q220" i="2"/>
  <c r="Q219" i="2"/>
  <c r="Q218" i="2"/>
  <c r="Q217" i="2"/>
  <c r="Q216" i="2"/>
  <c r="Q215" i="2"/>
  <c r="Q214" i="2"/>
  <c r="Q213" i="2"/>
  <c r="Q212" i="2"/>
  <c r="Q211" i="2"/>
  <c r="Q210" i="2"/>
  <c r="Q209" i="2"/>
  <c r="Q208" i="2"/>
  <c r="Q207" i="2"/>
  <c r="Q206" i="2"/>
  <c r="Q205" i="2"/>
  <c r="Q204" i="2"/>
  <c r="Q203" i="2"/>
  <c r="Q202" i="2"/>
  <c r="Q201" i="2"/>
  <c r="Q200" i="2"/>
  <c r="Q199" i="2"/>
  <c r="Q198" i="2"/>
  <c r="Q197" i="2"/>
  <c r="Q196" i="2"/>
  <c r="Q195" i="2"/>
  <c r="Q194" i="2"/>
  <c r="Q193" i="2"/>
  <c r="Q192" i="2"/>
  <c r="Q191" i="2"/>
  <c r="Q190" i="2"/>
  <c r="Q189" i="2"/>
  <c r="Q188" i="2"/>
  <c r="Q187" i="2"/>
  <c r="Q186" i="2"/>
  <c r="Q185" i="2"/>
  <c r="Q184" i="2"/>
  <c r="Q183" i="2"/>
  <c r="Q182" i="2"/>
  <c r="Q181" i="2"/>
  <c r="Q180" i="2"/>
  <c r="Q179" i="2"/>
  <c r="Q178" i="2"/>
  <c r="Q177" i="2"/>
  <c r="Q176" i="2"/>
  <c r="Q175" i="2"/>
  <c r="Q174" i="2"/>
  <c r="Q173" i="2"/>
  <c r="Q172" i="2"/>
  <c r="Q171" i="2"/>
  <c r="Q170" i="2"/>
  <c r="Q169" i="2"/>
  <c r="Q168" i="2"/>
  <c r="Q167" i="2"/>
  <c r="Q166" i="2"/>
  <c r="Q165" i="2"/>
  <c r="Q164" i="2"/>
  <c r="Q163" i="2"/>
  <c r="Q162" i="2"/>
  <c r="Q161" i="2"/>
  <c r="Q160" i="2"/>
  <c r="Q159" i="2"/>
  <c r="Q158" i="2"/>
  <c r="Q157" i="2"/>
  <c r="Q156" i="2"/>
  <c r="Q155" i="2"/>
  <c r="Q154" i="2"/>
  <c r="Q153" i="2"/>
  <c r="Q152" i="2"/>
  <c r="Q151" i="2"/>
  <c r="Q150" i="2"/>
  <c r="Q149" i="2"/>
  <c r="Q148" i="2"/>
  <c r="Q147" i="2"/>
  <c r="Q146" i="2"/>
  <c r="Q145" i="2"/>
  <c r="Q144" i="2"/>
  <c r="Q143" i="2"/>
  <c r="Q142" i="2"/>
  <c r="Q141" i="2"/>
  <c r="Q140" i="2"/>
  <c r="Q139" i="2"/>
  <c r="Q138" i="2"/>
  <c r="Q137" i="2"/>
  <c r="Q136" i="2"/>
  <c r="Q135" i="2"/>
  <c r="Q134" i="2"/>
  <c r="Q133" i="2"/>
  <c r="Q132" i="2"/>
  <c r="Q131" i="2"/>
  <c r="Q130" i="2"/>
  <c r="Q129" i="2"/>
  <c r="Q128" i="2"/>
  <c r="Q127" i="2"/>
  <c r="Q126" i="2"/>
  <c r="Q125" i="2"/>
  <c r="Q124" i="2"/>
  <c r="Q123" i="2"/>
  <c r="Q122" i="2"/>
  <c r="Q121" i="2"/>
  <c r="Q120" i="2"/>
  <c r="Q119" i="2"/>
  <c r="Q118" i="2"/>
  <c r="Q117" i="2"/>
  <c r="Q116" i="2"/>
  <c r="Q115" i="2"/>
  <c r="Q114" i="2"/>
  <c r="Q113" i="2"/>
  <c r="Q112" i="2"/>
  <c r="Q111" i="2"/>
  <c r="Q110" i="2"/>
  <c r="Q109" i="2"/>
  <c r="Q108" i="2"/>
  <c r="Q107" i="2"/>
  <c r="Q106" i="2"/>
  <c r="Q105" i="2"/>
  <c r="Q104" i="2"/>
  <c r="Q103" i="2"/>
  <c r="Q102" i="2"/>
  <c r="Q101" i="2"/>
  <c r="Q100" i="2"/>
  <c r="Q99" i="2"/>
  <c r="Q98" i="2"/>
  <c r="Q97" i="2"/>
  <c r="Q96" i="2"/>
  <c r="Q95" i="2"/>
  <c r="Q94" i="2"/>
  <c r="Q93" i="2"/>
  <c r="Q92" i="2"/>
  <c r="Q91" i="2"/>
  <c r="Q90" i="2"/>
  <c r="Q89" i="2"/>
  <c r="Q88" i="2"/>
  <c r="Q87" i="2"/>
  <c r="Q86" i="2"/>
  <c r="Q85" i="2"/>
  <c r="Q84" i="2"/>
  <c r="Q83" i="2"/>
  <c r="Q82" i="2"/>
  <c r="O368" i="2"/>
  <c r="O367" i="2"/>
  <c r="O366" i="2"/>
  <c r="O365" i="2"/>
  <c r="O364" i="2"/>
  <c r="O363" i="2"/>
  <c r="O362" i="2"/>
  <c r="O361" i="2"/>
  <c r="O360" i="2"/>
  <c r="O359" i="2"/>
  <c r="O358" i="2"/>
  <c r="O357" i="2"/>
  <c r="O356" i="2"/>
  <c r="O355" i="2"/>
  <c r="O354" i="2"/>
  <c r="O353" i="2"/>
  <c r="O352" i="2"/>
  <c r="O351" i="2"/>
  <c r="O350" i="2"/>
  <c r="O349" i="2"/>
  <c r="O348" i="2"/>
  <c r="O347" i="2"/>
  <c r="O346" i="2"/>
  <c r="O345" i="2"/>
  <c r="O344" i="2"/>
  <c r="O343" i="2"/>
  <c r="O342" i="2"/>
  <c r="O341" i="2"/>
  <c r="O340" i="2"/>
  <c r="O339" i="2"/>
  <c r="O338" i="2"/>
  <c r="O337" i="2"/>
  <c r="O336" i="2"/>
  <c r="O335" i="2"/>
  <c r="O334" i="2"/>
  <c r="O333" i="2"/>
  <c r="O332" i="2"/>
  <c r="O331" i="2"/>
  <c r="O330" i="2"/>
  <c r="O329" i="2"/>
  <c r="O328" i="2"/>
  <c r="O327" i="2"/>
  <c r="O326" i="2"/>
  <c r="O325" i="2"/>
  <c r="O324" i="2"/>
  <c r="O323" i="2"/>
  <c r="O322" i="2"/>
  <c r="O321" i="2"/>
  <c r="O320" i="2"/>
  <c r="O319" i="2"/>
  <c r="O318" i="2"/>
  <c r="O317" i="2"/>
  <c r="O316" i="2"/>
  <c r="O315" i="2"/>
  <c r="O314" i="2"/>
  <c r="O313" i="2"/>
  <c r="O312" i="2"/>
  <c r="O311" i="2"/>
  <c r="O310" i="2"/>
  <c r="O309" i="2"/>
  <c r="O308" i="2"/>
  <c r="O307" i="2"/>
  <c r="O306" i="2"/>
  <c r="O305" i="2"/>
  <c r="O304" i="2"/>
  <c r="O303" i="2"/>
  <c r="O302" i="2"/>
  <c r="O301" i="2"/>
  <c r="O300" i="2"/>
  <c r="O299" i="2"/>
  <c r="O298" i="2"/>
  <c r="O297" i="2"/>
  <c r="O296" i="2"/>
  <c r="O295" i="2"/>
  <c r="O294" i="2"/>
  <c r="O293" i="2"/>
  <c r="O292" i="2"/>
  <c r="O291" i="2"/>
  <c r="O290" i="2"/>
  <c r="O289" i="2"/>
  <c r="O288" i="2"/>
  <c r="O287" i="2"/>
  <c r="O286" i="2"/>
  <c r="O285" i="2"/>
  <c r="O284" i="2"/>
  <c r="O283" i="2"/>
  <c r="O282" i="2"/>
  <c r="O281" i="2"/>
  <c r="O280" i="2"/>
  <c r="O279" i="2"/>
  <c r="O278" i="2"/>
  <c r="O277" i="2"/>
  <c r="O276" i="2"/>
  <c r="O275" i="2"/>
  <c r="O274" i="2"/>
  <c r="O273" i="2"/>
  <c r="O272" i="2"/>
  <c r="O271" i="2"/>
  <c r="O270" i="2"/>
  <c r="O269" i="2"/>
  <c r="O268" i="2"/>
  <c r="O267" i="2"/>
  <c r="O266" i="2"/>
  <c r="O265" i="2"/>
  <c r="O264" i="2"/>
  <c r="O263" i="2"/>
  <c r="O262" i="2"/>
  <c r="O261" i="2"/>
  <c r="O260" i="2"/>
  <c r="O259" i="2"/>
  <c r="O258" i="2"/>
  <c r="O257" i="2"/>
  <c r="O256" i="2"/>
  <c r="O255" i="2"/>
  <c r="O254" i="2"/>
  <c r="O253" i="2"/>
  <c r="O252" i="2"/>
  <c r="O251" i="2"/>
  <c r="O250" i="2"/>
  <c r="O249" i="2"/>
  <c r="O248" i="2"/>
  <c r="O247" i="2"/>
  <c r="O246" i="2"/>
  <c r="O245" i="2"/>
  <c r="O244" i="2"/>
  <c r="O243" i="2"/>
  <c r="O242" i="2"/>
  <c r="O241" i="2"/>
  <c r="O240" i="2"/>
  <c r="O239" i="2"/>
  <c r="O238" i="2"/>
  <c r="O237" i="2"/>
  <c r="O236" i="2"/>
  <c r="O235" i="2"/>
  <c r="O234" i="2"/>
  <c r="O233" i="2"/>
  <c r="O232" i="2"/>
  <c r="O231" i="2"/>
  <c r="O230" i="2"/>
  <c r="O229" i="2"/>
  <c r="O228" i="2"/>
  <c r="O227" i="2"/>
  <c r="O226" i="2"/>
  <c r="O225" i="2"/>
  <c r="O224" i="2"/>
  <c r="O223" i="2"/>
  <c r="O222" i="2"/>
  <c r="O221" i="2"/>
  <c r="O220" i="2"/>
  <c r="O219" i="2"/>
  <c r="O218" i="2"/>
  <c r="O217" i="2"/>
  <c r="O216" i="2"/>
  <c r="O215" i="2"/>
  <c r="O214" i="2"/>
  <c r="O213" i="2"/>
  <c r="O212" i="2"/>
  <c r="O211" i="2"/>
  <c r="O210" i="2"/>
  <c r="O209" i="2"/>
  <c r="O208" i="2"/>
  <c r="O207" i="2"/>
  <c r="O206" i="2"/>
  <c r="O205" i="2"/>
  <c r="O204" i="2"/>
  <c r="O203" i="2"/>
  <c r="O202" i="2"/>
  <c r="O201" i="2"/>
  <c r="O200" i="2"/>
  <c r="O199" i="2"/>
  <c r="O198" i="2"/>
  <c r="O197" i="2"/>
  <c r="O196" i="2"/>
  <c r="O195" i="2"/>
  <c r="O194" i="2"/>
  <c r="O193" i="2"/>
  <c r="O192" i="2"/>
  <c r="O191" i="2"/>
  <c r="O190" i="2"/>
  <c r="O189" i="2"/>
  <c r="O188" i="2"/>
  <c r="O187" i="2"/>
  <c r="O186" i="2"/>
  <c r="O185" i="2"/>
  <c r="O184" i="2"/>
  <c r="O183" i="2"/>
  <c r="O182" i="2"/>
  <c r="O181" i="2"/>
  <c r="O180" i="2"/>
  <c r="O179" i="2"/>
  <c r="O178" i="2"/>
  <c r="O177" i="2"/>
  <c r="O176" i="2"/>
  <c r="O175" i="2"/>
  <c r="O174" i="2"/>
  <c r="O173" i="2"/>
  <c r="O172" i="2"/>
  <c r="O171" i="2"/>
  <c r="O170" i="2"/>
  <c r="O169" i="2"/>
  <c r="O168" i="2"/>
  <c r="O167" i="2"/>
  <c r="O166" i="2"/>
  <c r="O165" i="2"/>
  <c r="O164" i="2"/>
  <c r="O163" i="2"/>
  <c r="O162" i="2"/>
  <c r="O161" i="2"/>
  <c r="O160" i="2"/>
  <c r="O159" i="2"/>
  <c r="O158" i="2"/>
  <c r="O157" i="2"/>
  <c r="O156" i="2"/>
  <c r="O155" i="2"/>
  <c r="O154" i="2"/>
  <c r="O153" i="2"/>
  <c r="O152" i="2"/>
  <c r="O151" i="2"/>
  <c r="O150" i="2"/>
  <c r="O149" i="2"/>
  <c r="O148" i="2"/>
  <c r="O147" i="2"/>
  <c r="O146" i="2"/>
  <c r="O145" i="2"/>
  <c r="O144" i="2"/>
  <c r="O143" i="2"/>
  <c r="O142" i="2"/>
  <c r="O141" i="2"/>
  <c r="O140" i="2"/>
  <c r="O139" i="2"/>
  <c r="O138" i="2"/>
  <c r="O137" i="2"/>
  <c r="O136" i="2"/>
  <c r="O135" i="2"/>
  <c r="O134" i="2"/>
  <c r="O133" i="2"/>
  <c r="O132" i="2"/>
  <c r="O131" i="2"/>
  <c r="O130" i="2"/>
  <c r="O129" i="2"/>
  <c r="O128" i="2"/>
  <c r="O127" i="2"/>
  <c r="O126" i="2"/>
  <c r="O125" i="2"/>
  <c r="O124" i="2"/>
  <c r="O123" i="2"/>
  <c r="O122" i="2"/>
  <c r="O121" i="2"/>
  <c r="O120" i="2"/>
  <c r="O119" i="2"/>
  <c r="O118" i="2"/>
  <c r="O117" i="2"/>
  <c r="O116" i="2"/>
  <c r="O115" i="2"/>
  <c r="O114" i="2"/>
  <c r="O113" i="2"/>
  <c r="O112" i="2"/>
  <c r="O111" i="2"/>
  <c r="O110" i="2"/>
  <c r="O109" i="2"/>
  <c r="O108" i="2"/>
  <c r="O107" i="2"/>
  <c r="O106" i="2"/>
  <c r="O105" i="2"/>
  <c r="O104" i="2"/>
  <c r="O103" i="2"/>
  <c r="O102" i="2"/>
  <c r="O101" i="2"/>
  <c r="O100" i="2"/>
  <c r="O99" i="2"/>
  <c r="O98" i="2"/>
  <c r="O97" i="2"/>
  <c r="O96" i="2"/>
  <c r="O95" i="2"/>
  <c r="O94" i="2"/>
  <c r="O93" i="2"/>
  <c r="O92" i="2"/>
  <c r="O91" i="2"/>
  <c r="O90" i="2"/>
  <c r="O89" i="2"/>
  <c r="O88" i="2"/>
  <c r="O87" i="2"/>
  <c r="O86" i="2"/>
  <c r="O85" i="2"/>
  <c r="O84" i="2"/>
  <c r="O83" i="2"/>
  <c r="O82" i="2"/>
  <c r="M368" i="2"/>
  <c r="M367" i="2"/>
  <c r="M366" i="2"/>
  <c r="M365" i="2"/>
  <c r="M364" i="2"/>
  <c r="M363" i="2"/>
  <c r="M362" i="2"/>
  <c r="M361" i="2"/>
  <c r="M360" i="2"/>
  <c r="M359" i="2"/>
  <c r="M358" i="2"/>
  <c r="M357" i="2"/>
  <c r="M356" i="2"/>
  <c r="M355" i="2"/>
  <c r="M354" i="2"/>
  <c r="M353" i="2"/>
  <c r="M352" i="2"/>
  <c r="M351" i="2"/>
  <c r="M350" i="2"/>
  <c r="M349" i="2"/>
  <c r="M348" i="2"/>
  <c r="M347" i="2"/>
  <c r="M346" i="2"/>
  <c r="M345" i="2"/>
  <c r="M344" i="2"/>
  <c r="M343" i="2"/>
  <c r="M342" i="2"/>
  <c r="M341" i="2"/>
  <c r="M340" i="2"/>
  <c r="M339" i="2"/>
  <c r="M338" i="2"/>
  <c r="M337" i="2"/>
  <c r="M336" i="2"/>
  <c r="M335" i="2"/>
  <c r="M334" i="2"/>
  <c r="M333" i="2"/>
  <c r="M332" i="2"/>
  <c r="M331" i="2"/>
  <c r="M330" i="2"/>
  <c r="M329" i="2"/>
  <c r="M328" i="2"/>
  <c r="M327" i="2"/>
  <c r="M326" i="2"/>
  <c r="M325" i="2"/>
  <c r="M324" i="2"/>
  <c r="M323" i="2"/>
  <c r="M322" i="2"/>
  <c r="M321" i="2"/>
  <c r="M320" i="2"/>
  <c r="M319" i="2"/>
  <c r="M318" i="2"/>
  <c r="M317" i="2"/>
  <c r="M316" i="2"/>
  <c r="M315" i="2"/>
  <c r="M314" i="2"/>
  <c r="M313" i="2"/>
  <c r="M312" i="2"/>
  <c r="M311" i="2"/>
  <c r="M310" i="2"/>
  <c r="M309" i="2"/>
  <c r="M308" i="2"/>
  <c r="M307" i="2"/>
  <c r="M306" i="2"/>
  <c r="M305" i="2"/>
  <c r="M304" i="2"/>
  <c r="M303" i="2"/>
  <c r="M302" i="2"/>
  <c r="M301" i="2"/>
  <c r="M300" i="2"/>
  <c r="M299" i="2"/>
  <c r="M298" i="2"/>
  <c r="M297" i="2"/>
  <c r="M296" i="2"/>
  <c r="M295" i="2"/>
  <c r="M294" i="2"/>
  <c r="M293" i="2"/>
  <c r="M292" i="2"/>
  <c r="M291" i="2"/>
  <c r="M290" i="2"/>
  <c r="M289" i="2"/>
  <c r="M288" i="2"/>
  <c r="M287" i="2"/>
  <c r="M286" i="2"/>
  <c r="M285" i="2"/>
  <c r="M284" i="2"/>
  <c r="M283" i="2"/>
  <c r="M282" i="2"/>
  <c r="M281" i="2"/>
  <c r="M280" i="2"/>
  <c r="M279" i="2"/>
  <c r="M278" i="2"/>
  <c r="M277" i="2"/>
  <c r="M276" i="2"/>
  <c r="M275" i="2"/>
  <c r="M274" i="2"/>
  <c r="M273" i="2"/>
  <c r="M272" i="2"/>
  <c r="M271" i="2"/>
  <c r="M270" i="2"/>
  <c r="M269" i="2"/>
  <c r="M268" i="2"/>
  <c r="M267" i="2"/>
  <c r="M266" i="2"/>
  <c r="M265" i="2"/>
  <c r="M264" i="2"/>
  <c r="M263" i="2"/>
  <c r="M262" i="2"/>
  <c r="M261" i="2"/>
  <c r="M260" i="2"/>
  <c r="M259" i="2"/>
  <c r="M258" i="2"/>
  <c r="M257" i="2"/>
  <c r="M256" i="2"/>
  <c r="M255" i="2"/>
  <c r="M254" i="2"/>
  <c r="M253" i="2"/>
  <c r="M252" i="2"/>
  <c r="M251" i="2"/>
  <c r="M250" i="2"/>
  <c r="M249" i="2"/>
  <c r="M248" i="2"/>
  <c r="M247" i="2"/>
  <c r="M246" i="2"/>
  <c r="M245" i="2"/>
  <c r="M244" i="2"/>
  <c r="M243" i="2"/>
  <c r="M242" i="2"/>
  <c r="M241" i="2"/>
  <c r="M240" i="2"/>
  <c r="M239" i="2"/>
  <c r="M238" i="2"/>
  <c r="M237" i="2"/>
  <c r="M236" i="2"/>
  <c r="M235" i="2"/>
  <c r="M234" i="2"/>
  <c r="M233" i="2"/>
  <c r="M232" i="2"/>
  <c r="M231" i="2"/>
  <c r="M230" i="2"/>
  <c r="M229" i="2"/>
  <c r="M228" i="2"/>
  <c r="M227" i="2"/>
  <c r="M226" i="2"/>
  <c r="M225" i="2"/>
  <c r="M224" i="2"/>
  <c r="M223" i="2"/>
  <c r="M222" i="2"/>
  <c r="M221" i="2"/>
  <c r="M220" i="2"/>
  <c r="M219" i="2"/>
  <c r="M218" i="2"/>
  <c r="M217" i="2"/>
  <c r="M216" i="2"/>
  <c r="M215" i="2"/>
  <c r="M214" i="2"/>
  <c r="M213" i="2"/>
  <c r="M212" i="2"/>
  <c r="M211" i="2"/>
  <c r="M210" i="2"/>
  <c r="M209" i="2"/>
  <c r="M208" i="2"/>
  <c r="M207" i="2"/>
  <c r="M206" i="2"/>
  <c r="M205" i="2"/>
  <c r="M204" i="2"/>
  <c r="M203" i="2"/>
  <c r="M202" i="2"/>
  <c r="M201" i="2"/>
  <c r="M200" i="2"/>
  <c r="M199" i="2"/>
  <c r="M198" i="2"/>
  <c r="M197" i="2"/>
  <c r="M196" i="2"/>
  <c r="M195" i="2"/>
  <c r="M194" i="2"/>
  <c r="M193" i="2"/>
  <c r="M192" i="2"/>
  <c r="M191" i="2"/>
  <c r="M190" i="2"/>
  <c r="M189" i="2"/>
  <c r="M188" i="2"/>
  <c r="M187" i="2"/>
  <c r="M186" i="2"/>
  <c r="M185" i="2"/>
  <c r="M184" i="2"/>
  <c r="M183" i="2"/>
  <c r="M182" i="2"/>
  <c r="M181" i="2"/>
  <c r="M180" i="2"/>
  <c r="M179" i="2"/>
  <c r="M178" i="2"/>
  <c r="M177" i="2"/>
  <c r="M176" i="2"/>
  <c r="M175" i="2"/>
  <c r="M174" i="2"/>
  <c r="M173" i="2"/>
  <c r="M172" i="2"/>
  <c r="M171" i="2"/>
  <c r="M170" i="2"/>
  <c r="M169" i="2"/>
  <c r="M168" i="2"/>
  <c r="M167" i="2"/>
  <c r="M166" i="2"/>
  <c r="M165" i="2"/>
  <c r="M164" i="2"/>
  <c r="M163" i="2"/>
  <c r="M162" i="2"/>
  <c r="M161" i="2"/>
  <c r="M160" i="2"/>
  <c r="M159" i="2"/>
  <c r="M158" i="2"/>
  <c r="M157" i="2"/>
  <c r="M156" i="2"/>
  <c r="M155" i="2"/>
  <c r="M154" i="2"/>
  <c r="M153" i="2"/>
  <c r="M152" i="2"/>
  <c r="M151" i="2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K368" i="2"/>
  <c r="K367" i="2"/>
  <c r="K366" i="2"/>
  <c r="K365" i="2"/>
  <c r="K364" i="2"/>
  <c r="K363" i="2"/>
  <c r="K362" i="2"/>
  <c r="K361" i="2"/>
  <c r="K360" i="2"/>
  <c r="K359" i="2"/>
  <c r="K358" i="2"/>
  <c r="K357" i="2"/>
  <c r="K356" i="2"/>
  <c r="K355" i="2"/>
  <c r="K354" i="2"/>
  <c r="K353" i="2"/>
  <c r="K352" i="2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6" i="2"/>
  <c r="K305" i="2"/>
  <c r="K304" i="2"/>
  <c r="K303" i="2"/>
  <c r="K302" i="2"/>
  <c r="K301" i="2"/>
  <c r="K300" i="2"/>
  <c r="K299" i="2"/>
  <c r="K298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C80" i="2"/>
  <c r="C81" i="2"/>
  <c r="C82" i="2"/>
  <c r="AJ82" i="2" s="1"/>
  <c r="C83" i="2"/>
  <c r="AJ83" i="2" s="1"/>
  <c r="C84" i="2"/>
  <c r="AJ84" i="2" s="1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AL84" i="2" s="1"/>
  <c r="E83" i="2"/>
  <c r="AL83" i="2" s="1"/>
  <c r="E82" i="2"/>
  <c r="AL82" i="2" s="1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C368" i="6"/>
  <c r="AJ367" i="6" s="1"/>
  <c r="C367" i="6"/>
  <c r="AJ366" i="6" s="1"/>
  <c r="C366" i="6"/>
  <c r="AJ365" i="6" s="1"/>
  <c r="C365" i="6"/>
  <c r="AJ364" i="6" s="1"/>
  <c r="C364" i="6"/>
  <c r="AJ363" i="6" s="1"/>
  <c r="C363" i="6"/>
  <c r="C362" i="6"/>
  <c r="C361" i="6"/>
  <c r="C360" i="6"/>
  <c r="C359" i="6"/>
  <c r="AJ358" i="6" s="1"/>
  <c r="C358" i="6"/>
  <c r="AJ357" i="6" s="1"/>
  <c r="C357" i="6"/>
  <c r="AJ356" i="6" s="1"/>
  <c r="C356" i="6"/>
  <c r="AJ355" i="6" s="1"/>
  <c r="C355" i="6"/>
  <c r="AJ354" i="6" s="1"/>
  <c r="C354" i="6"/>
  <c r="C353" i="6"/>
  <c r="C352" i="6"/>
  <c r="AJ351" i="6" s="1"/>
  <c r="C351" i="6"/>
  <c r="AJ350" i="6" s="1"/>
  <c r="C350" i="6"/>
  <c r="AJ349" i="6" s="1"/>
  <c r="C349" i="6"/>
  <c r="AJ348" i="6" s="1"/>
  <c r="C348" i="6"/>
  <c r="AJ347" i="6" s="1"/>
  <c r="C347" i="6"/>
  <c r="C346" i="6"/>
  <c r="C345" i="6"/>
  <c r="C344" i="6"/>
  <c r="C343" i="6"/>
  <c r="AJ342" i="6" s="1"/>
  <c r="C342" i="6"/>
  <c r="AJ341" i="6" s="1"/>
  <c r="C341" i="6"/>
  <c r="C340" i="6"/>
  <c r="AJ339" i="6" s="1"/>
  <c r="C339" i="6"/>
  <c r="C338" i="6"/>
  <c r="C337" i="6"/>
  <c r="C336" i="6"/>
  <c r="C335" i="6"/>
  <c r="AJ334" i="6" s="1"/>
  <c r="C334" i="6"/>
  <c r="AJ333" i="6" s="1"/>
  <c r="C333" i="6"/>
  <c r="AJ332" i="6" s="1"/>
  <c r="C332" i="6"/>
  <c r="C331" i="6"/>
  <c r="AJ330" i="6" s="1"/>
  <c r="C330" i="6"/>
  <c r="C329" i="6"/>
  <c r="C328" i="6"/>
  <c r="AJ327" i="6" s="1"/>
  <c r="C327" i="6"/>
  <c r="AJ326" i="6" s="1"/>
  <c r="C326" i="6"/>
  <c r="AJ325" i="6" s="1"/>
  <c r="C325" i="6"/>
  <c r="AJ324" i="6" s="1"/>
  <c r="C324" i="6"/>
  <c r="AJ323" i="6" s="1"/>
  <c r="C323" i="6"/>
  <c r="C322" i="6"/>
  <c r="C321" i="6"/>
  <c r="C320" i="6"/>
  <c r="C319" i="6"/>
  <c r="AJ318" i="6" s="1"/>
  <c r="C318" i="6"/>
  <c r="C317" i="6"/>
  <c r="AJ316" i="6" s="1"/>
  <c r="C316" i="6"/>
  <c r="AJ315" i="6" s="1"/>
  <c r="C315" i="6"/>
  <c r="AJ314" i="6" s="1"/>
  <c r="C314" i="6"/>
  <c r="C313" i="6"/>
  <c r="C312" i="6"/>
  <c r="C311" i="6"/>
  <c r="AJ310" i="6" s="1"/>
  <c r="C310" i="6"/>
  <c r="AJ309" i="6" s="1"/>
  <c r="C309" i="6"/>
  <c r="C308" i="6"/>
  <c r="AJ307" i="6" s="1"/>
  <c r="C307" i="6"/>
  <c r="C306" i="6"/>
  <c r="C305" i="6"/>
  <c r="C304" i="6"/>
  <c r="C303" i="6"/>
  <c r="C302" i="6"/>
  <c r="C301" i="6"/>
  <c r="C300" i="6"/>
  <c r="C299" i="6"/>
  <c r="C298" i="6"/>
  <c r="C297" i="6"/>
  <c r="C296" i="6"/>
  <c r="C295" i="6"/>
  <c r="C294" i="6"/>
  <c r="C293" i="6"/>
  <c r="C292" i="6"/>
  <c r="C291" i="6"/>
  <c r="C290" i="6"/>
  <c r="C289" i="6"/>
  <c r="C288" i="6"/>
  <c r="C287" i="6"/>
  <c r="C286" i="6"/>
  <c r="C285" i="6"/>
  <c r="C284" i="6"/>
  <c r="C283" i="6"/>
  <c r="C282" i="6"/>
  <c r="C281" i="6"/>
  <c r="C280" i="6"/>
  <c r="C279" i="6"/>
  <c r="C278" i="6"/>
  <c r="C277" i="6"/>
  <c r="C276" i="6"/>
  <c r="C275" i="6"/>
  <c r="C274" i="6"/>
  <c r="C273" i="6"/>
  <c r="C272" i="6"/>
  <c r="C271" i="6"/>
  <c r="C270" i="6"/>
  <c r="C269" i="6"/>
  <c r="C268" i="6"/>
  <c r="C267" i="6"/>
  <c r="C266" i="6"/>
  <c r="C265" i="6"/>
  <c r="C264" i="6"/>
  <c r="C263" i="6"/>
  <c r="C262" i="6"/>
  <c r="C261" i="6"/>
  <c r="C260" i="6"/>
  <c r="C259" i="6"/>
  <c r="C258" i="6"/>
  <c r="C257" i="6"/>
  <c r="C256" i="6"/>
  <c r="C255" i="6"/>
  <c r="C254" i="6"/>
  <c r="C253" i="6"/>
  <c r="C252" i="6"/>
  <c r="C251" i="6"/>
  <c r="C250" i="6"/>
  <c r="C249" i="6"/>
  <c r="C248" i="6"/>
  <c r="C247" i="6"/>
  <c r="C246" i="6"/>
  <c r="C245" i="6"/>
  <c r="C244" i="6"/>
  <c r="C243" i="6"/>
  <c r="C242" i="6"/>
  <c r="C241" i="6"/>
  <c r="C240" i="6"/>
  <c r="C239" i="6"/>
  <c r="C238" i="6"/>
  <c r="C237" i="6"/>
  <c r="C236" i="6"/>
  <c r="C235" i="6"/>
  <c r="C234" i="6"/>
  <c r="C233" i="6"/>
  <c r="C232" i="6"/>
  <c r="C231" i="6"/>
  <c r="C230" i="6"/>
  <c r="C229" i="6"/>
  <c r="C228" i="6"/>
  <c r="C227" i="6"/>
  <c r="C226" i="6"/>
  <c r="C225" i="6"/>
  <c r="C224" i="6"/>
  <c r="C223" i="6"/>
  <c r="C222" i="6"/>
  <c r="C221" i="6"/>
  <c r="C220" i="6"/>
  <c r="C219" i="6"/>
  <c r="C218" i="6"/>
  <c r="C217" i="6"/>
  <c r="C216" i="6"/>
  <c r="C215" i="6"/>
  <c r="C214" i="6"/>
  <c r="C213" i="6"/>
  <c r="C212" i="6"/>
  <c r="C211" i="6"/>
  <c r="C210" i="6"/>
  <c r="C209" i="6"/>
  <c r="C208" i="6"/>
  <c r="C207" i="6"/>
  <c r="C206" i="6"/>
  <c r="C205" i="6"/>
  <c r="C204" i="6"/>
  <c r="C203" i="6"/>
  <c r="C202" i="6"/>
  <c r="C201" i="6"/>
  <c r="C200" i="6"/>
  <c r="C199" i="6"/>
  <c r="C198" i="6"/>
  <c r="C197" i="6"/>
  <c r="C196" i="6"/>
  <c r="C195" i="6"/>
  <c r="C194" i="6"/>
  <c r="C193" i="6"/>
  <c r="C192" i="6"/>
  <c r="C191" i="6"/>
  <c r="C190" i="6"/>
  <c r="C189" i="6"/>
  <c r="C188" i="6"/>
  <c r="C187" i="6"/>
  <c r="C186" i="6"/>
  <c r="C185" i="6"/>
  <c r="C184" i="6"/>
  <c r="C183" i="6"/>
  <c r="C182" i="6"/>
  <c r="C181" i="6"/>
  <c r="C180" i="6"/>
  <c r="C179" i="6"/>
  <c r="C178" i="6"/>
  <c r="C177" i="6"/>
  <c r="C176" i="6"/>
  <c r="C175" i="6"/>
  <c r="C174" i="6"/>
  <c r="C173" i="6"/>
  <c r="C172" i="6"/>
  <c r="C171" i="6"/>
  <c r="C170" i="6"/>
  <c r="C169" i="6"/>
  <c r="C168" i="6"/>
  <c r="C167" i="6"/>
  <c r="C166" i="6"/>
  <c r="C165" i="6"/>
  <c r="C164" i="6"/>
  <c r="C163" i="6"/>
  <c r="C162" i="6"/>
  <c r="C161" i="6"/>
  <c r="C160" i="6"/>
  <c r="C159" i="6"/>
  <c r="C158" i="6"/>
  <c r="C157" i="6"/>
  <c r="C156" i="6"/>
  <c r="C155" i="6"/>
  <c r="C154" i="6"/>
  <c r="C153" i="6"/>
  <c r="C152" i="6"/>
  <c r="C151" i="6"/>
  <c r="C150" i="6"/>
  <c r="C149" i="6"/>
  <c r="C148" i="6"/>
  <c r="C147" i="6"/>
  <c r="C146" i="6"/>
  <c r="C145" i="6"/>
  <c r="C144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6"/>
  <c r="AL362" i="6"/>
  <c r="AL361" i="6"/>
  <c r="AL360" i="6"/>
  <c r="AL354" i="6"/>
  <c r="AL352" i="6"/>
  <c r="AL346" i="6"/>
  <c r="AL345" i="6"/>
  <c r="AL344" i="6"/>
  <c r="AL338" i="6"/>
  <c r="AL337" i="6"/>
  <c r="AL329" i="6"/>
  <c r="AL328" i="6"/>
  <c r="AL322" i="6"/>
  <c r="AL321" i="6"/>
  <c r="AL313" i="6"/>
  <c r="AL312" i="6"/>
  <c r="B307" i="6"/>
  <c r="AL306" i="6" s="1"/>
  <c r="B306" i="6"/>
  <c r="AL305" i="6" s="1"/>
  <c r="B305" i="6"/>
  <c r="AL304" i="6" s="1"/>
  <c r="B304" i="6"/>
  <c r="AL303" i="6" s="1"/>
  <c r="B303" i="6"/>
  <c r="AL302" i="6" s="1"/>
  <c r="B302" i="6"/>
  <c r="AL301" i="6" s="1"/>
  <c r="B301" i="6"/>
  <c r="AL300" i="6" s="1"/>
  <c r="B300" i="6"/>
  <c r="AL299" i="6" s="1"/>
  <c r="B299" i="6"/>
  <c r="AL298" i="6" s="1"/>
  <c r="B298" i="6"/>
  <c r="AL297" i="6" s="1"/>
  <c r="B297" i="6"/>
  <c r="AL296" i="6" s="1"/>
  <c r="B296" i="6"/>
  <c r="AL295" i="6" s="1"/>
  <c r="B295" i="6"/>
  <c r="AL294" i="6" s="1"/>
  <c r="B294" i="6"/>
  <c r="AL293" i="6" s="1"/>
  <c r="B293" i="6"/>
  <c r="AL292" i="6" s="1"/>
  <c r="B292" i="6"/>
  <c r="AL291" i="6" s="1"/>
  <c r="B291" i="6"/>
  <c r="AL290" i="6" s="1"/>
  <c r="B290" i="6"/>
  <c r="AL289" i="6" s="1"/>
  <c r="B289" i="6"/>
  <c r="AL288" i="6" s="1"/>
  <c r="B288" i="6"/>
  <c r="AL287" i="6" s="1"/>
  <c r="B287" i="6"/>
  <c r="AL286" i="6" s="1"/>
  <c r="B286" i="6"/>
  <c r="AL285" i="6" s="1"/>
  <c r="B285" i="6"/>
  <c r="AL284" i="6" s="1"/>
  <c r="B284" i="6"/>
  <c r="AL283" i="6" s="1"/>
  <c r="B283" i="6"/>
  <c r="AL282" i="6" s="1"/>
  <c r="B282" i="6"/>
  <c r="AL281" i="6" s="1"/>
  <c r="B281" i="6"/>
  <c r="AL280" i="6" s="1"/>
  <c r="B280" i="6"/>
  <c r="AL279" i="6" s="1"/>
  <c r="B279" i="6"/>
  <c r="AL278" i="6" s="1"/>
  <c r="B278" i="6"/>
  <c r="AL277" i="6" s="1"/>
  <c r="B277" i="6"/>
  <c r="AL276" i="6" s="1"/>
  <c r="B276" i="6"/>
  <c r="AL275" i="6" s="1"/>
  <c r="B275" i="6"/>
  <c r="AL274" i="6" s="1"/>
  <c r="B274" i="6"/>
  <c r="AL273" i="6" s="1"/>
  <c r="B273" i="6"/>
  <c r="AL272" i="6" s="1"/>
  <c r="B272" i="6"/>
  <c r="AL271" i="6" s="1"/>
  <c r="B271" i="6"/>
  <c r="AL270" i="6" s="1"/>
  <c r="B270" i="6"/>
  <c r="AL269" i="6" s="1"/>
  <c r="B269" i="6"/>
  <c r="AL268" i="6" s="1"/>
  <c r="B268" i="6"/>
  <c r="AL267" i="6" s="1"/>
  <c r="B267" i="6"/>
  <c r="AL266" i="6" s="1"/>
  <c r="B266" i="6"/>
  <c r="AL265" i="6" s="1"/>
  <c r="B265" i="6"/>
  <c r="AL264" i="6" s="1"/>
  <c r="B264" i="6"/>
  <c r="AL263" i="6" s="1"/>
  <c r="B263" i="6"/>
  <c r="AL262" i="6" s="1"/>
  <c r="B262" i="6"/>
  <c r="AL261" i="6" s="1"/>
  <c r="B261" i="6"/>
  <c r="AL260" i="6" s="1"/>
  <c r="B260" i="6"/>
  <c r="AL259" i="6" s="1"/>
  <c r="B259" i="6"/>
  <c r="AL258" i="6" s="1"/>
  <c r="B258" i="6"/>
  <c r="AL257" i="6" s="1"/>
  <c r="B257" i="6"/>
  <c r="AL256" i="6" s="1"/>
  <c r="B256" i="6"/>
  <c r="AL255" i="6" s="1"/>
  <c r="B255" i="6"/>
  <c r="AL254" i="6" s="1"/>
  <c r="B254" i="6"/>
  <c r="AL253" i="6" s="1"/>
  <c r="B253" i="6"/>
  <c r="AL252" i="6" s="1"/>
  <c r="B252" i="6"/>
  <c r="AL251" i="6" s="1"/>
  <c r="B251" i="6"/>
  <c r="AL250" i="6" s="1"/>
  <c r="B250" i="6"/>
  <c r="AL249" i="6" s="1"/>
  <c r="B249" i="6"/>
  <c r="AL248" i="6" s="1"/>
  <c r="B248" i="6"/>
  <c r="AL247" i="6" s="1"/>
  <c r="B247" i="6"/>
  <c r="AL246" i="6" s="1"/>
  <c r="B246" i="6"/>
  <c r="AL245" i="6" s="1"/>
  <c r="B245" i="6"/>
  <c r="AL244" i="6" s="1"/>
  <c r="B244" i="6"/>
  <c r="AL243" i="6" s="1"/>
  <c r="B243" i="6"/>
  <c r="AL242" i="6" s="1"/>
  <c r="B242" i="6"/>
  <c r="AL241" i="6" s="1"/>
  <c r="B241" i="6"/>
  <c r="AL240" i="6" s="1"/>
  <c r="B240" i="6"/>
  <c r="AL239" i="6" s="1"/>
  <c r="B239" i="6"/>
  <c r="AL238" i="6" s="1"/>
  <c r="B238" i="6"/>
  <c r="AL237" i="6" s="1"/>
  <c r="B237" i="6"/>
  <c r="AL236" i="6" s="1"/>
  <c r="B236" i="6"/>
  <c r="AL235" i="6" s="1"/>
  <c r="B235" i="6"/>
  <c r="AL234" i="6" s="1"/>
  <c r="B234" i="6"/>
  <c r="AL233" i="6" s="1"/>
  <c r="B233" i="6"/>
  <c r="AL232" i="6" s="1"/>
  <c r="B232" i="6"/>
  <c r="AL231" i="6" s="1"/>
  <c r="B231" i="6"/>
  <c r="AL230" i="6" s="1"/>
  <c r="B230" i="6"/>
  <c r="AL229" i="6" s="1"/>
  <c r="B229" i="6"/>
  <c r="AL228" i="6" s="1"/>
  <c r="B228" i="6"/>
  <c r="AL227" i="6" s="1"/>
  <c r="B227" i="6"/>
  <c r="AL226" i="6" s="1"/>
  <c r="B226" i="6"/>
  <c r="AL225" i="6" s="1"/>
  <c r="B225" i="6"/>
  <c r="AL224" i="6" s="1"/>
  <c r="B224" i="6"/>
  <c r="AL223" i="6" s="1"/>
  <c r="B223" i="6"/>
  <c r="AL222" i="6" s="1"/>
  <c r="B222" i="6"/>
  <c r="AL221" i="6" s="1"/>
  <c r="B221" i="6"/>
  <c r="AL220" i="6" s="1"/>
  <c r="B220" i="6"/>
  <c r="AL219" i="6" s="1"/>
  <c r="B219" i="6"/>
  <c r="AL218" i="6" s="1"/>
  <c r="B218" i="6"/>
  <c r="AL217" i="6" s="1"/>
  <c r="B217" i="6"/>
  <c r="AL216" i="6" s="1"/>
  <c r="B216" i="6"/>
  <c r="AL215" i="6" s="1"/>
  <c r="B215" i="6"/>
  <c r="AL214" i="6" s="1"/>
  <c r="B214" i="6"/>
  <c r="AL213" i="6" s="1"/>
  <c r="B213" i="6"/>
  <c r="AL212" i="6" s="1"/>
  <c r="B212" i="6"/>
  <c r="AL211" i="6" s="1"/>
  <c r="B211" i="6"/>
  <c r="AL210" i="6" s="1"/>
  <c r="B210" i="6"/>
  <c r="AL209" i="6" s="1"/>
  <c r="B209" i="6"/>
  <c r="AL208" i="6" s="1"/>
  <c r="B208" i="6"/>
  <c r="AL207" i="6" s="1"/>
  <c r="B207" i="6"/>
  <c r="AL206" i="6" s="1"/>
  <c r="B206" i="6"/>
  <c r="AL205" i="6" s="1"/>
  <c r="B205" i="6"/>
  <c r="AL204" i="6" s="1"/>
  <c r="B204" i="6"/>
  <c r="AL203" i="6" s="1"/>
  <c r="B203" i="6"/>
  <c r="AL202" i="6" s="1"/>
  <c r="B202" i="6"/>
  <c r="AL201" i="6" s="1"/>
  <c r="B201" i="6"/>
  <c r="AL200" i="6" s="1"/>
  <c r="B200" i="6"/>
  <c r="AL199" i="6" s="1"/>
  <c r="B199" i="6"/>
  <c r="AL198" i="6" s="1"/>
  <c r="B198" i="6"/>
  <c r="AL197" i="6" s="1"/>
  <c r="B197" i="6"/>
  <c r="AL196" i="6" s="1"/>
  <c r="B196" i="6"/>
  <c r="AL195" i="6" s="1"/>
  <c r="B195" i="6"/>
  <c r="AL194" i="6" s="1"/>
  <c r="B194" i="6"/>
  <c r="AL193" i="6" s="1"/>
  <c r="B193" i="6"/>
  <c r="AL192" i="6" s="1"/>
  <c r="B192" i="6"/>
  <c r="AL191" i="6" s="1"/>
  <c r="B191" i="6"/>
  <c r="AL190" i="6" s="1"/>
  <c r="B190" i="6"/>
  <c r="AL189" i="6" s="1"/>
  <c r="B189" i="6"/>
  <c r="AL188" i="6" s="1"/>
  <c r="B188" i="6"/>
  <c r="AL187" i="6" s="1"/>
  <c r="B187" i="6"/>
  <c r="AL186" i="6" s="1"/>
  <c r="B186" i="6"/>
  <c r="AL185" i="6" s="1"/>
  <c r="B185" i="6"/>
  <c r="AL184" i="6" s="1"/>
  <c r="B184" i="6"/>
  <c r="AL183" i="6" s="1"/>
  <c r="B183" i="6"/>
  <c r="AL182" i="6" s="1"/>
  <c r="B182" i="6"/>
  <c r="AL181" i="6" s="1"/>
  <c r="B181" i="6"/>
  <c r="AL180" i="6" s="1"/>
  <c r="B180" i="6"/>
  <c r="B179" i="6"/>
  <c r="AL178" i="6" s="1"/>
  <c r="B178" i="6"/>
  <c r="AL177" i="6" s="1"/>
  <c r="B177" i="6"/>
  <c r="AL176" i="6" s="1"/>
  <c r="B176" i="6"/>
  <c r="AL175" i="6" s="1"/>
  <c r="B175" i="6"/>
  <c r="AL174" i="6" s="1"/>
  <c r="B174" i="6"/>
  <c r="AL173" i="6" s="1"/>
  <c r="B173" i="6"/>
  <c r="AL172" i="6" s="1"/>
  <c r="B172" i="6"/>
  <c r="B171" i="6"/>
  <c r="AL170" i="6" s="1"/>
  <c r="B170" i="6"/>
  <c r="AL169" i="6" s="1"/>
  <c r="B169" i="6"/>
  <c r="AL168" i="6" s="1"/>
  <c r="B168" i="6"/>
  <c r="AL167" i="6" s="1"/>
  <c r="B167" i="6"/>
  <c r="AL166" i="6" s="1"/>
  <c r="B166" i="6"/>
  <c r="B165" i="6"/>
  <c r="AL164" i="6" s="1"/>
  <c r="B164" i="6"/>
  <c r="B163" i="6"/>
  <c r="AL162" i="6" s="1"/>
  <c r="B162" i="6"/>
  <c r="AL161" i="6" s="1"/>
  <c r="B161" i="6"/>
  <c r="AL160" i="6" s="1"/>
  <c r="B160" i="6"/>
  <c r="AL159" i="6" s="1"/>
  <c r="B159" i="6"/>
  <c r="B158" i="6"/>
  <c r="AL157" i="6" s="1"/>
  <c r="B157" i="6"/>
  <c r="AL156" i="6" s="1"/>
  <c r="B156" i="6"/>
  <c r="AL155" i="6" s="1"/>
  <c r="B155" i="6"/>
  <c r="AL154" i="6" s="1"/>
  <c r="B154" i="6"/>
  <c r="AL153" i="6" s="1"/>
  <c r="B153" i="6"/>
  <c r="AL152" i="6" s="1"/>
  <c r="B152" i="6"/>
  <c r="AL151" i="6" s="1"/>
  <c r="B151" i="6"/>
  <c r="AL150" i="6" s="1"/>
  <c r="B150" i="6"/>
  <c r="AL149" i="6" s="1"/>
  <c r="B149" i="6"/>
  <c r="AL148" i="6" s="1"/>
  <c r="B148" i="6"/>
  <c r="AL147" i="6" s="1"/>
  <c r="B147" i="6"/>
  <c r="AL146" i="6" s="1"/>
  <c r="B146" i="6"/>
  <c r="AL145" i="6" s="1"/>
  <c r="B145" i="6"/>
  <c r="AL144" i="6" s="1"/>
  <c r="B144" i="6"/>
  <c r="AL143" i="6" s="1"/>
  <c r="B143" i="6"/>
  <c r="AL142" i="6" s="1"/>
  <c r="B142" i="6"/>
  <c r="AL141" i="6" s="1"/>
  <c r="B141" i="6"/>
  <c r="AL140" i="6" s="1"/>
  <c r="B140" i="6"/>
  <c r="AL139" i="6" s="1"/>
  <c r="B139" i="6"/>
  <c r="AL138" i="6" s="1"/>
  <c r="B138" i="6"/>
  <c r="AL137" i="6" s="1"/>
  <c r="B137" i="6"/>
  <c r="AL136" i="6" s="1"/>
  <c r="B136" i="6"/>
  <c r="AL135" i="6" s="1"/>
  <c r="B135" i="6"/>
  <c r="AL134" i="6" s="1"/>
  <c r="B134" i="6"/>
  <c r="AL133" i="6" s="1"/>
  <c r="B133" i="6"/>
  <c r="AL132" i="6" s="1"/>
  <c r="B132" i="6"/>
  <c r="AL131" i="6" s="1"/>
  <c r="B131" i="6"/>
  <c r="AL130" i="6" s="1"/>
  <c r="B130" i="6"/>
  <c r="AL129" i="6" s="1"/>
  <c r="B129" i="6"/>
  <c r="AL128" i="6" s="1"/>
  <c r="B128" i="6"/>
  <c r="AL127" i="6" s="1"/>
  <c r="B127" i="6"/>
  <c r="AL126" i="6" s="1"/>
  <c r="B126" i="6"/>
  <c r="AL125" i="6" s="1"/>
  <c r="B125" i="6"/>
  <c r="AL124" i="6" s="1"/>
  <c r="B124" i="6"/>
  <c r="B123" i="6"/>
  <c r="AL122" i="6" s="1"/>
  <c r="B122" i="6"/>
  <c r="AL121" i="6" s="1"/>
  <c r="B121" i="6"/>
  <c r="AL120" i="6" s="1"/>
  <c r="B120" i="6"/>
  <c r="AL119" i="6" s="1"/>
  <c r="B119" i="6"/>
  <c r="AL118" i="6" s="1"/>
  <c r="B118" i="6"/>
  <c r="AL117" i="6" s="1"/>
  <c r="B117" i="6"/>
  <c r="AL116" i="6" s="1"/>
  <c r="B116" i="6"/>
  <c r="AL115" i="6" s="1"/>
  <c r="B115" i="6"/>
  <c r="AL114" i="6" s="1"/>
  <c r="B114" i="6"/>
  <c r="AL113" i="6" s="1"/>
  <c r="B113" i="6"/>
  <c r="AL112" i="6" s="1"/>
  <c r="B112" i="6"/>
  <c r="AL111" i="6" s="1"/>
  <c r="B111" i="6"/>
  <c r="AL110" i="6" s="1"/>
  <c r="B110" i="6"/>
  <c r="AL109" i="6" s="1"/>
  <c r="B109" i="6"/>
  <c r="AL108" i="6" s="1"/>
  <c r="B108" i="6"/>
  <c r="AL107" i="6" s="1"/>
  <c r="B107" i="6"/>
  <c r="AL106" i="6" s="1"/>
  <c r="B106" i="6"/>
  <c r="AL105" i="6" s="1"/>
  <c r="B105" i="6"/>
  <c r="AL104" i="6" s="1"/>
  <c r="B104" i="6"/>
  <c r="AL103" i="6" s="1"/>
  <c r="B103" i="6"/>
  <c r="AL102" i="6" s="1"/>
  <c r="B102" i="6"/>
  <c r="AL101" i="6" s="1"/>
  <c r="B101" i="6"/>
  <c r="AL100" i="6" s="1"/>
  <c r="B100" i="6"/>
  <c r="AL99" i="6" s="1"/>
  <c r="B99" i="6"/>
  <c r="AL98" i="6" s="1"/>
  <c r="B98" i="6"/>
  <c r="AL97" i="6" s="1"/>
  <c r="B97" i="6"/>
  <c r="AL96" i="6" s="1"/>
  <c r="B96" i="6"/>
  <c r="AL95" i="6" s="1"/>
  <c r="B95" i="6"/>
  <c r="AL94" i="6" s="1"/>
  <c r="B94" i="6"/>
  <c r="AL93" i="6" s="1"/>
  <c r="B93" i="6"/>
  <c r="AL92" i="6" s="1"/>
  <c r="B92" i="6"/>
  <c r="AL91" i="6" s="1"/>
  <c r="B91" i="6"/>
  <c r="AL90" i="6" s="1"/>
  <c r="B90" i="6"/>
  <c r="AL89" i="6" s="1"/>
  <c r="B89" i="6"/>
  <c r="AL88" i="6" s="1"/>
  <c r="B88" i="6"/>
  <c r="AL87" i="6" s="1"/>
  <c r="B87" i="6"/>
  <c r="AL86" i="6" s="1"/>
  <c r="B86" i="6"/>
  <c r="AL85" i="6" s="1"/>
  <c r="B85" i="6"/>
  <c r="AL84" i="6" s="1"/>
  <c r="B84" i="6"/>
  <c r="AL83" i="6" s="1"/>
  <c r="B83" i="6"/>
  <c r="AL82" i="6" s="1"/>
  <c r="B82" i="6"/>
  <c r="B81" i="6"/>
  <c r="AL80" i="6" s="1"/>
  <c r="B80" i="6"/>
  <c r="AL79" i="6" s="1"/>
  <c r="B79" i="6"/>
  <c r="AL78" i="6" s="1"/>
  <c r="B78" i="6"/>
  <c r="AL77" i="6" s="1"/>
  <c r="B77" i="6"/>
  <c r="AL76" i="6" s="1"/>
  <c r="B76" i="6"/>
  <c r="AL75" i="6" s="1"/>
  <c r="B75" i="6"/>
  <c r="AL74" i="6" s="1"/>
  <c r="B74" i="6"/>
  <c r="AL73" i="6" s="1"/>
  <c r="B73" i="6"/>
  <c r="AL72" i="6" s="1"/>
  <c r="B72" i="6"/>
  <c r="AL71" i="6" s="1"/>
  <c r="B71" i="6"/>
  <c r="AL70" i="6" s="1"/>
  <c r="B70" i="6"/>
  <c r="AL69" i="6" s="1"/>
  <c r="B69" i="6"/>
  <c r="AL68" i="6" s="1"/>
  <c r="B68" i="6"/>
  <c r="AL67" i="6" s="1"/>
  <c r="B67" i="6"/>
  <c r="AL66" i="6" s="1"/>
  <c r="B66" i="6"/>
  <c r="AL65" i="6" s="1"/>
  <c r="B65" i="6"/>
  <c r="AL64" i="6" s="1"/>
  <c r="B64" i="6"/>
  <c r="AL63" i="6" s="1"/>
  <c r="B63" i="6"/>
  <c r="AL62" i="6" s="1"/>
  <c r="B62" i="6"/>
  <c r="AL61" i="6" s="1"/>
  <c r="B61" i="6"/>
  <c r="AL60" i="6" s="1"/>
  <c r="B60" i="6"/>
  <c r="AL59" i="6" s="1"/>
  <c r="B59" i="6"/>
  <c r="AL58" i="6" s="1"/>
  <c r="B58" i="6"/>
  <c r="AL57" i="6" s="1"/>
  <c r="B57" i="6"/>
  <c r="AL56" i="6" s="1"/>
  <c r="B56" i="6"/>
  <c r="AL55" i="6" s="1"/>
  <c r="B55" i="6"/>
  <c r="AL54" i="6" s="1"/>
  <c r="B54" i="6"/>
  <c r="AL53" i="6" s="1"/>
  <c r="B53" i="6"/>
  <c r="AL52" i="6" s="1"/>
  <c r="B52" i="6"/>
  <c r="AL51" i="6" s="1"/>
  <c r="B51" i="6"/>
  <c r="AL50" i="6" s="1"/>
  <c r="B50" i="6"/>
  <c r="AL49" i="6" s="1"/>
  <c r="B49" i="6"/>
  <c r="AL48" i="6" s="1"/>
  <c r="B48" i="6"/>
  <c r="AL47" i="6" s="1"/>
  <c r="B47" i="6"/>
  <c r="AL46" i="6" s="1"/>
  <c r="B46" i="6"/>
  <c r="AL45" i="6" s="1"/>
  <c r="B45" i="6"/>
  <c r="AL44" i="6" s="1"/>
  <c r="B44" i="6"/>
  <c r="AL43" i="6" s="1"/>
  <c r="B43" i="6"/>
  <c r="AL42" i="6" s="1"/>
  <c r="B42" i="6"/>
  <c r="AL41" i="6" s="1"/>
  <c r="B41" i="6"/>
  <c r="AL40" i="6" s="1"/>
  <c r="B40" i="6"/>
  <c r="AL39" i="6" s="1"/>
  <c r="B39" i="6"/>
  <c r="AL38" i="6" s="1"/>
  <c r="B38" i="6"/>
  <c r="AL37" i="6" s="1"/>
  <c r="B37" i="6"/>
  <c r="AL36" i="6" s="1"/>
  <c r="B36" i="6"/>
  <c r="AL35" i="6" s="1"/>
  <c r="B35" i="6"/>
  <c r="AL34" i="6" s="1"/>
  <c r="B34" i="6"/>
  <c r="AL33" i="6" s="1"/>
  <c r="B33" i="6"/>
  <c r="AL32" i="6" s="1"/>
  <c r="B32" i="6"/>
  <c r="AL31" i="6" s="1"/>
  <c r="B31" i="6"/>
  <c r="AL30" i="6" s="1"/>
  <c r="B30" i="6"/>
  <c r="AL29" i="6" s="1"/>
  <c r="B29" i="6"/>
  <c r="AL28" i="6" s="1"/>
  <c r="B28" i="6"/>
  <c r="AL27" i="6" s="1"/>
  <c r="B27" i="6"/>
  <c r="AL26" i="6" s="1"/>
  <c r="B26" i="6"/>
  <c r="AL25" i="6" s="1"/>
  <c r="B25" i="6"/>
  <c r="AL24" i="6" s="1"/>
  <c r="B24" i="6"/>
  <c r="AL23" i="6" s="1"/>
  <c r="B23" i="6"/>
  <c r="AL22" i="6" s="1"/>
  <c r="B22" i="6"/>
  <c r="AL21" i="6" s="1"/>
  <c r="B21" i="6"/>
  <c r="AL20" i="6" s="1"/>
  <c r="B20" i="6"/>
  <c r="AL19" i="6" s="1"/>
  <c r="B19" i="6"/>
  <c r="AL18" i="6" s="1"/>
  <c r="B18" i="6"/>
  <c r="AL17" i="6" s="1"/>
  <c r="B17" i="6"/>
  <c r="AL16" i="6" s="1"/>
  <c r="B16" i="6"/>
  <c r="AL15" i="6" s="1"/>
  <c r="B15" i="6"/>
  <c r="AL14" i="6" s="1"/>
  <c r="B14" i="6"/>
  <c r="AL13" i="6" s="1"/>
  <c r="B13" i="6"/>
  <c r="AL12" i="6" s="1"/>
  <c r="B12" i="6"/>
  <c r="AL11" i="6" s="1"/>
  <c r="B11" i="6"/>
  <c r="AL10" i="6" s="1"/>
  <c r="B10" i="6"/>
  <c r="AL9" i="6" s="1"/>
  <c r="B9" i="6"/>
  <c r="AL8" i="6" s="1"/>
  <c r="B8" i="6"/>
  <c r="AL7" i="6" s="1"/>
  <c r="B7" i="6"/>
  <c r="AL6" i="6" s="1"/>
  <c r="B6" i="6"/>
  <c r="AL5" i="6" s="1"/>
  <c r="B5" i="6"/>
  <c r="AL4" i="6" s="1"/>
  <c r="O50" i="5"/>
  <c r="N50" i="5"/>
  <c r="M50" i="5"/>
  <c r="L50" i="5"/>
  <c r="K50" i="5"/>
  <c r="J50" i="5"/>
  <c r="I50" i="5"/>
  <c r="H50" i="5"/>
  <c r="G50" i="5"/>
  <c r="F50" i="5"/>
  <c r="E50" i="5"/>
  <c r="D50" i="5"/>
  <c r="O49" i="5"/>
  <c r="N49" i="5"/>
  <c r="M49" i="5"/>
  <c r="L49" i="5"/>
  <c r="K49" i="5"/>
  <c r="J49" i="5"/>
  <c r="I49" i="5"/>
  <c r="H49" i="5"/>
  <c r="G49" i="5"/>
  <c r="F49" i="5"/>
  <c r="E49" i="5"/>
  <c r="D49" i="5"/>
  <c r="O40" i="5"/>
  <c r="N40" i="5"/>
  <c r="M40" i="5"/>
  <c r="L40" i="5"/>
  <c r="K40" i="5"/>
  <c r="J40" i="5"/>
  <c r="I40" i="5"/>
  <c r="H40" i="5"/>
  <c r="G40" i="5"/>
  <c r="F40" i="5"/>
  <c r="E40" i="5"/>
  <c r="D40" i="5"/>
  <c r="H38" i="5"/>
  <c r="AB368" i="2"/>
  <c r="Z368" i="2"/>
  <c r="X368" i="2"/>
  <c r="V368" i="2"/>
  <c r="T368" i="2"/>
  <c r="R368" i="2"/>
  <c r="P368" i="2"/>
  <c r="N368" i="2"/>
  <c r="L368" i="2"/>
  <c r="J368" i="2"/>
  <c r="O39" i="5"/>
  <c r="N39" i="5"/>
  <c r="M39" i="5"/>
  <c r="L39" i="5"/>
  <c r="K39" i="5"/>
  <c r="J39" i="5"/>
  <c r="I39" i="5"/>
  <c r="H39" i="5"/>
  <c r="G39" i="5"/>
  <c r="F39" i="5"/>
  <c r="E39" i="5"/>
  <c r="O38" i="5"/>
  <c r="N38" i="5"/>
  <c r="M38" i="5"/>
  <c r="L38" i="5"/>
  <c r="K38" i="5"/>
  <c r="J38" i="5"/>
  <c r="I38" i="5"/>
  <c r="G38" i="5"/>
  <c r="F38" i="5"/>
  <c r="E38" i="5"/>
  <c r="D39" i="5"/>
  <c r="D38" i="5"/>
  <c r="AJ331" i="6"/>
  <c r="AJ317" i="6"/>
  <c r="AL368" i="6"/>
  <c r="AJ368" i="6"/>
  <c r="AL367" i="6"/>
  <c r="AL366" i="6"/>
  <c r="AL365" i="6"/>
  <c r="AL364" i="6"/>
  <c r="AL363" i="6"/>
  <c r="AL359" i="6"/>
  <c r="AJ359" i="6"/>
  <c r="AL358" i="6"/>
  <c r="AL357" i="6"/>
  <c r="AL356" i="6"/>
  <c r="AL355" i="6"/>
  <c r="AL353" i="6"/>
  <c r="AL351" i="6"/>
  <c r="AL350" i="6"/>
  <c r="AL349" i="6"/>
  <c r="AL348" i="6"/>
  <c r="AL347" i="6"/>
  <c r="AL343" i="6"/>
  <c r="AJ343" i="6"/>
  <c r="AL342" i="6"/>
  <c r="AL341" i="6"/>
  <c r="AL340" i="6"/>
  <c r="AL339" i="6"/>
  <c r="AL336" i="6"/>
  <c r="AL335" i="6"/>
  <c r="AL334" i="6"/>
  <c r="AL333" i="6"/>
  <c r="AL332" i="6"/>
  <c r="AL331" i="6"/>
  <c r="AL330" i="6"/>
  <c r="AL327" i="6"/>
  <c r="AL326" i="6"/>
  <c r="AL325" i="6"/>
  <c r="AL324" i="6"/>
  <c r="AL323" i="6"/>
  <c r="AL320" i="6"/>
  <c r="AL319" i="6"/>
  <c r="AJ319" i="6"/>
  <c r="AL318" i="6"/>
  <c r="AL317" i="6"/>
  <c r="AL316" i="6"/>
  <c r="AL315" i="6"/>
  <c r="AL314" i="6"/>
  <c r="AL311" i="6"/>
  <c r="AL310" i="6"/>
  <c r="AL309" i="6"/>
  <c r="AL308" i="6"/>
  <c r="AL307" i="6"/>
  <c r="AF368" i="6"/>
  <c r="AF367" i="6"/>
  <c r="AK367" i="6" s="1"/>
  <c r="AF366" i="6"/>
  <c r="AF365" i="6"/>
  <c r="AK365" i="6" s="1"/>
  <c r="AF364" i="6"/>
  <c r="AF363" i="6"/>
  <c r="AF362" i="6"/>
  <c r="AF361" i="6"/>
  <c r="AF360" i="6"/>
  <c r="AF359" i="6"/>
  <c r="AK359" i="6" s="1"/>
  <c r="AF358" i="6"/>
  <c r="AF357" i="6"/>
  <c r="AK357" i="6" s="1"/>
  <c r="AF356" i="6"/>
  <c r="AF355" i="6"/>
  <c r="AF354" i="6"/>
  <c r="AF353" i="6"/>
  <c r="AF352" i="6"/>
  <c r="AF351" i="6"/>
  <c r="AK351" i="6" s="1"/>
  <c r="AF350" i="6"/>
  <c r="AF349" i="6"/>
  <c r="AK349" i="6" s="1"/>
  <c r="AF348" i="6"/>
  <c r="AF347" i="6"/>
  <c r="AF346" i="6"/>
  <c r="AF345" i="6"/>
  <c r="AF344" i="6"/>
  <c r="AF343" i="6"/>
  <c r="AK343" i="6" s="1"/>
  <c r="AF342" i="6"/>
  <c r="AF341" i="6"/>
  <c r="AK341" i="6" s="1"/>
  <c r="AF340" i="6"/>
  <c r="AF339" i="6"/>
  <c r="AF338" i="6"/>
  <c r="AF337" i="6"/>
  <c r="AF336" i="6"/>
  <c r="AF335" i="6"/>
  <c r="AK335" i="6" s="1"/>
  <c r="AF334" i="6"/>
  <c r="AF333" i="6"/>
  <c r="AK333" i="6" s="1"/>
  <c r="AF332" i="6"/>
  <c r="AF331" i="6"/>
  <c r="AF330" i="6"/>
  <c r="AF329" i="6"/>
  <c r="AF328" i="6"/>
  <c r="AF327" i="6"/>
  <c r="AK327" i="6" s="1"/>
  <c r="AF326" i="6"/>
  <c r="AF325" i="6"/>
  <c r="AK325" i="6" s="1"/>
  <c r="AF324" i="6"/>
  <c r="AF323" i="6"/>
  <c r="AF322" i="6"/>
  <c r="AF321" i="6"/>
  <c r="AF320" i="6"/>
  <c r="AF319" i="6"/>
  <c r="AK319" i="6" s="1"/>
  <c r="AF318" i="6"/>
  <c r="AF317" i="6"/>
  <c r="AK317" i="6" s="1"/>
  <c r="AF316" i="6"/>
  <c r="AF315" i="6"/>
  <c r="AF314" i="6"/>
  <c r="AF313" i="6"/>
  <c r="AF312" i="6"/>
  <c r="AF311" i="6"/>
  <c r="AK311" i="6" s="1"/>
  <c r="AF310" i="6"/>
  <c r="AF309" i="6"/>
  <c r="AK309" i="6" s="1"/>
  <c r="AF308" i="6"/>
  <c r="AF307" i="6"/>
  <c r="AF306" i="6"/>
  <c r="AF305" i="6"/>
  <c r="AF304" i="6"/>
  <c r="AF303" i="6"/>
  <c r="AK303" i="6" s="1"/>
  <c r="AF302" i="6"/>
  <c r="AK302" i="6" s="1"/>
  <c r="AF301" i="6"/>
  <c r="AF300" i="6"/>
  <c r="AF299" i="6"/>
  <c r="AK299" i="6" s="1"/>
  <c r="AF298" i="6"/>
  <c r="AF297" i="6"/>
  <c r="AF296" i="6"/>
  <c r="AF295" i="6"/>
  <c r="AF294" i="6"/>
  <c r="AF293" i="6"/>
  <c r="AF292" i="6"/>
  <c r="AF291" i="6"/>
  <c r="AF290" i="6"/>
  <c r="AF289" i="6"/>
  <c r="AF288" i="6"/>
  <c r="AF287" i="6"/>
  <c r="AK287" i="6" s="1"/>
  <c r="AF286" i="6"/>
  <c r="AK286" i="6" s="1"/>
  <c r="AF285" i="6"/>
  <c r="AF284" i="6"/>
  <c r="AF283" i="6"/>
  <c r="AK283" i="6" s="1"/>
  <c r="AF282" i="6"/>
  <c r="AF281" i="6"/>
  <c r="AF280" i="6"/>
  <c r="AF279" i="6"/>
  <c r="AF278" i="6"/>
  <c r="AF277" i="6"/>
  <c r="AF276" i="6"/>
  <c r="AF275" i="6"/>
  <c r="AF274" i="6"/>
  <c r="AF273" i="6"/>
  <c r="AF272" i="6"/>
  <c r="AF271" i="6"/>
  <c r="AK271" i="6" s="1"/>
  <c r="AF270" i="6"/>
  <c r="AK270" i="6" s="1"/>
  <c r="AF269" i="6"/>
  <c r="AF268" i="6"/>
  <c r="AF267" i="6"/>
  <c r="AK267" i="6" s="1"/>
  <c r="AF266" i="6"/>
  <c r="AF265" i="6"/>
  <c r="AF264" i="6"/>
  <c r="AF263" i="6"/>
  <c r="AF262" i="6"/>
  <c r="AF261" i="6"/>
  <c r="AF260" i="6"/>
  <c r="AF259" i="6"/>
  <c r="AF258" i="6"/>
  <c r="AF257" i="6"/>
  <c r="AF256" i="6"/>
  <c r="AF255" i="6"/>
  <c r="AK255" i="6" s="1"/>
  <c r="AF254" i="6"/>
  <c r="AK254" i="6" s="1"/>
  <c r="AF253" i="6"/>
  <c r="AF252" i="6"/>
  <c r="AF251" i="6"/>
  <c r="AK251" i="6" s="1"/>
  <c r="AF250" i="6"/>
  <c r="AF249" i="6"/>
  <c r="AF248" i="6"/>
  <c r="AF247" i="6"/>
  <c r="AF246" i="6"/>
  <c r="AF245" i="6"/>
  <c r="AF244" i="6"/>
  <c r="AF243" i="6"/>
  <c r="AF242" i="6"/>
  <c r="AF241" i="6"/>
  <c r="AF240" i="6"/>
  <c r="AF239" i="6"/>
  <c r="AK239" i="6" s="1"/>
  <c r="AF238" i="6"/>
  <c r="AK238" i="6" s="1"/>
  <c r="AF237" i="6"/>
  <c r="AF236" i="6"/>
  <c r="AF235" i="6"/>
  <c r="AK235" i="6" s="1"/>
  <c r="AF234" i="6"/>
  <c r="AF233" i="6"/>
  <c r="AF232" i="6"/>
  <c r="AF231" i="6"/>
  <c r="AF230" i="6"/>
  <c r="AF229" i="6"/>
  <c r="AF228" i="6"/>
  <c r="AF227" i="6"/>
  <c r="AF226" i="6"/>
  <c r="AF225" i="6"/>
  <c r="AF224" i="6"/>
  <c r="AF223" i="6"/>
  <c r="AK223" i="6" s="1"/>
  <c r="AF222" i="6"/>
  <c r="AK222" i="6" s="1"/>
  <c r="AF221" i="6"/>
  <c r="AF220" i="6"/>
  <c r="AF219" i="6"/>
  <c r="AK219" i="6" s="1"/>
  <c r="AF218" i="6"/>
  <c r="AF217" i="6"/>
  <c r="AF216" i="6"/>
  <c r="AF215" i="6"/>
  <c r="AF214" i="6"/>
  <c r="AF213" i="6"/>
  <c r="AF212" i="6"/>
  <c r="AF211" i="6"/>
  <c r="AF210" i="6"/>
  <c r="AF209" i="6"/>
  <c r="AF208" i="6"/>
  <c r="AF207" i="6"/>
  <c r="AK207" i="6" s="1"/>
  <c r="AF206" i="6"/>
  <c r="AK206" i="6" s="1"/>
  <c r="AF205" i="6"/>
  <c r="AF204" i="6"/>
  <c r="AF203" i="6"/>
  <c r="AK203" i="6" s="1"/>
  <c r="AF202" i="6"/>
  <c r="AF201" i="6"/>
  <c r="AF200" i="6"/>
  <c r="AF199" i="6"/>
  <c r="AF198" i="6"/>
  <c r="AF197" i="6"/>
  <c r="AK197" i="6" s="1"/>
  <c r="AF196" i="6"/>
  <c r="AF195" i="6"/>
  <c r="AK195" i="6" s="1"/>
  <c r="AF194" i="6"/>
  <c r="AF193" i="6"/>
  <c r="AF192" i="6"/>
  <c r="AF191" i="6"/>
  <c r="AF190" i="6"/>
  <c r="AF189" i="6"/>
  <c r="AF188" i="6"/>
  <c r="AF187" i="6"/>
  <c r="AF186" i="6"/>
  <c r="AK186" i="6" s="1"/>
  <c r="AF185" i="6"/>
  <c r="AF184" i="6"/>
  <c r="AF183" i="6"/>
  <c r="AF182" i="6"/>
  <c r="AF181" i="6"/>
  <c r="AF180" i="6"/>
  <c r="AF179" i="6"/>
  <c r="AF178" i="6"/>
  <c r="AK178" i="6" s="1"/>
  <c r="AF177" i="6"/>
  <c r="AF176" i="6"/>
  <c r="AF175" i="6"/>
  <c r="AF174" i="6"/>
  <c r="AF173" i="6"/>
  <c r="AF172" i="6"/>
  <c r="AF171" i="6"/>
  <c r="AF170" i="6"/>
  <c r="AK170" i="6" s="1"/>
  <c r="AF169" i="6"/>
  <c r="AF168" i="6"/>
  <c r="AF167" i="6"/>
  <c r="AF166" i="6"/>
  <c r="AF165" i="6"/>
  <c r="AF164" i="6"/>
  <c r="AF163" i="6"/>
  <c r="AF162" i="6"/>
  <c r="AK162" i="6" s="1"/>
  <c r="AF161" i="6"/>
  <c r="AF160" i="6"/>
  <c r="AF159" i="6"/>
  <c r="AF158" i="6"/>
  <c r="AF157" i="6"/>
  <c r="AK157" i="6" s="1"/>
  <c r="AF156" i="6"/>
  <c r="AF155" i="6"/>
  <c r="AK155" i="6" s="1"/>
  <c r="AF154" i="6"/>
  <c r="AF153" i="6"/>
  <c r="AF152" i="6"/>
  <c r="AK152" i="6" s="1"/>
  <c r="AF151" i="6"/>
  <c r="AK151" i="6" s="1"/>
  <c r="AF150" i="6"/>
  <c r="AF149" i="6"/>
  <c r="AK149" i="6" s="1"/>
  <c r="AF148" i="6"/>
  <c r="AF147" i="6"/>
  <c r="AK147" i="6" s="1"/>
  <c r="AF146" i="6"/>
  <c r="AF145" i="6"/>
  <c r="AF144" i="6"/>
  <c r="AK144" i="6" s="1"/>
  <c r="AF143" i="6"/>
  <c r="AK143" i="6" s="1"/>
  <c r="AF142" i="6"/>
  <c r="AF141" i="6"/>
  <c r="AK141" i="6" s="1"/>
  <c r="AF140" i="6"/>
  <c r="AF139" i="6"/>
  <c r="AK139" i="6" s="1"/>
  <c r="AF138" i="6"/>
  <c r="AF137" i="6"/>
  <c r="AF136" i="6"/>
  <c r="AF135" i="6"/>
  <c r="AK135" i="6" s="1"/>
  <c r="AF134" i="6"/>
  <c r="AF133" i="6"/>
  <c r="AK133" i="6" s="1"/>
  <c r="AF132" i="6"/>
  <c r="AF131" i="6"/>
  <c r="AK131" i="6" s="1"/>
  <c r="AF130" i="6"/>
  <c r="AF129" i="6"/>
  <c r="AF128" i="6"/>
  <c r="AF127" i="6"/>
  <c r="AK127" i="6" s="1"/>
  <c r="AF126" i="6"/>
  <c r="AF125" i="6"/>
  <c r="AK125" i="6" s="1"/>
  <c r="AF124" i="6"/>
  <c r="AF123" i="6"/>
  <c r="AK123" i="6" s="1"/>
  <c r="AF122" i="6"/>
  <c r="AF121" i="6"/>
  <c r="AF120" i="6"/>
  <c r="AF119" i="6"/>
  <c r="AK119" i="6" s="1"/>
  <c r="AF118" i="6"/>
  <c r="AF117" i="6"/>
  <c r="AK117" i="6" s="1"/>
  <c r="AF116" i="6"/>
  <c r="AF115" i="6"/>
  <c r="AK115" i="6" s="1"/>
  <c r="AF114" i="6"/>
  <c r="AF113" i="6"/>
  <c r="AF112" i="6"/>
  <c r="AK112" i="6" s="1"/>
  <c r="AF111" i="6"/>
  <c r="AK111" i="6" s="1"/>
  <c r="AF110" i="6"/>
  <c r="AF109" i="6"/>
  <c r="AK109" i="6" s="1"/>
  <c r="AF108" i="6"/>
  <c r="AF107" i="6"/>
  <c r="AK107" i="6" s="1"/>
  <c r="AF106" i="6"/>
  <c r="AF105" i="6"/>
  <c r="AF104" i="6"/>
  <c r="AK104" i="6" s="1"/>
  <c r="AF103" i="6"/>
  <c r="AK103" i="6" s="1"/>
  <c r="AF102" i="6"/>
  <c r="AF101" i="6"/>
  <c r="AK101" i="6" s="1"/>
  <c r="AF100" i="6"/>
  <c r="AF99" i="6"/>
  <c r="AK99" i="6" s="1"/>
  <c r="AF98" i="6"/>
  <c r="AF97" i="6"/>
  <c r="AF96" i="6"/>
  <c r="AF95" i="6"/>
  <c r="AK95" i="6" s="1"/>
  <c r="AF94" i="6"/>
  <c r="AF93" i="6"/>
  <c r="AK93" i="6" s="1"/>
  <c r="AF92" i="6"/>
  <c r="AF91" i="6"/>
  <c r="AK91" i="6" s="1"/>
  <c r="AF90" i="6"/>
  <c r="AK90" i="6" s="1"/>
  <c r="AF89" i="6"/>
  <c r="AF88" i="6"/>
  <c r="AK88" i="6" s="1"/>
  <c r="AF87" i="6"/>
  <c r="AK87" i="6" s="1"/>
  <c r="AF86" i="6"/>
  <c r="AK86" i="6" s="1"/>
  <c r="AF85" i="6"/>
  <c r="AK85" i="6" s="1"/>
  <c r="AF84" i="6"/>
  <c r="AF83" i="6"/>
  <c r="AK83" i="6" s="1"/>
  <c r="AF82" i="6"/>
  <c r="AK82" i="6" s="1"/>
  <c r="AE81" i="6"/>
  <c r="AC81" i="6"/>
  <c r="AA81" i="6"/>
  <c r="Y81" i="6"/>
  <c r="W81" i="6"/>
  <c r="U81" i="6"/>
  <c r="S81" i="6"/>
  <c r="Q81" i="6"/>
  <c r="O81" i="6"/>
  <c r="M81" i="6"/>
  <c r="K81" i="6"/>
  <c r="AB8" i="7"/>
  <c r="N8" i="7"/>
  <c r="J8" i="7"/>
  <c r="X8" i="7" s="1"/>
  <c r="AB7" i="7"/>
  <c r="N7" i="7"/>
  <c r="J7" i="7"/>
  <c r="X7" i="7" s="1"/>
  <c r="AB6" i="7"/>
  <c r="N6" i="7"/>
  <c r="J6" i="7"/>
  <c r="X6" i="7" s="1"/>
  <c r="AB5" i="7"/>
  <c r="N5" i="7"/>
  <c r="N9" i="7" s="1"/>
  <c r="AB9" i="7" s="1"/>
  <c r="J5" i="7"/>
  <c r="X5" i="7" s="1"/>
  <c r="AF80" i="6"/>
  <c r="AF79" i="6"/>
  <c r="AF78" i="6"/>
  <c r="M77" i="6"/>
  <c r="AF77" i="6" s="1"/>
  <c r="M76" i="6"/>
  <c r="AF76" i="6" s="1"/>
  <c r="AF75" i="6"/>
  <c r="M75" i="6"/>
  <c r="AQ75" i="6" s="1"/>
  <c r="AF74" i="6"/>
  <c r="M74" i="6"/>
  <c r="AQ74" i="6" s="1"/>
  <c r="AS74" i="6" s="1"/>
  <c r="M73" i="6"/>
  <c r="AF73" i="6" s="1"/>
  <c r="AF72" i="6"/>
  <c r="AF71" i="6"/>
  <c r="M71" i="6"/>
  <c r="AQ71" i="6" s="1"/>
  <c r="AS71" i="6" s="1"/>
  <c r="AF70" i="6"/>
  <c r="M70" i="6"/>
  <c r="AQ70" i="6" s="1"/>
  <c r="AF69" i="6"/>
  <c r="AF68" i="6"/>
  <c r="AK68" i="6" s="1"/>
  <c r="M67" i="6"/>
  <c r="AF67" i="6" s="1"/>
  <c r="AF66" i="6"/>
  <c r="M65" i="6"/>
  <c r="AF65" i="6" s="1"/>
  <c r="AK65" i="6" s="1"/>
  <c r="AF64" i="6"/>
  <c r="AK64" i="6" s="1"/>
  <c r="M63" i="6"/>
  <c r="AF63" i="6" s="1"/>
  <c r="M62" i="6"/>
  <c r="AF62" i="6" s="1"/>
  <c r="M61" i="6"/>
  <c r="AF61" i="6" s="1"/>
  <c r="M60" i="6"/>
  <c r="AF60" i="6" s="1"/>
  <c r="AK60" i="6" s="1"/>
  <c r="M59" i="6"/>
  <c r="AF59" i="6" s="1"/>
  <c r="M58" i="6"/>
  <c r="AF58" i="6" s="1"/>
  <c r="M57" i="6"/>
  <c r="AF57" i="6" s="1"/>
  <c r="AK57" i="6" s="1"/>
  <c r="M56" i="6"/>
  <c r="AF56" i="6" s="1"/>
  <c r="M55" i="6"/>
  <c r="AF55" i="6" s="1"/>
  <c r="M54" i="6"/>
  <c r="AF54" i="6" s="1"/>
  <c r="AK54" i="6" s="1"/>
  <c r="M53" i="6"/>
  <c r="AF53" i="6" s="1"/>
  <c r="M52" i="6"/>
  <c r="AF52" i="6" s="1"/>
  <c r="AK52" i="6" s="1"/>
  <c r="M51" i="6"/>
  <c r="AF51" i="6" s="1"/>
  <c r="M50" i="6"/>
  <c r="AF50" i="6" s="1"/>
  <c r="M49" i="6"/>
  <c r="AF49" i="6" s="1"/>
  <c r="M48" i="6"/>
  <c r="AF48" i="6" s="1"/>
  <c r="M47" i="6"/>
  <c r="AF47" i="6" s="1"/>
  <c r="M46" i="6"/>
  <c r="AF46" i="6" s="1"/>
  <c r="AF45" i="6"/>
  <c r="AK45" i="6" s="1"/>
  <c r="M45" i="6"/>
  <c r="M44" i="6"/>
  <c r="AF44" i="6" s="1"/>
  <c r="AF43" i="6"/>
  <c r="M43" i="6"/>
  <c r="M42" i="6"/>
  <c r="AF42" i="6" s="1"/>
  <c r="M41" i="6"/>
  <c r="AF41" i="6" s="1"/>
  <c r="M40" i="6"/>
  <c r="AF40" i="6" s="1"/>
  <c r="M39" i="6"/>
  <c r="AF39" i="6" s="1"/>
  <c r="AK39" i="6" s="1"/>
  <c r="M38" i="6"/>
  <c r="AF38" i="6" s="1"/>
  <c r="AF37" i="6"/>
  <c r="M37" i="6"/>
  <c r="M36" i="6"/>
  <c r="AF36" i="6" s="1"/>
  <c r="M35" i="6"/>
  <c r="AF35" i="6" s="1"/>
  <c r="M34" i="6"/>
  <c r="AF34" i="6" s="1"/>
  <c r="M33" i="6"/>
  <c r="AF33" i="6" s="1"/>
  <c r="M32" i="6"/>
  <c r="AF32" i="6" s="1"/>
  <c r="AF31" i="6"/>
  <c r="AK31" i="6" s="1"/>
  <c r="M31" i="6"/>
  <c r="M30" i="6"/>
  <c r="AF30" i="6" s="1"/>
  <c r="M29" i="6"/>
  <c r="AF29" i="6" s="1"/>
  <c r="M28" i="6"/>
  <c r="AF28" i="6" s="1"/>
  <c r="AF27" i="6"/>
  <c r="AK27" i="6" s="1"/>
  <c r="M27" i="6"/>
  <c r="M26" i="6"/>
  <c r="AF26" i="6" s="1"/>
  <c r="M25" i="6"/>
  <c r="AF25" i="6" s="1"/>
  <c r="M24" i="6"/>
  <c r="AF24" i="6" s="1"/>
  <c r="M23" i="6"/>
  <c r="AF23" i="6" s="1"/>
  <c r="AK23" i="6" s="1"/>
  <c r="M22" i="6"/>
  <c r="AF22" i="6" s="1"/>
  <c r="AF21" i="6"/>
  <c r="M21" i="6"/>
  <c r="M20" i="6"/>
  <c r="AF20" i="6" s="1"/>
  <c r="M19" i="6"/>
  <c r="AF19" i="6" s="1"/>
  <c r="M18" i="6"/>
  <c r="AF18" i="6" s="1"/>
  <c r="M17" i="6"/>
  <c r="AF17" i="6" s="1"/>
  <c r="M16" i="6"/>
  <c r="AF16" i="6" s="1"/>
  <c r="AF15" i="6"/>
  <c r="AK15" i="6" s="1"/>
  <c r="M15" i="6"/>
  <c r="M14" i="6"/>
  <c r="AF14" i="6" s="1"/>
  <c r="M13" i="6"/>
  <c r="AF13" i="6" s="1"/>
  <c r="M12" i="6"/>
  <c r="AF12" i="6" s="1"/>
  <c r="M11" i="6"/>
  <c r="AF11" i="6" s="1"/>
  <c r="M10" i="6"/>
  <c r="AF10" i="6" s="1"/>
  <c r="M9" i="6"/>
  <c r="AF9" i="6" s="1"/>
  <c r="M8" i="6"/>
  <c r="M7" i="6"/>
  <c r="AF7" i="6" s="1"/>
  <c r="AK7" i="6" s="1"/>
  <c r="M6" i="6"/>
  <c r="AF6" i="6" s="1"/>
  <c r="AK6" i="6" s="1"/>
  <c r="M5" i="6"/>
  <c r="AF5" i="6" s="1"/>
  <c r="AK5" i="6" s="1"/>
  <c r="AF4" i="6"/>
  <c r="AK4" i="6" s="1"/>
  <c r="AD1" i="6"/>
  <c r="AB1" i="6"/>
  <c r="Z1" i="6"/>
  <c r="X1" i="6"/>
  <c r="V1" i="6"/>
  <c r="T1" i="6"/>
  <c r="R1" i="6"/>
  <c r="P1" i="6"/>
  <c r="N1" i="6"/>
  <c r="L1" i="6"/>
  <c r="J1" i="6"/>
  <c r="AT91" i="6" l="1"/>
  <c r="AT75" i="6"/>
  <c r="AT67" i="6"/>
  <c r="AS9" i="6"/>
  <c r="AS13" i="6"/>
  <c r="AT44" i="6"/>
  <c r="AS50" i="6"/>
  <c r="AT9" i="6"/>
  <c r="AT65" i="6"/>
  <c r="AS33" i="6"/>
  <c r="AS37" i="6"/>
  <c r="AX9" i="6"/>
  <c r="AX17" i="6"/>
  <c r="AT41" i="6"/>
  <c r="AX56" i="6"/>
  <c r="AS18" i="6"/>
  <c r="AX25" i="6"/>
  <c r="AW41" i="6"/>
  <c r="AS53" i="6"/>
  <c r="AT49" i="6"/>
  <c r="AS79" i="6"/>
  <c r="AW32" i="6"/>
  <c r="AS34" i="6"/>
  <c r="AX34" i="6"/>
  <c r="AS75" i="6"/>
  <c r="AJ158" i="6"/>
  <c r="AX68" i="6"/>
  <c r="AX85" i="6"/>
  <c r="AT93" i="6"/>
  <c r="AX14" i="6"/>
  <c r="AX26" i="6"/>
  <c r="AX40" i="6"/>
  <c r="AS61" i="6"/>
  <c r="AX69" i="6"/>
  <c r="AX86" i="6"/>
  <c r="AW8" i="6"/>
  <c r="AX23" i="6"/>
  <c r="AT40" i="6"/>
  <c r="AS35" i="6"/>
  <c r="AS51" i="6"/>
  <c r="AY58" i="6"/>
  <c r="AX58" i="6"/>
  <c r="AT89" i="6"/>
  <c r="AX67" i="6"/>
  <c r="AX15" i="6"/>
  <c r="AX20" i="6"/>
  <c r="AW24" i="6"/>
  <c r="AS27" i="6"/>
  <c r="AS41" i="6"/>
  <c r="AW48" i="6"/>
  <c r="AY62" i="6"/>
  <c r="AT42" i="6"/>
  <c r="AJ165" i="6"/>
  <c r="AT10" i="6"/>
  <c r="AX12" i="6"/>
  <c r="AY16" i="6"/>
  <c r="AS19" i="6"/>
  <c r="AX31" i="6"/>
  <c r="AX36" i="6"/>
  <c r="AX52" i="6"/>
  <c r="F9" i="4"/>
  <c r="AX32" i="6"/>
  <c r="AT32" i="6"/>
  <c r="AY63" i="6"/>
  <c r="AF123" i="2"/>
  <c r="AF155" i="2"/>
  <c r="AF187" i="2"/>
  <c r="AF227" i="2"/>
  <c r="AF267" i="2"/>
  <c r="AF339" i="2"/>
  <c r="AF92" i="2"/>
  <c r="AF116" i="2"/>
  <c r="AF156" i="2"/>
  <c r="AF188" i="2"/>
  <c r="AF212" i="2"/>
  <c r="AF252" i="2"/>
  <c r="AF284" i="2"/>
  <c r="AF316" i="2"/>
  <c r="AF332" i="2"/>
  <c r="AF364" i="2"/>
  <c r="AT77" i="6"/>
  <c r="AX16" i="6"/>
  <c r="AT16" i="6"/>
  <c r="AX29" i="6"/>
  <c r="AT29" i="6"/>
  <c r="AY46" i="6"/>
  <c r="AS46" i="6"/>
  <c r="AX53" i="6"/>
  <c r="AT53" i="6"/>
  <c r="AX8" i="6"/>
  <c r="AT8" i="6"/>
  <c r="AS11" i="6"/>
  <c r="AX21" i="6"/>
  <c r="AT21" i="6"/>
  <c r="AX60" i="6"/>
  <c r="AT60" i="6"/>
  <c r="AF99" i="2"/>
  <c r="AF139" i="2"/>
  <c r="AF179" i="2"/>
  <c r="AF219" i="2"/>
  <c r="AF259" i="2"/>
  <c r="AF291" i="2"/>
  <c r="AF355" i="2"/>
  <c r="AX24" i="6"/>
  <c r="AT24" i="6"/>
  <c r="AX63" i="6"/>
  <c r="AF132" i="2"/>
  <c r="AF172" i="2"/>
  <c r="AF196" i="2"/>
  <c r="AF236" i="2"/>
  <c r="AF268" i="2"/>
  <c r="AF300" i="2"/>
  <c r="AF356" i="2"/>
  <c r="AJ2" i="6"/>
  <c r="AX13" i="6"/>
  <c r="AT13" i="6"/>
  <c r="AY43" i="6"/>
  <c r="AS43" i="6"/>
  <c r="AF115" i="2"/>
  <c r="AF171" i="2"/>
  <c r="AF211" i="2"/>
  <c r="AF243" i="2"/>
  <c r="AF283" i="2"/>
  <c r="AF315" i="2"/>
  <c r="AF331" i="2"/>
  <c r="AF108" i="2"/>
  <c r="AF140" i="2"/>
  <c r="AF164" i="2"/>
  <c r="AF204" i="2"/>
  <c r="AF228" i="2"/>
  <c r="AF260" i="2"/>
  <c r="AF292" i="2"/>
  <c r="AF340" i="2"/>
  <c r="AX5" i="6"/>
  <c r="AT5" i="6"/>
  <c r="AS38" i="6"/>
  <c r="AF91" i="2"/>
  <c r="AF131" i="2"/>
  <c r="AF163" i="2"/>
  <c r="AF203" i="2"/>
  <c r="AF235" i="2"/>
  <c r="AF275" i="2"/>
  <c r="AF307" i="2"/>
  <c r="AF323" i="2"/>
  <c r="AF363" i="2"/>
  <c r="AT37" i="6"/>
  <c r="AF100" i="2"/>
  <c r="AF124" i="2"/>
  <c r="AF148" i="2"/>
  <c r="AF180" i="2"/>
  <c r="AF220" i="2"/>
  <c r="AF244" i="2"/>
  <c r="AF276" i="2"/>
  <c r="AF308" i="2"/>
  <c r="AF324" i="2"/>
  <c r="AF348" i="2"/>
  <c r="AJ123" i="6"/>
  <c r="AJ163" i="6"/>
  <c r="AJ171" i="6"/>
  <c r="AJ179" i="6"/>
  <c r="B368" i="2"/>
  <c r="AF88" i="2"/>
  <c r="AF96" i="2"/>
  <c r="AF104" i="2"/>
  <c r="AF112" i="2"/>
  <c r="AF120" i="2"/>
  <c r="AF128" i="2"/>
  <c r="AF136" i="2"/>
  <c r="AF144" i="2"/>
  <c r="AF152" i="2"/>
  <c r="AF160" i="2"/>
  <c r="AF168" i="2"/>
  <c r="AF176" i="2"/>
  <c r="AF184" i="2"/>
  <c r="AF192" i="2"/>
  <c r="AF200" i="2"/>
  <c r="AF208" i="2"/>
  <c r="AF216" i="2"/>
  <c r="AF224" i="2"/>
  <c r="AF232" i="2"/>
  <c r="AF240" i="2"/>
  <c r="AF248" i="2"/>
  <c r="AF256" i="2"/>
  <c r="AF264" i="2"/>
  <c r="AF272" i="2"/>
  <c r="AF280" i="2"/>
  <c r="AF288" i="2"/>
  <c r="AF296" i="2"/>
  <c r="AF304" i="2"/>
  <c r="AF312" i="2"/>
  <c r="AF320" i="2"/>
  <c r="AF328" i="2"/>
  <c r="AF336" i="2"/>
  <c r="AF344" i="2"/>
  <c r="AF352" i="2"/>
  <c r="AF360" i="2"/>
  <c r="AF368" i="2"/>
  <c r="AS83" i="6"/>
  <c r="AS54" i="6"/>
  <c r="AY59" i="6"/>
  <c r="AS59" i="6"/>
  <c r="AF107" i="2"/>
  <c r="AF147" i="2"/>
  <c r="AF195" i="2"/>
  <c r="AF251" i="2"/>
  <c r="AF299" i="2"/>
  <c r="AF347" i="2"/>
  <c r="AS70" i="6"/>
  <c r="AF89" i="2"/>
  <c r="AF97" i="2"/>
  <c r="AF105" i="2"/>
  <c r="AF113" i="2"/>
  <c r="AF121" i="2"/>
  <c r="AF129" i="2"/>
  <c r="AF137" i="2"/>
  <c r="AF145" i="2"/>
  <c r="AF153" i="2"/>
  <c r="AF161" i="2"/>
  <c r="AF169" i="2"/>
  <c r="AF177" i="2"/>
  <c r="AF185" i="2"/>
  <c r="AF193" i="2"/>
  <c r="AF201" i="2"/>
  <c r="AF209" i="2"/>
  <c r="AF217" i="2"/>
  <c r="AF225" i="2"/>
  <c r="AF233" i="2"/>
  <c r="AF241" i="2"/>
  <c r="AF249" i="2"/>
  <c r="AF257" i="2"/>
  <c r="AF265" i="2"/>
  <c r="AF273" i="2"/>
  <c r="AF281" i="2"/>
  <c r="AF289" i="2"/>
  <c r="AF297" i="2"/>
  <c r="AF305" i="2"/>
  <c r="AF313" i="2"/>
  <c r="AF321" i="2"/>
  <c r="AF329" i="2"/>
  <c r="AF337" i="2"/>
  <c r="AF345" i="2"/>
  <c r="AF353" i="2"/>
  <c r="AF361" i="2"/>
  <c r="AT83" i="6"/>
  <c r="AY6" i="6"/>
  <c r="AY9" i="6"/>
  <c r="AY10" i="6"/>
  <c r="AT11" i="6"/>
  <c r="AY14" i="6"/>
  <c r="AY17" i="6"/>
  <c r="AY18" i="6"/>
  <c r="AT19" i="6"/>
  <c r="AY22" i="6"/>
  <c r="AY25" i="6"/>
  <c r="AY26" i="6"/>
  <c r="AT27" i="6"/>
  <c r="AY30" i="6"/>
  <c r="AY33" i="6"/>
  <c r="AY34" i="6"/>
  <c r="AT35" i="6"/>
  <c r="AX38" i="6"/>
  <c r="AW40" i="6"/>
  <c r="AS44" i="6"/>
  <c r="AY47" i="6"/>
  <c r="AY50" i="6"/>
  <c r="AT51" i="6"/>
  <c r="AX54" i="6"/>
  <c r="AW56" i="6"/>
  <c r="AX61" i="6"/>
  <c r="I8" i="4"/>
  <c r="AF90" i="2"/>
  <c r="AF98" i="2"/>
  <c r="AF106" i="2"/>
  <c r="AF114" i="2"/>
  <c r="AF122" i="2"/>
  <c r="AF130" i="2"/>
  <c r="AF138" i="2"/>
  <c r="AF146" i="2"/>
  <c r="AF154" i="2"/>
  <c r="AF162" i="2"/>
  <c r="AF170" i="2"/>
  <c r="AF178" i="2"/>
  <c r="AF186" i="2"/>
  <c r="AF194" i="2"/>
  <c r="AF202" i="2"/>
  <c r="AF210" i="2"/>
  <c r="AF218" i="2"/>
  <c r="AF226" i="2"/>
  <c r="AF234" i="2"/>
  <c r="AF242" i="2"/>
  <c r="AF250" i="2"/>
  <c r="AF258" i="2"/>
  <c r="AF266" i="2"/>
  <c r="AF274" i="2"/>
  <c r="AF282" i="2"/>
  <c r="AF290" i="2"/>
  <c r="AF298" i="2"/>
  <c r="AF306" i="2"/>
  <c r="AF314" i="2"/>
  <c r="AF322" i="2"/>
  <c r="AF330" i="2"/>
  <c r="AF338" i="2"/>
  <c r="AF346" i="2"/>
  <c r="AF354" i="2"/>
  <c r="AF362" i="2"/>
  <c r="AO1" i="6"/>
  <c r="AY5" i="6"/>
  <c r="AY13" i="6"/>
  <c r="AY21" i="6"/>
  <c r="AY29" i="6"/>
  <c r="AX30" i="6"/>
  <c r="AY37" i="6"/>
  <c r="AX44" i="6"/>
  <c r="AX47" i="6"/>
  <c r="AS49" i="6"/>
  <c r="AX50" i="6"/>
  <c r="AY53" i="6"/>
  <c r="AT56" i="6"/>
  <c r="AY60" i="6"/>
  <c r="V5" i="7"/>
  <c r="I6" i="4"/>
  <c r="AF93" i="2"/>
  <c r="AF101" i="2"/>
  <c r="AF109" i="2"/>
  <c r="AF117" i="2"/>
  <c r="AF125" i="2"/>
  <c r="AF133" i="2"/>
  <c r="AF141" i="2"/>
  <c r="AF149" i="2"/>
  <c r="AF157" i="2"/>
  <c r="AF165" i="2"/>
  <c r="AF173" i="2"/>
  <c r="AF181" i="2"/>
  <c r="AF189" i="2"/>
  <c r="AF197" i="2"/>
  <c r="AF205" i="2"/>
  <c r="AF213" i="2"/>
  <c r="AF221" i="2"/>
  <c r="AF229" i="2"/>
  <c r="AF237" i="2"/>
  <c r="AF245" i="2"/>
  <c r="AF253" i="2"/>
  <c r="AF261" i="2"/>
  <c r="AF269" i="2"/>
  <c r="AF277" i="2"/>
  <c r="AF285" i="2"/>
  <c r="AF293" i="2"/>
  <c r="AF301" i="2"/>
  <c r="AF309" i="2"/>
  <c r="AF317" i="2"/>
  <c r="AF325" i="2"/>
  <c r="AF333" i="2"/>
  <c r="AF341" i="2"/>
  <c r="AF349" i="2"/>
  <c r="AF357" i="2"/>
  <c r="AF365" i="2"/>
  <c r="AS68" i="6"/>
  <c r="AS84" i="6"/>
  <c r="AS92" i="6"/>
  <c r="AX70" i="6"/>
  <c r="AT87" i="6"/>
  <c r="AX91" i="6"/>
  <c r="AS12" i="6"/>
  <c r="AS20" i="6"/>
  <c r="AS28" i="6"/>
  <c r="AS36" i="6"/>
  <c r="AY39" i="6"/>
  <c r="AX41" i="6"/>
  <c r="AT43" i="6"/>
  <c r="AX46" i="6"/>
  <c r="AS52" i="6"/>
  <c r="AY55" i="6"/>
  <c r="V8" i="7"/>
  <c r="E5" i="4"/>
  <c r="H5" i="4" s="1"/>
  <c r="AF86" i="2"/>
  <c r="AF94" i="2"/>
  <c r="AF102" i="2"/>
  <c r="AF110" i="2"/>
  <c r="AF118" i="2"/>
  <c r="AF126" i="2"/>
  <c r="AF134" i="2"/>
  <c r="AF142" i="2"/>
  <c r="AF150" i="2"/>
  <c r="AF158" i="2"/>
  <c r="AF166" i="2"/>
  <c r="AF174" i="2"/>
  <c r="AF182" i="2"/>
  <c r="AF190" i="2"/>
  <c r="AF198" i="2"/>
  <c r="AF206" i="2"/>
  <c r="AF214" i="2"/>
  <c r="AF222" i="2"/>
  <c r="AF230" i="2"/>
  <c r="AF238" i="2"/>
  <c r="AF246" i="2"/>
  <c r="AF254" i="2"/>
  <c r="AF262" i="2"/>
  <c r="AF270" i="2"/>
  <c r="AF278" i="2"/>
  <c r="AF286" i="2"/>
  <c r="AF294" i="2"/>
  <c r="AF302" i="2"/>
  <c r="AF310" i="2"/>
  <c r="AF318" i="2"/>
  <c r="AF326" i="2"/>
  <c r="AF334" i="2"/>
  <c r="AF342" i="2"/>
  <c r="AF350" i="2"/>
  <c r="AF358" i="2"/>
  <c r="AF366" i="2"/>
  <c r="AS69" i="6"/>
  <c r="AX71" i="6"/>
  <c r="AY4" i="6"/>
  <c r="AW6" i="6"/>
  <c r="AW14" i="6"/>
  <c r="AW22" i="6"/>
  <c r="AX28" i="6"/>
  <c r="AW30" i="6"/>
  <c r="AX39" i="6"/>
  <c r="AS42" i="6"/>
  <c r="AY45" i="6"/>
  <c r="AT48" i="6"/>
  <c r="AX55" i="6"/>
  <c r="AS57" i="6"/>
  <c r="AF87" i="2"/>
  <c r="AF95" i="2"/>
  <c r="AF103" i="2"/>
  <c r="AF111" i="2"/>
  <c r="AF119" i="2"/>
  <c r="AF127" i="2"/>
  <c r="AF135" i="2"/>
  <c r="AF143" i="2"/>
  <c r="AF151" i="2"/>
  <c r="AF159" i="2"/>
  <c r="AF167" i="2"/>
  <c r="AF175" i="2"/>
  <c r="AF183" i="2"/>
  <c r="AF191" i="2"/>
  <c r="AF199" i="2"/>
  <c r="AF207" i="2"/>
  <c r="AF215" i="2"/>
  <c r="AF223" i="2"/>
  <c r="AF231" i="2"/>
  <c r="AF239" i="2"/>
  <c r="AF247" i="2"/>
  <c r="AF255" i="2"/>
  <c r="AF263" i="2"/>
  <c r="AF271" i="2"/>
  <c r="AF279" i="2"/>
  <c r="AF287" i="2"/>
  <c r="AF295" i="2"/>
  <c r="AF303" i="2"/>
  <c r="AF311" i="2"/>
  <c r="AF319" i="2"/>
  <c r="AF327" i="2"/>
  <c r="AF335" i="2"/>
  <c r="AF343" i="2"/>
  <c r="AF351" i="2"/>
  <c r="AF359" i="2"/>
  <c r="AF367" i="2"/>
  <c r="AS87" i="6"/>
  <c r="AX75" i="6"/>
  <c r="AX83" i="6"/>
  <c r="AX4" i="6"/>
  <c r="AY7" i="6"/>
  <c r="AW9" i="6"/>
  <c r="AW10" i="6"/>
  <c r="AT12" i="6"/>
  <c r="AY15" i="6"/>
  <c r="AW17" i="6"/>
  <c r="AW18" i="6"/>
  <c r="AT20" i="6"/>
  <c r="AY23" i="6"/>
  <c r="AW25" i="6"/>
  <c r="AW26" i="6"/>
  <c r="AT28" i="6"/>
  <c r="AY31" i="6"/>
  <c r="AW33" i="6"/>
  <c r="AW34" i="6"/>
  <c r="AT36" i="6"/>
  <c r="AX37" i="6"/>
  <c r="AY41" i="6"/>
  <c r="AX42" i="6"/>
  <c r="AX45" i="6"/>
  <c r="AW49" i="6"/>
  <c r="AW50" i="6"/>
  <c r="AT52" i="6"/>
  <c r="AS58" i="6"/>
  <c r="AT59" i="6"/>
  <c r="E7" i="4"/>
  <c r="H7" i="4" s="1"/>
  <c r="AT73" i="6"/>
  <c r="AY11" i="6"/>
  <c r="AY19" i="6"/>
  <c r="AY27" i="6"/>
  <c r="AY35" i="6"/>
  <c r="AY38" i="6"/>
  <c r="AY51" i="6"/>
  <c r="AY54" i="6"/>
  <c r="AY61" i="6"/>
  <c r="AT6" i="6"/>
  <c r="AS7" i="6"/>
  <c r="AW11" i="6"/>
  <c r="AT14" i="6"/>
  <c r="AS15" i="6"/>
  <c r="AW19" i="6"/>
  <c r="AT22" i="6"/>
  <c r="AS23" i="6"/>
  <c r="AW27" i="6"/>
  <c r="AT30" i="6"/>
  <c r="AS31" i="6"/>
  <c r="AW35" i="6"/>
  <c r="AT38" i="6"/>
  <c r="AS39" i="6"/>
  <c r="AW43" i="6"/>
  <c r="AT46" i="6"/>
  <c r="AS47" i="6"/>
  <c r="AY49" i="6"/>
  <c r="AW51" i="6"/>
  <c r="AT54" i="6"/>
  <c r="AS55" i="6"/>
  <c r="AY57" i="6"/>
  <c r="AW59" i="6"/>
  <c r="AT62" i="6"/>
  <c r="AS63" i="6"/>
  <c r="AT7" i="6"/>
  <c r="AS8" i="6"/>
  <c r="AX11" i="6"/>
  <c r="AW12" i="6"/>
  <c r="AT15" i="6"/>
  <c r="AS16" i="6"/>
  <c r="AX19" i="6"/>
  <c r="AW20" i="6"/>
  <c r="AT23" i="6"/>
  <c r="AS24" i="6"/>
  <c r="AX27" i="6"/>
  <c r="AW28" i="6"/>
  <c r="AT31" i="6"/>
  <c r="AS32" i="6"/>
  <c r="AX35" i="6"/>
  <c r="AW36" i="6"/>
  <c r="AT39" i="6"/>
  <c r="AS40" i="6"/>
  <c r="AY42" i="6"/>
  <c r="AX43" i="6"/>
  <c r="AW44" i="6"/>
  <c r="AT47" i="6"/>
  <c r="AS48" i="6"/>
  <c r="AX51" i="6"/>
  <c r="AW52" i="6"/>
  <c r="AT55" i="6"/>
  <c r="AS56" i="6"/>
  <c r="AW60" i="6"/>
  <c r="AT63" i="6"/>
  <c r="AW5" i="6"/>
  <c r="AW13" i="6"/>
  <c r="AW21" i="6"/>
  <c r="AW29" i="6"/>
  <c r="AW37" i="6"/>
  <c r="AW45" i="6"/>
  <c r="AW53" i="6"/>
  <c r="AW61" i="6"/>
  <c r="AY48" i="6"/>
  <c r="AY12" i="6"/>
  <c r="AY20" i="6"/>
  <c r="AY28" i="6"/>
  <c r="AY36" i="6"/>
  <c r="AY44" i="6"/>
  <c r="AW46" i="6"/>
  <c r="AY52" i="6"/>
  <c r="AW54" i="6"/>
  <c r="AW62" i="6"/>
  <c r="AY24" i="6"/>
  <c r="AY32" i="6"/>
  <c r="AY40" i="6"/>
  <c r="AW7" i="6"/>
  <c r="AW15" i="6"/>
  <c r="AW23" i="6"/>
  <c r="AW31" i="6"/>
  <c r="AW39" i="6"/>
  <c r="AW47" i="6"/>
  <c r="AW55" i="6"/>
  <c r="AW63" i="6"/>
  <c r="AY8" i="6"/>
  <c r="AY56" i="6"/>
  <c r="AW16" i="6"/>
  <c r="AT4" i="6"/>
  <c r="AS4" i="6"/>
  <c r="AW4" i="6"/>
  <c r="T6" i="7"/>
  <c r="AX65" i="6"/>
  <c r="AX82" i="6"/>
  <c r="AS93" i="6"/>
  <c r="AS66" i="6"/>
  <c r="AT85" i="6"/>
  <c r="AX77" i="6"/>
  <c r="AS72" i="6"/>
  <c r="AS86" i="6"/>
  <c r="AT71" i="6"/>
  <c r="AT79" i="6"/>
  <c r="AT88" i="6"/>
  <c r="AT69" i="6"/>
  <c r="AX79" i="6"/>
  <c r="AX78" i="6"/>
  <c r="AS78" i="6"/>
  <c r="AT64" i="6"/>
  <c r="AT72" i="6"/>
  <c r="AT80" i="6"/>
  <c r="AX89" i="6"/>
  <c r="AS88" i="6"/>
  <c r="AX73" i="6"/>
  <c r="AX90" i="6"/>
  <c r="AX93" i="6"/>
  <c r="D50" i="6"/>
  <c r="D50" i="2" s="1"/>
  <c r="D58" i="6"/>
  <c r="D58" i="2" s="1"/>
  <c r="AS80" i="6"/>
  <c r="AX66" i="6"/>
  <c r="AX74" i="6"/>
  <c r="AX87" i="6"/>
  <c r="AS85" i="6"/>
  <c r="AS64" i="6"/>
  <c r="AS82" i="6"/>
  <c r="AS90" i="6"/>
  <c r="AX84" i="6"/>
  <c r="AT92" i="6"/>
  <c r="AJ183" i="6"/>
  <c r="AJ166" i="6"/>
  <c r="AJ174" i="6"/>
  <c r="AL158" i="6"/>
  <c r="AJ182" i="6"/>
  <c r="AJ155" i="6"/>
  <c r="AR81" i="6"/>
  <c r="AJ156" i="6"/>
  <c r="AJ164" i="6"/>
  <c r="AJ172" i="6"/>
  <c r="AJ180" i="6"/>
  <c r="H1" i="6"/>
  <c r="AL171" i="6"/>
  <c r="AJ299" i="6"/>
  <c r="AL179" i="6"/>
  <c r="AQ65" i="6"/>
  <c r="AQ73" i="6"/>
  <c r="AQ81" i="6"/>
  <c r="AT68" i="6"/>
  <c r="AT76" i="6"/>
  <c r="AT84" i="6"/>
  <c r="AX64" i="6"/>
  <c r="AX72" i="6"/>
  <c r="AX80" i="6"/>
  <c r="AX88" i="6"/>
  <c r="AL165" i="6"/>
  <c r="AJ175" i="6"/>
  <c r="AQ67" i="6"/>
  <c r="AT70" i="6"/>
  <c r="AT78" i="6"/>
  <c r="AT86" i="6"/>
  <c r="AQ76" i="6"/>
  <c r="AX92" i="6"/>
  <c r="AQ77" i="6"/>
  <c r="AT66" i="6"/>
  <c r="AT74" i="6"/>
  <c r="AT82" i="6"/>
  <c r="AT90" i="6"/>
  <c r="AJ303" i="6"/>
  <c r="AL163" i="6"/>
  <c r="AJ159" i="6"/>
  <c r="AJ167" i="6"/>
  <c r="J9" i="7"/>
  <c r="X9" i="7" s="1"/>
  <c r="C368" i="2"/>
  <c r="D56" i="6"/>
  <c r="D315" i="6"/>
  <c r="D315" i="2" s="1"/>
  <c r="D347" i="6"/>
  <c r="AG347" i="6" s="1"/>
  <c r="D42" i="6"/>
  <c r="D42" i="2" s="1"/>
  <c r="AJ181" i="6"/>
  <c r="AJ157" i="6"/>
  <c r="AJ173" i="6"/>
  <c r="AL123" i="6"/>
  <c r="D56" i="2"/>
  <c r="AH56" i="6"/>
  <c r="AG58" i="6"/>
  <c r="D41" i="6"/>
  <c r="D49" i="6"/>
  <c r="D57" i="6"/>
  <c r="D36" i="6"/>
  <c r="D44" i="6"/>
  <c r="D52" i="6"/>
  <c r="D60" i="6"/>
  <c r="D51" i="6"/>
  <c r="AJ337" i="6"/>
  <c r="D37" i="6"/>
  <c r="D45" i="6"/>
  <c r="D53" i="6"/>
  <c r="D61" i="6"/>
  <c r="D35" i="6"/>
  <c r="D38" i="6"/>
  <c r="D46" i="6"/>
  <c r="D54" i="6"/>
  <c r="D62" i="6"/>
  <c r="D59" i="6"/>
  <c r="AH50" i="6"/>
  <c r="D39" i="6"/>
  <c r="D47" i="6"/>
  <c r="D55" i="6"/>
  <c r="D43" i="6"/>
  <c r="AH42" i="6"/>
  <c r="D40" i="6"/>
  <c r="D48" i="6"/>
  <c r="AJ353" i="6"/>
  <c r="AJ160" i="6"/>
  <c r="AJ168" i="6"/>
  <c r="AJ176" i="6"/>
  <c r="AJ321" i="6"/>
  <c r="AJ338" i="6"/>
  <c r="AJ169" i="6"/>
  <c r="AJ177" i="6"/>
  <c r="AJ161" i="6"/>
  <c r="AJ162" i="6"/>
  <c r="AJ170" i="6"/>
  <c r="AJ178" i="6"/>
  <c r="AJ306" i="6"/>
  <c r="AJ312" i="6"/>
  <c r="AJ322" i="6"/>
  <c r="AJ362" i="6"/>
  <c r="AJ320" i="6"/>
  <c r="AJ328" i="6"/>
  <c r="AJ336" i="6"/>
  <c r="AJ344" i="6"/>
  <c r="AJ360" i="6"/>
  <c r="AJ346" i="6"/>
  <c r="AJ313" i="6"/>
  <c r="AJ329" i="6"/>
  <c r="AJ345" i="6"/>
  <c r="AJ361" i="6"/>
  <c r="AJ340" i="6"/>
  <c r="AJ308" i="6"/>
  <c r="D312" i="6"/>
  <c r="D344" i="6"/>
  <c r="D314" i="6"/>
  <c r="D330" i="6"/>
  <c r="D346" i="6"/>
  <c r="D362" i="6"/>
  <c r="AJ28" i="6"/>
  <c r="D29" i="6"/>
  <c r="AJ68" i="6"/>
  <c r="D69" i="6"/>
  <c r="AJ80" i="6"/>
  <c r="D81" i="6"/>
  <c r="AJ120" i="6"/>
  <c r="D121" i="6"/>
  <c r="AJ198" i="6"/>
  <c r="D199" i="6"/>
  <c r="AJ14" i="6"/>
  <c r="D15" i="6"/>
  <c r="AJ21" i="6"/>
  <c r="D22" i="6"/>
  <c r="AJ63" i="6"/>
  <c r="D64" i="6"/>
  <c r="D4" i="6"/>
  <c r="AJ10" i="6"/>
  <c r="D11" i="6"/>
  <c r="AJ17" i="6"/>
  <c r="D18" i="6"/>
  <c r="AJ24" i="6"/>
  <c r="D25" i="6"/>
  <c r="AJ31" i="6"/>
  <c r="D32" i="6"/>
  <c r="AJ36" i="6"/>
  <c r="AJ43" i="6"/>
  <c r="AJ50" i="6"/>
  <c r="AJ57" i="6"/>
  <c r="AJ59" i="6"/>
  <c r="AJ69" i="6"/>
  <c r="D70" i="6"/>
  <c r="AJ71" i="6"/>
  <c r="D72" i="6"/>
  <c r="AJ83" i="6"/>
  <c r="D84" i="6"/>
  <c r="AJ91" i="6"/>
  <c r="D92" i="6"/>
  <c r="AJ99" i="6"/>
  <c r="D100" i="6"/>
  <c r="AJ107" i="6"/>
  <c r="D108" i="6"/>
  <c r="AJ115" i="6"/>
  <c r="D116" i="6"/>
  <c r="AJ131" i="6"/>
  <c r="D132" i="6"/>
  <c r="AJ139" i="6"/>
  <c r="D140" i="6"/>
  <c r="AJ147" i="6"/>
  <c r="D148" i="6"/>
  <c r="AJ185" i="6"/>
  <c r="D186" i="6"/>
  <c r="AJ199" i="6"/>
  <c r="D200" i="6"/>
  <c r="AJ205" i="6"/>
  <c r="D206" i="6"/>
  <c r="AJ213" i="6"/>
  <c r="D214" i="6"/>
  <c r="AJ221" i="6"/>
  <c r="D222" i="6"/>
  <c r="AJ227" i="6"/>
  <c r="D228" i="6"/>
  <c r="AJ233" i="6"/>
  <c r="D234" i="6"/>
  <c r="AJ238" i="6"/>
  <c r="D239" i="6"/>
  <c r="AJ241" i="6"/>
  <c r="D242" i="6"/>
  <c r="AJ249" i="6"/>
  <c r="D250" i="6"/>
  <c r="AJ260" i="6"/>
  <c r="D261" i="6"/>
  <c r="AJ266" i="6"/>
  <c r="D267" i="6"/>
  <c r="AJ272" i="6"/>
  <c r="D273" i="6"/>
  <c r="AJ280" i="6"/>
  <c r="D281" i="6"/>
  <c r="AJ283" i="6"/>
  <c r="D284" i="6"/>
  <c r="AJ287" i="6"/>
  <c r="D288" i="6"/>
  <c r="AJ294" i="6"/>
  <c r="D295" i="6"/>
  <c r="AJ88" i="6"/>
  <c r="D89" i="6"/>
  <c r="AJ226" i="6"/>
  <c r="D227" i="6"/>
  <c r="AJ22" i="6"/>
  <c r="D23" i="6"/>
  <c r="AJ41" i="6"/>
  <c r="AJ48" i="6"/>
  <c r="AJ92" i="6"/>
  <c r="D93" i="6"/>
  <c r="AJ108" i="6"/>
  <c r="D109" i="6"/>
  <c r="AJ124" i="6"/>
  <c r="D125" i="6"/>
  <c r="AJ140" i="6"/>
  <c r="D141" i="6"/>
  <c r="AJ194" i="6"/>
  <c r="D195" i="6"/>
  <c r="AJ200" i="6"/>
  <c r="D201" i="6"/>
  <c r="AJ216" i="6"/>
  <c r="D217" i="6"/>
  <c r="AJ244" i="6"/>
  <c r="D245" i="6"/>
  <c r="AJ252" i="6"/>
  <c r="D253" i="6"/>
  <c r="AJ269" i="6"/>
  <c r="D270" i="6"/>
  <c r="AJ275" i="6"/>
  <c r="D276" i="6"/>
  <c r="AJ298" i="6"/>
  <c r="D299" i="6"/>
  <c r="AJ37" i="6"/>
  <c r="AJ103" i="6"/>
  <c r="D104" i="6"/>
  <c r="AJ16" i="6"/>
  <c r="D17" i="6"/>
  <c r="AJ35" i="6"/>
  <c r="AJ112" i="6"/>
  <c r="D113" i="6"/>
  <c r="AJ152" i="6"/>
  <c r="D153" i="6"/>
  <c r="AJ204" i="6"/>
  <c r="D205" i="6"/>
  <c r="AJ29" i="6"/>
  <c r="D30" i="6"/>
  <c r="AJ64" i="6"/>
  <c r="D65" i="6"/>
  <c r="AJ76" i="6"/>
  <c r="D77" i="6"/>
  <c r="AJ84" i="6"/>
  <c r="D85" i="6"/>
  <c r="AJ100" i="6"/>
  <c r="D101" i="6"/>
  <c r="AJ116" i="6"/>
  <c r="D117" i="6"/>
  <c r="AJ132" i="6"/>
  <c r="D133" i="6"/>
  <c r="AJ148" i="6"/>
  <c r="D149" i="6"/>
  <c r="AJ188" i="6"/>
  <c r="D189" i="6"/>
  <c r="AJ208" i="6"/>
  <c r="D209" i="6"/>
  <c r="AJ230" i="6"/>
  <c r="D231" i="6"/>
  <c r="AJ236" i="6"/>
  <c r="D237" i="6"/>
  <c r="AJ255" i="6"/>
  <c r="D256" i="6"/>
  <c r="AJ284" i="6"/>
  <c r="D285" i="6"/>
  <c r="AJ302" i="6"/>
  <c r="D303" i="6"/>
  <c r="AJ8" i="6"/>
  <c r="D9" i="6"/>
  <c r="AJ15" i="6"/>
  <c r="D16" i="6"/>
  <c r="AJ20" i="6"/>
  <c r="D21" i="6"/>
  <c r="AJ27" i="6"/>
  <c r="D28" i="6"/>
  <c r="AJ46" i="6"/>
  <c r="AJ53" i="6"/>
  <c r="AJ55" i="6"/>
  <c r="AJ62" i="6"/>
  <c r="D63" i="6"/>
  <c r="AJ67" i="6"/>
  <c r="D68" i="6"/>
  <c r="AJ74" i="6"/>
  <c r="D75" i="6"/>
  <c r="AJ79" i="6"/>
  <c r="D80" i="6"/>
  <c r="AJ85" i="6"/>
  <c r="D86" i="6"/>
  <c r="AJ93" i="6"/>
  <c r="D94" i="6"/>
  <c r="AJ101" i="6"/>
  <c r="D102" i="6"/>
  <c r="AJ109" i="6"/>
  <c r="D110" i="6"/>
  <c r="AJ117" i="6"/>
  <c r="D118" i="6"/>
  <c r="AJ125" i="6"/>
  <c r="D126" i="6"/>
  <c r="AJ133" i="6"/>
  <c r="D134" i="6"/>
  <c r="AJ141" i="6"/>
  <c r="D142" i="6"/>
  <c r="AJ149" i="6"/>
  <c r="D150" i="6"/>
  <c r="AJ191" i="6"/>
  <c r="D192" i="6"/>
  <c r="AJ197" i="6"/>
  <c r="D198" i="6"/>
  <c r="AJ203" i="6"/>
  <c r="D204" i="6"/>
  <c r="AJ211" i="6"/>
  <c r="D212" i="6"/>
  <c r="AJ219" i="6"/>
  <c r="D220" i="6"/>
  <c r="AJ225" i="6"/>
  <c r="D226" i="6"/>
  <c r="AJ247" i="6"/>
  <c r="D248" i="6"/>
  <c r="AJ258" i="6"/>
  <c r="D259" i="6"/>
  <c r="AJ264" i="6"/>
  <c r="D265" i="6"/>
  <c r="AJ270" i="6"/>
  <c r="D271" i="6"/>
  <c r="AJ278" i="6"/>
  <c r="D279" i="6"/>
  <c r="AJ281" i="6"/>
  <c r="D282" i="6"/>
  <c r="AJ285" i="6"/>
  <c r="D286" i="6"/>
  <c r="AJ291" i="6"/>
  <c r="D292" i="6"/>
  <c r="AJ11" i="6"/>
  <c r="D12" i="6"/>
  <c r="AJ30" i="6"/>
  <c r="D31" i="6"/>
  <c r="AJ49" i="6"/>
  <c r="AJ70" i="6"/>
  <c r="D71" i="6"/>
  <c r="AJ95" i="6"/>
  <c r="D96" i="6"/>
  <c r="AJ23" i="6"/>
  <c r="D24" i="6"/>
  <c r="AJ96" i="6"/>
  <c r="D97" i="6"/>
  <c r="AJ136" i="6"/>
  <c r="D137" i="6"/>
  <c r="AJ184" i="6"/>
  <c r="D185" i="6"/>
  <c r="AJ259" i="6"/>
  <c r="D260" i="6"/>
  <c r="AJ34" i="6"/>
  <c r="AJ4" i="6"/>
  <c r="D5" i="6"/>
  <c r="AJ6" i="6"/>
  <c r="D7" i="6"/>
  <c r="AJ13" i="6"/>
  <c r="D14" i="6"/>
  <c r="AJ18" i="6"/>
  <c r="D19" i="6"/>
  <c r="AJ25" i="6"/>
  <c r="D26" i="6"/>
  <c r="AJ32" i="6"/>
  <c r="D33" i="6"/>
  <c r="AJ39" i="6"/>
  <c r="AJ44" i="6"/>
  <c r="AJ51" i="6"/>
  <c r="AJ60" i="6"/>
  <c r="AJ72" i="6"/>
  <c r="D73" i="6"/>
  <c r="AJ86" i="6"/>
  <c r="D87" i="6"/>
  <c r="AJ94" i="6"/>
  <c r="D95" i="6"/>
  <c r="AJ102" i="6"/>
  <c r="D103" i="6"/>
  <c r="AJ110" i="6"/>
  <c r="D111" i="6"/>
  <c r="AJ118" i="6"/>
  <c r="D119" i="6"/>
  <c r="AJ126" i="6"/>
  <c r="D127" i="6"/>
  <c r="AJ134" i="6"/>
  <c r="D135" i="6"/>
  <c r="AJ142" i="6"/>
  <c r="D143" i="6"/>
  <c r="AJ150" i="6"/>
  <c r="D151" i="6"/>
  <c r="AJ186" i="6"/>
  <c r="D187" i="6"/>
  <c r="AJ192" i="6"/>
  <c r="D193" i="6"/>
  <c r="AJ214" i="6"/>
  <c r="D215" i="6"/>
  <c r="AJ222" i="6"/>
  <c r="D223" i="6"/>
  <c r="AJ228" i="6"/>
  <c r="D229" i="6"/>
  <c r="AJ234" i="6"/>
  <c r="D235" i="6"/>
  <c r="AJ239" i="6"/>
  <c r="D240" i="6"/>
  <c r="AJ242" i="6"/>
  <c r="D243" i="6"/>
  <c r="AJ250" i="6"/>
  <c r="D251" i="6"/>
  <c r="AJ261" i="6"/>
  <c r="D262" i="6"/>
  <c r="AJ267" i="6"/>
  <c r="D268" i="6"/>
  <c r="AJ273" i="6"/>
  <c r="D274" i="6"/>
  <c r="AJ288" i="6"/>
  <c r="D289" i="6"/>
  <c r="AJ295" i="6"/>
  <c r="D296" i="6"/>
  <c r="AJ111" i="6"/>
  <c r="D112" i="6"/>
  <c r="AJ127" i="6"/>
  <c r="D128" i="6"/>
  <c r="AJ135" i="6"/>
  <c r="D136" i="6"/>
  <c r="AJ143" i="6"/>
  <c r="D144" i="6"/>
  <c r="AJ189" i="6"/>
  <c r="D190" i="6"/>
  <c r="AJ195" i="6"/>
  <c r="D196" i="6"/>
  <c r="AJ201" i="6"/>
  <c r="D202" i="6"/>
  <c r="AJ206" i="6"/>
  <c r="D207" i="6"/>
  <c r="AJ209" i="6"/>
  <c r="D210" i="6"/>
  <c r="AJ217" i="6"/>
  <c r="D218" i="6"/>
  <c r="AJ231" i="6"/>
  <c r="D232" i="6"/>
  <c r="AJ237" i="6"/>
  <c r="D238" i="6"/>
  <c r="AJ245" i="6"/>
  <c r="D246" i="6"/>
  <c r="AJ253" i="6"/>
  <c r="D254" i="6"/>
  <c r="AJ256" i="6"/>
  <c r="D257" i="6"/>
  <c r="AJ262" i="6"/>
  <c r="D263" i="6"/>
  <c r="AJ276" i="6"/>
  <c r="D277" i="6"/>
  <c r="AJ289" i="6"/>
  <c r="D290" i="6"/>
  <c r="AJ292" i="6"/>
  <c r="D293" i="6"/>
  <c r="D124" i="6"/>
  <c r="AJ87" i="6"/>
  <c r="D88" i="6"/>
  <c r="AJ144" i="6"/>
  <c r="D145" i="6"/>
  <c r="AJ212" i="6"/>
  <c r="D213" i="6"/>
  <c r="AJ220" i="6"/>
  <c r="D221" i="6"/>
  <c r="AJ240" i="6"/>
  <c r="D241" i="6"/>
  <c r="AJ248" i="6"/>
  <c r="D249" i="6"/>
  <c r="AJ265" i="6"/>
  <c r="D266" i="6"/>
  <c r="AJ271" i="6"/>
  <c r="D272" i="6"/>
  <c r="AJ279" i="6"/>
  <c r="D280" i="6"/>
  <c r="AJ282" i="6"/>
  <c r="D283" i="6"/>
  <c r="AJ286" i="6"/>
  <c r="D287" i="6"/>
  <c r="AJ296" i="6"/>
  <c r="D297" i="6"/>
  <c r="AJ300" i="6"/>
  <c r="D301" i="6"/>
  <c r="AJ42" i="6"/>
  <c r="AJ65" i="6"/>
  <c r="D66" i="6"/>
  <c r="AJ9" i="6"/>
  <c r="D10" i="6"/>
  <c r="AJ104" i="6"/>
  <c r="D105" i="6"/>
  <c r="AJ26" i="6"/>
  <c r="D27" i="6"/>
  <c r="AJ33" i="6"/>
  <c r="D34" i="6"/>
  <c r="AJ40" i="6"/>
  <c r="AJ47" i="6"/>
  <c r="AJ54" i="6"/>
  <c r="AJ73" i="6"/>
  <c r="D74" i="6"/>
  <c r="AJ89" i="6"/>
  <c r="D90" i="6"/>
  <c r="AJ113" i="6"/>
  <c r="D114" i="6"/>
  <c r="AJ129" i="6"/>
  <c r="D130" i="6"/>
  <c r="AJ153" i="6"/>
  <c r="D154" i="6"/>
  <c r="AJ251" i="6"/>
  <c r="D252" i="6"/>
  <c r="AJ274" i="6"/>
  <c r="D275" i="6"/>
  <c r="AJ301" i="6"/>
  <c r="D302" i="6"/>
  <c r="AJ58" i="6"/>
  <c r="AJ77" i="6"/>
  <c r="D78" i="6"/>
  <c r="AJ119" i="6"/>
  <c r="D120" i="6"/>
  <c r="AJ151" i="6"/>
  <c r="D152" i="6"/>
  <c r="AJ56" i="6"/>
  <c r="AJ128" i="6"/>
  <c r="D129" i="6"/>
  <c r="AJ232" i="6"/>
  <c r="D233" i="6"/>
  <c r="AJ52" i="6"/>
  <c r="AJ75" i="6"/>
  <c r="D76" i="6"/>
  <c r="AJ81" i="6"/>
  <c r="D82" i="6"/>
  <c r="AJ97" i="6"/>
  <c r="D98" i="6"/>
  <c r="AJ105" i="6"/>
  <c r="D106" i="6"/>
  <c r="AJ121" i="6"/>
  <c r="D122" i="6"/>
  <c r="AJ137" i="6"/>
  <c r="D138" i="6"/>
  <c r="AJ145" i="6"/>
  <c r="D146" i="6"/>
  <c r="AJ187" i="6"/>
  <c r="D188" i="6"/>
  <c r="AJ193" i="6"/>
  <c r="D194" i="6"/>
  <c r="AJ215" i="6"/>
  <c r="D216" i="6"/>
  <c r="AJ223" i="6"/>
  <c r="D224" i="6"/>
  <c r="AJ229" i="6"/>
  <c r="D230" i="6"/>
  <c r="AJ235" i="6"/>
  <c r="D236" i="6"/>
  <c r="AJ243" i="6"/>
  <c r="D244" i="6"/>
  <c r="AJ254" i="6"/>
  <c r="D255" i="6"/>
  <c r="AJ268" i="6"/>
  <c r="D269" i="6"/>
  <c r="AJ297" i="6"/>
  <c r="D298" i="6"/>
  <c r="AJ5" i="6"/>
  <c r="D6" i="6"/>
  <c r="AJ7" i="6"/>
  <c r="D8" i="6"/>
  <c r="AJ12" i="6"/>
  <c r="D13" i="6"/>
  <c r="AJ19" i="6"/>
  <c r="D20" i="6"/>
  <c r="AJ38" i="6"/>
  <c r="AJ45" i="6"/>
  <c r="AJ61" i="6"/>
  <c r="AJ66" i="6"/>
  <c r="D67" i="6"/>
  <c r="AJ78" i="6"/>
  <c r="D79" i="6"/>
  <c r="D83" i="6"/>
  <c r="AJ90" i="6"/>
  <c r="D91" i="6"/>
  <c r="AJ98" i="6"/>
  <c r="D99" i="6"/>
  <c r="AJ106" i="6"/>
  <c r="D107" i="6"/>
  <c r="AJ114" i="6"/>
  <c r="D115" i="6"/>
  <c r="AJ122" i="6"/>
  <c r="D123" i="6"/>
  <c r="AJ130" i="6"/>
  <c r="D131" i="6"/>
  <c r="AJ138" i="6"/>
  <c r="D139" i="6"/>
  <c r="AJ146" i="6"/>
  <c r="D147" i="6"/>
  <c r="AJ154" i="6"/>
  <c r="D155" i="6"/>
  <c r="AJ190" i="6"/>
  <c r="D191" i="6"/>
  <c r="AJ196" i="6"/>
  <c r="D197" i="6"/>
  <c r="AJ202" i="6"/>
  <c r="D203" i="6"/>
  <c r="AJ207" i="6"/>
  <c r="D208" i="6"/>
  <c r="AJ210" i="6"/>
  <c r="D211" i="6"/>
  <c r="AJ218" i="6"/>
  <c r="D219" i="6"/>
  <c r="AJ224" i="6"/>
  <c r="D225" i="6"/>
  <c r="AJ246" i="6"/>
  <c r="D247" i="6"/>
  <c r="AJ257" i="6"/>
  <c r="D258" i="6"/>
  <c r="AJ263" i="6"/>
  <c r="D264" i="6"/>
  <c r="AJ277" i="6"/>
  <c r="D278" i="6"/>
  <c r="AJ290" i="6"/>
  <c r="D291" i="6"/>
  <c r="AJ304" i="6"/>
  <c r="D305" i="6"/>
  <c r="AJ305" i="6"/>
  <c r="D306" i="6"/>
  <c r="D322" i="6"/>
  <c r="D354" i="6"/>
  <c r="AJ311" i="6"/>
  <c r="D309" i="6"/>
  <c r="D332" i="6"/>
  <c r="D324" i="6"/>
  <c r="D316" i="6"/>
  <c r="D308" i="6"/>
  <c r="D335" i="6"/>
  <c r="D327" i="6"/>
  <c r="D319" i="6"/>
  <c r="D311" i="6"/>
  <c r="D317" i="6"/>
  <c r="D325" i="6"/>
  <c r="D333" i="6"/>
  <c r="D341" i="6"/>
  <c r="D349" i="6"/>
  <c r="D357" i="6"/>
  <c r="D365" i="6"/>
  <c r="D323" i="6"/>
  <c r="D355" i="6"/>
  <c r="AJ293" i="6"/>
  <c r="D294" i="6"/>
  <c r="D310" i="6"/>
  <c r="D318" i="6"/>
  <c r="D326" i="6"/>
  <c r="D334" i="6"/>
  <c r="D342" i="6"/>
  <c r="D350" i="6"/>
  <c r="D358" i="6"/>
  <c r="D366" i="6"/>
  <c r="D331" i="6"/>
  <c r="D363" i="6"/>
  <c r="D300" i="6"/>
  <c r="D320" i="6"/>
  <c r="D328" i="6"/>
  <c r="D336" i="6"/>
  <c r="D352" i="6"/>
  <c r="D360" i="6"/>
  <c r="D368" i="6"/>
  <c r="D338" i="6"/>
  <c r="D313" i="6"/>
  <c r="D321" i="6"/>
  <c r="D329" i="6"/>
  <c r="D337" i="6"/>
  <c r="D345" i="6"/>
  <c r="D353" i="6"/>
  <c r="D361" i="6"/>
  <c r="D307" i="6"/>
  <c r="D339" i="6"/>
  <c r="AJ335" i="6"/>
  <c r="AJ352" i="6"/>
  <c r="D304" i="6"/>
  <c r="D364" i="6"/>
  <c r="D356" i="6"/>
  <c r="D348" i="6"/>
  <c r="D340" i="6"/>
  <c r="D367" i="6"/>
  <c r="D359" i="6"/>
  <c r="D351" i="6"/>
  <c r="D343" i="6"/>
  <c r="D183" i="6"/>
  <c r="D160" i="6"/>
  <c r="D161" i="6"/>
  <c r="D169" i="6"/>
  <c r="D177" i="6"/>
  <c r="D175" i="6"/>
  <c r="D162" i="6"/>
  <c r="D170" i="6"/>
  <c r="D178" i="6"/>
  <c r="D167" i="6"/>
  <c r="D184" i="6"/>
  <c r="D163" i="6"/>
  <c r="D171" i="6"/>
  <c r="D179" i="6"/>
  <c r="D156" i="6"/>
  <c r="D164" i="6"/>
  <c r="D172" i="6"/>
  <c r="D180" i="6"/>
  <c r="D159" i="6"/>
  <c r="D168" i="6"/>
  <c r="D157" i="6"/>
  <c r="D165" i="6"/>
  <c r="D173" i="6"/>
  <c r="D181" i="6"/>
  <c r="D176" i="6"/>
  <c r="D158" i="6"/>
  <c r="D166" i="6"/>
  <c r="D174" i="6"/>
  <c r="D182" i="6"/>
  <c r="AI59" i="6"/>
  <c r="AI71" i="6"/>
  <c r="AI35" i="6"/>
  <c r="AI274" i="6"/>
  <c r="AI359" i="6"/>
  <c r="AK11" i="6"/>
  <c r="AI319" i="6"/>
  <c r="AI82" i="6"/>
  <c r="AI79" i="6"/>
  <c r="AI226" i="6"/>
  <c r="AI306" i="6"/>
  <c r="AK120" i="6"/>
  <c r="AI139" i="6"/>
  <c r="AI44" i="6"/>
  <c r="AI80" i="6"/>
  <c r="AI115" i="6"/>
  <c r="AK128" i="6"/>
  <c r="AI203" i="6"/>
  <c r="AI286" i="6"/>
  <c r="AK44" i="6"/>
  <c r="AI58" i="6"/>
  <c r="AI78" i="6"/>
  <c r="AK96" i="6"/>
  <c r="AI53" i="6"/>
  <c r="AK58" i="6"/>
  <c r="AI72" i="6"/>
  <c r="AI86" i="6"/>
  <c r="AI91" i="6"/>
  <c r="AK136" i="6"/>
  <c r="AI131" i="6"/>
  <c r="AI255" i="6"/>
  <c r="AI270" i="6"/>
  <c r="AI290" i="6"/>
  <c r="AI19" i="6"/>
  <c r="AI29" i="6"/>
  <c r="AK35" i="6"/>
  <c r="AI47" i="6"/>
  <c r="AI97" i="6"/>
  <c r="AI105" i="6"/>
  <c r="AI113" i="6"/>
  <c r="AI121" i="6"/>
  <c r="AI129" i="6"/>
  <c r="AI137" i="6"/>
  <c r="AI145" i="6"/>
  <c r="AI153" i="6"/>
  <c r="AI225" i="6"/>
  <c r="AI241" i="6"/>
  <c r="AI257" i="6"/>
  <c r="AI92" i="6"/>
  <c r="AI100" i="6"/>
  <c r="AI108" i="6"/>
  <c r="AI116" i="6"/>
  <c r="AI124" i="6"/>
  <c r="AI132" i="6"/>
  <c r="AI140" i="6"/>
  <c r="AI148" i="6"/>
  <c r="AI156" i="6"/>
  <c r="AI164" i="6"/>
  <c r="AI172" i="6"/>
  <c r="AI180" i="6"/>
  <c r="AI188" i="6"/>
  <c r="AK196" i="6"/>
  <c r="AI196" i="6"/>
  <c r="AK204" i="6"/>
  <c r="AI204" i="6"/>
  <c r="AK212" i="6"/>
  <c r="AK220" i="6"/>
  <c r="AI220" i="6"/>
  <c r="AK228" i="6"/>
  <c r="AK236" i="6"/>
  <c r="AI236" i="6"/>
  <c r="AK244" i="6"/>
  <c r="AK252" i="6"/>
  <c r="AI252" i="6"/>
  <c r="AK260" i="6"/>
  <c r="AK268" i="6"/>
  <c r="AI268" i="6"/>
  <c r="AK276" i="6"/>
  <c r="AK284" i="6"/>
  <c r="AI284" i="6"/>
  <c r="AK292" i="6"/>
  <c r="AK300" i="6"/>
  <c r="AI300" i="6"/>
  <c r="AK308" i="6"/>
  <c r="AK316" i="6"/>
  <c r="AK324" i="6"/>
  <c r="AK332" i="6"/>
  <c r="AK340" i="6"/>
  <c r="AK348" i="6"/>
  <c r="AK356" i="6"/>
  <c r="AK364" i="6"/>
  <c r="AJ82" i="6"/>
  <c r="AI99" i="6"/>
  <c r="AI107" i="6"/>
  <c r="AI123" i="6"/>
  <c r="AI147" i="6"/>
  <c r="AI155" i="6"/>
  <c r="AI228" i="6"/>
  <c r="AI239" i="6"/>
  <c r="AI349" i="6"/>
  <c r="AI356" i="6"/>
  <c r="AK165" i="6"/>
  <c r="AI165" i="6"/>
  <c r="AK173" i="6"/>
  <c r="AI173" i="6"/>
  <c r="AK181" i="6"/>
  <c r="AI181" i="6"/>
  <c r="AK189" i="6"/>
  <c r="AI189" i="6"/>
  <c r="AK205" i="6"/>
  <c r="AI205" i="6"/>
  <c r="AK213" i="6"/>
  <c r="AI213" i="6"/>
  <c r="AK221" i="6"/>
  <c r="AI221" i="6"/>
  <c r="AK229" i="6"/>
  <c r="AI229" i="6"/>
  <c r="AK237" i="6"/>
  <c r="AI237" i="6"/>
  <c r="AK245" i="6"/>
  <c r="AI245" i="6"/>
  <c r="AK253" i="6"/>
  <c r="AI253" i="6"/>
  <c r="AK261" i="6"/>
  <c r="AI261" i="6"/>
  <c r="AK269" i="6"/>
  <c r="AI269" i="6"/>
  <c r="AK277" i="6"/>
  <c r="AI277" i="6"/>
  <c r="AK285" i="6"/>
  <c r="AI285" i="6"/>
  <c r="AK293" i="6"/>
  <c r="AI293" i="6"/>
  <c r="AK301" i="6"/>
  <c r="AI301" i="6"/>
  <c r="AK84" i="6"/>
  <c r="AI89" i="6"/>
  <c r="AI209" i="6"/>
  <c r="AI219" i="6"/>
  <c r="AI244" i="6"/>
  <c r="AI309" i="6"/>
  <c r="AI316" i="6"/>
  <c r="AK78" i="6"/>
  <c r="AK80" i="6"/>
  <c r="AI13" i="6"/>
  <c r="AI43" i="6"/>
  <c r="AI94" i="6"/>
  <c r="AI102" i="6"/>
  <c r="AI110" i="6"/>
  <c r="AI118" i="6"/>
  <c r="AI126" i="6"/>
  <c r="AI134" i="6"/>
  <c r="AI142" i="6"/>
  <c r="AI150" i="6"/>
  <c r="AI158" i="6"/>
  <c r="AI166" i="6"/>
  <c r="AI174" i="6"/>
  <c r="AI182" i="6"/>
  <c r="AI190" i="6"/>
  <c r="AK198" i="6"/>
  <c r="AI198" i="6"/>
  <c r="AK214" i="6"/>
  <c r="AI214" i="6"/>
  <c r="AK230" i="6"/>
  <c r="AI230" i="6"/>
  <c r="AK246" i="6"/>
  <c r="AI246" i="6"/>
  <c r="AK262" i="6"/>
  <c r="AI262" i="6"/>
  <c r="AK278" i="6"/>
  <c r="AI278" i="6"/>
  <c r="AK294" i="6"/>
  <c r="AI294" i="6"/>
  <c r="AK310" i="6"/>
  <c r="AI310" i="6"/>
  <c r="AK318" i="6"/>
  <c r="AI318" i="6"/>
  <c r="AK326" i="6"/>
  <c r="AI326" i="6"/>
  <c r="AK334" i="6"/>
  <c r="AI334" i="6"/>
  <c r="AK342" i="6"/>
  <c r="AI342" i="6"/>
  <c r="AK350" i="6"/>
  <c r="AI350" i="6"/>
  <c r="AK358" i="6"/>
  <c r="AI358" i="6"/>
  <c r="AK366" i="6"/>
  <c r="AI366" i="6"/>
  <c r="AI87" i="6"/>
  <c r="AK94" i="6"/>
  <c r="AK102" i="6"/>
  <c r="AK110" i="6"/>
  <c r="AK118" i="6"/>
  <c r="AK126" i="6"/>
  <c r="AK134" i="6"/>
  <c r="AK142" i="6"/>
  <c r="AK150" i="6"/>
  <c r="AK158" i="6"/>
  <c r="AK166" i="6"/>
  <c r="AK174" i="6"/>
  <c r="AK182" i="6"/>
  <c r="AK190" i="6"/>
  <c r="AI235" i="6"/>
  <c r="AI260" i="6"/>
  <c r="AI271" i="6"/>
  <c r="AI302" i="6"/>
  <c r="AI333" i="6"/>
  <c r="AI340" i="6"/>
  <c r="AI343" i="6"/>
  <c r="AI4" i="6"/>
  <c r="AK19" i="6"/>
  <c r="AI27" i="6"/>
  <c r="AI37" i="6"/>
  <c r="AK43" i="6"/>
  <c r="AI69" i="6"/>
  <c r="AK159" i="6"/>
  <c r="AI159" i="6"/>
  <c r="AK167" i="6"/>
  <c r="AI167" i="6"/>
  <c r="AK175" i="6"/>
  <c r="AI175" i="6"/>
  <c r="AK183" i="6"/>
  <c r="AI183" i="6"/>
  <c r="AK191" i="6"/>
  <c r="AI191" i="6"/>
  <c r="AK199" i="6"/>
  <c r="AI199" i="6"/>
  <c r="AK215" i="6"/>
  <c r="AI215" i="6"/>
  <c r="AK231" i="6"/>
  <c r="AI231" i="6"/>
  <c r="AK247" i="6"/>
  <c r="AI247" i="6"/>
  <c r="AK263" i="6"/>
  <c r="AI263" i="6"/>
  <c r="AK279" i="6"/>
  <c r="AI279" i="6"/>
  <c r="AK295" i="6"/>
  <c r="AI295" i="6"/>
  <c r="AI83" i="6"/>
  <c r="AI85" i="6"/>
  <c r="AI195" i="6"/>
  <c r="AI251" i="6"/>
  <c r="AI276" i="6"/>
  <c r="AI287" i="6"/>
  <c r="AI357" i="6"/>
  <c r="AI364" i="6"/>
  <c r="AI367" i="6"/>
  <c r="AI5" i="6"/>
  <c r="AI96" i="6"/>
  <c r="AI104" i="6"/>
  <c r="AI112" i="6"/>
  <c r="AI120" i="6"/>
  <c r="AI128" i="6"/>
  <c r="AI136" i="6"/>
  <c r="AI144" i="6"/>
  <c r="AI152" i="6"/>
  <c r="AI160" i="6"/>
  <c r="AI168" i="6"/>
  <c r="AI176" i="6"/>
  <c r="AI184" i="6"/>
  <c r="AI192" i="6"/>
  <c r="AK200" i="6"/>
  <c r="AI200" i="6"/>
  <c r="AK208" i="6"/>
  <c r="AI208" i="6"/>
  <c r="AK216" i="6"/>
  <c r="AI216" i="6"/>
  <c r="AK224" i="6"/>
  <c r="AI224" i="6"/>
  <c r="AK232" i="6"/>
  <c r="AI232" i="6"/>
  <c r="AK240" i="6"/>
  <c r="AI240" i="6"/>
  <c r="AK248" i="6"/>
  <c r="AI248" i="6"/>
  <c r="AK256" i="6"/>
  <c r="AI256" i="6"/>
  <c r="AK264" i="6"/>
  <c r="AI264" i="6"/>
  <c r="AK272" i="6"/>
  <c r="AI272" i="6"/>
  <c r="AK280" i="6"/>
  <c r="AI280" i="6"/>
  <c r="AK288" i="6"/>
  <c r="AI288" i="6"/>
  <c r="AK296" i="6"/>
  <c r="AI296" i="6"/>
  <c r="AK304" i="6"/>
  <c r="AI304" i="6"/>
  <c r="AK312" i="6"/>
  <c r="AI312" i="6"/>
  <c r="AK320" i="6"/>
  <c r="AI320" i="6"/>
  <c r="AK328" i="6"/>
  <c r="AI328" i="6"/>
  <c r="AK336" i="6"/>
  <c r="AI336" i="6"/>
  <c r="AK344" i="6"/>
  <c r="AI344" i="6"/>
  <c r="AK352" i="6"/>
  <c r="AI352" i="6"/>
  <c r="AK360" i="6"/>
  <c r="AI360" i="6"/>
  <c r="AK368" i="6"/>
  <c r="AI368" i="6"/>
  <c r="AI90" i="6"/>
  <c r="AK92" i="6"/>
  <c r="AI95" i="6"/>
  <c r="AK100" i="6"/>
  <c r="AI103" i="6"/>
  <c r="AK108" i="6"/>
  <c r="AI111" i="6"/>
  <c r="AK116" i="6"/>
  <c r="AI119" i="6"/>
  <c r="AK124" i="6"/>
  <c r="AI127" i="6"/>
  <c r="AK132" i="6"/>
  <c r="AI135" i="6"/>
  <c r="AK140" i="6"/>
  <c r="AI143" i="6"/>
  <c r="AK148" i="6"/>
  <c r="AI151" i="6"/>
  <c r="AK156" i="6"/>
  <c r="AI206" i="6"/>
  <c r="AI210" i="6"/>
  <c r="AI267" i="6"/>
  <c r="AI292" i="6"/>
  <c r="AI303" i="6"/>
  <c r="AI317" i="6"/>
  <c r="AI324" i="6"/>
  <c r="AI327" i="6"/>
  <c r="AK89" i="6"/>
  <c r="AK97" i="6"/>
  <c r="AK105" i="6"/>
  <c r="AK113" i="6"/>
  <c r="AK121" i="6"/>
  <c r="AK129" i="6"/>
  <c r="AK137" i="6"/>
  <c r="AK145" i="6"/>
  <c r="AK153" i="6"/>
  <c r="AK161" i="6"/>
  <c r="AI161" i="6"/>
  <c r="AK169" i="6"/>
  <c r="AI169" i="6"/>
  <c r="AK177" i="6"/>
  <c r="AI177" i="6"/>
  <c r="AK185" i="6"/>
  <c r="AI185" i="6"/>
  <c r="AK193" i="6"/>
  <c r="AI193" i="6"/>
  <c r="AK201" i="6"/>
  <c r="AI201" i="6"/>
  <c r="AK209" i="6"/>
  <c r="AK217" i="6"/>
  <c r="AI217" i="6"/>
  <c r="AK225" i="6"/>
  <c r="AK233" i="6"/>
  <c r="AI233" i="6"/>
  <c r="AK241" i="6"/>
  <c r="AK249" i="6"/>
  <c r="AI249" i="6"/>
  <c r="AK257" i="6"/>
  <c r="AK265" i="6"/>
  <c r="AI265" i="6"/>
  <c r="AK273" i="6"/>
  <c r="AK281" i="6"/>
  <c r="AI281" i="6"/>
  <c r="AK289" i="6"/>
  <c r="AK297" i="6"/>
  <c r="AI297" i="6"/>
  <c r="AK305" i="6"/>
  <c r="AK313" i="6"/>
  <c r="AI313" i="6"/>
  <c r="AK321" i="6"/>
  <c r="AI321" i="6"/>
  <c r="AK329" i="6"/>
  <c r="AI329" i="6"/>
  <c r="AK337" i="6"/>
  <c r="AI337" i="6"/>
  <c r="AK345" i="6"/>
  <c r="AI345" i="6"/>
  <c r="AK353" i="6"/>
  <c r="AI353" i="6"/>
  <c r="AK361" i="6"/>
  <c r="AI361" i="6"/>
  <c r="AI88" i="6"/>
  <c r="AI222" i="6"/>
  <c r="AI273" i="6"/>
  <c r="AI283" i="6"/>
  <c r="AI341" i="6"/>
  <c r="AI348" i="6"/>
  <c r="AI351" i="6"/>
  <c r="AI98" i="6"/>
  <c r="AI106" i="6"/>
  <c r="AI114" i="6"/>
  <c r="AI122" i="6"/>
  <c r="AI130" i="6"/>
  <c r="AI138" i="6"/>
  <c r="AI146" i="6"/>
  <c r="AI154" i="6"/>
  <c r="AI162" i="6"/>
  <c r="AI170" i="6"/>
  <c r="AI178" i="6"/>
  <c r="AI186" i="6"/>
  <c r="AK194" i="6"/>
  <c r="AI194" i="6"/>
  <c r="AK202" i="6"/>
  <c r="AI202" i="6"/>
  <c r="AK210" i="6"/>
  <c r="AK218" i="6"/>
  <c r="AI218" i="6"/>
  <c r="AK226" i="6"/>
  <c r="AK234" i="6"/>
  <c r="AI234" i="6"/>
  <c r="AK242" i="6"/>
  <c r="AK250" i="6"/>
  <c r="AI250" i="6"/>
  <c r="AK258" i="6"/>
  <c r="AK266" i="6"/>
  <c r="AI266" i="6"/>
  <c r="AK274" i="6"/>
  <c r="AK282" i="6"/>
  <c r="AI282" i="6"/>
  <c r="AK290" i="6"/>
  <c r="AK298" i="6"/>
  <c r="AI298" i="6"/>
  <c r="AK306" i="6"/>
  <c r="AK314" i="6"/>
  <c r="AI314" i="6"/>
  <c r="AK322" i="6"/>
  <c r="AI322" i="6"/>
  <c r="AK330" i="6"/>
  <c r="AI330" i="6"/>
  <c r="AK338" i="6"/>
  <c r="AI338" i="6"/>
  <c r="AK346" i="6"/>
  <c r="AI346" i="6"/>
  <c r="AK354" i="6"/>
  <c r="AI354" i="6"/>
  <c r="AK362" i="6"/>
  <c r="AI362" i="6"/>
  <c r="AI93" i="6"/>
  <c r="AK98" i="6"/>
  <c r="AI101" i="6"/>
  <c r="AK106" i="6"/>
  <c r="AI109" i="6"/>
  <c r="AK114" i="6"/>
  <c r="AI117" i="6"/>
  <c r="AK122" i="6"/>
  <c r="AI125" i="6"/>
  <c r="AK130" i="6"/>
  <c r="AI133" i="6"/>
  <c r="AK138" i="6"/>
  <c r="AI141" i="6"/>
  <c r="AK146" i="6"/>
  <c r="AI149" i="6"/>
  <c r="AK154" i="6"/>
  <c r="AI157" i="6"/>
  <c r="AK160" i="6"/>
  <c r="AK164" i="6"/>
  <c r="AK168" i="6"/>
  <c r="AK172" i="6"/>
  <c r="AK176" i="6"/>
  <c r="AK180" i="6"/>
  <c r="AK184" i="6"/>
  <c r="AK188" i="6"/>
  <c r="AK192" i="6"/>
  <c r="AI207" i="6"/>
  <c r="AI238" i="6"/>
  <c r="AI242" i="6"/>
  <c r="AI289" i="6"/>
  <c r="AI299" i="6"/>
  <c r="AI308" i="6"/>
  <c r="AI311" i="6"/>
  <c r="AI365" i="6"/>
  <c r="AE1" i="6"/>
  <c r="AI21" i="6"/>
  <c r="AI45" i="6"/>
  <c r="AI66" i="6"/>
  <c r="AI68" i="6"/>
  <c r="AI70" i="6"/>
  <c r="AK79" i="6"/>
  <c r="AI11" i="6"/>
  <c r="AK66" i="6"/>
  <c r="AK69" i="6"/>
  <c r="AK70" i="6"/>
  <c r="AK163" i="6"/>
  <c r="AI163" i="6"/>
  <c r="AK171" i="6"/>
  <c r="AI171" i="6"/>
  <c r="AK179" i="6"/>
  <c r="AI179" i="6"/>
  <c r="AK187" i="6"/>
  <c r="AI187" i="6"/>
  <c r="AK211" i="6"/>
  <c r="AI211" i="6"/>
  <c r="AK227" i="6"/>
  <c r="AI227" i="6"/>
  <c r="AK243" i="6"/>
  <c r="AI243" i="6"/>
  <c r="AK259" i="6"/>
  <c r="AI259" i="6"/>
  <c r="AK275" i="6"/>
  <c r="AI275" i="6"/>
  <c r="AK291" i="6"/>
  <c r="AI291" i="6"/>
  <c r="AK307" i="6"/>
  <c r="AI307" i="6"/>
  <c r="AK315" i="6"/>
  <c r="AI315" i="6"/>
  <c r="AK323" i="6"/>
  <c r="AI323" i="6"/>
  <c r="AK331" i="6"/>
  <c r="AI331" i="6"/>
  <c r="AK339" i="6"/>
  <c r="AI339" i="6"/>
  <c r="AK347" i="6"/>
  <c r="AI347" i="6"/>
  <c r="AK355" i="6"/>
  <c r="AI355" i="6"/>
  <c r="AK363" i="6"/>
  <c r="AI363" i="6"/>
  <c r="AI84" i="6"/>
  <c r="AI197" i="6"/>
  <c r="AI212" i="6"/>
  <c r="AI223" i="6"/>
  <c r="AI254" i="6"/>
  <c r="AI258" i="6"/>
  <c r="AI305" i="6"/>
  <c r="AI325" i="6"/>
  <c r="AI332" i="6"/>
  <c r="AI335" i="6"/>
  <c r="AF1" i="6"/>
  <c r="AF81" i="6"/>
  <c r="AG2" i="6" s="1"/>
  <c r="AK17" i="6"/>
  <c r="AI17" i="6"/>
  <c r="AK22" i="6"/>
  <c r="AI22" i="6"/>
  <c r="AI28" i="6"/>
  <c r="AK28" i="6"/>
  <c r="AK38" i="6"/>
  <c r="AI38" i="6"/>
  <c r="AK24" i="6"/>
  <c r="AI24" i="6"/>
  <c r="AI34" i="6"/>
  <c r="AK34" i="6"/>
  <c r="AK41" i="6"/>
  <c r="AI41" i="6"/>
  <c r="AK51" i="6"/>
  <c r="AI51" i="6"/>
  <c r="AK10" i="6"/>
  <c r="AI10" i="6"/>
  <c r="AK40" i="6"/>
  <c r="AI40" i="6"/>
  <c r="AK12" i="6"/>
  <c r="AI12" i="6"/>
  <c r="AI46" i="6"/>
  <c r="AK46" i="6"/>
  <c r="AK9" i="6"/>
  <c r="AI9" i="6"/>
  <c r="AK30" i="6"/>
  <c r="AI30" i="6"/>
  <c r="AI36" i="6"/>
  <c r="AK36" i="6"/>
  <c r="AK33" i="6"/>
  <c r="AI33" i="6"/>
  <c r="AK18" i="6"/>
  <c r="AI18" i="6"/>
  <c r="AK25" i="6"/>
  <c r="AI25" i="6"/>
  <c r="AK32" i="6"/>
  <c r="AI32" i="6"/>
  <c r="AI42" i="6"/>
  <c r="AK42" i="6"/>
  <c r="AI48" i="6"/>
  <c r="AK48" i="6"/>
  <c r="AK26" i="6"/>
  <c r="AI26" i="6"/>
  <c r="AK14" i="6"/>
  <c r="AI14" i="6"/>
  <c r="AK16" i="6"/>
  <c r="AI16" i="6"/>
  <c r="AI20" i="6"/>
  <c r="AK20" i="6"/>
  <c r="AI62" i="6"/>
  <c r="AK62" i="6"/>
  <c r="AK63" i="6"/>
  <c r="AI63" i="6"/>
  <c r="C1" i="6"/>
  <c r="AF8" i="6"/>
  <c r="AI65" i="6"/>
  <c r="AI6" i="6"/>
  <c r="AI67" i="6"/>
  <c r="AK73" i="6"/>
  <c r="AI73" i="6"/>
  <c r="AK76" i="6"/>
  <c r="AI76" i="6"/>
  <c r="AI54" i="6"/>
  <c r="AI7" i="6"/>
  <c r="AK13" i="6"/>
  <c r="AI15" i="6"/>
  <c r="AK21" i="6"/>
  <c r="AI23" i="6"/>
  <c r="AK29" i="6"/>
  <c r="AI31" i="6"/>
  <c r="AK37" i="6"/>
  <c r="AI39" i="6"/>
  <c r="AI49" i="6"/>
  <c r="AI56" i="6"/>
  <c r="AK61" i="6"/>
  <c r="AI61" i="6"/>
  <c r="AK74" i="6"/>
  <c r="AI74" i="6"/>
  <c r="AI52" i="6"/>
  <c r="AK53" i="6"/>
  <c r="AK56" i="6"/>
  <c r="AK72" i="6"/>
  <c r="AI50" i="6"/>
  <c r="AK67" i="6"/>
  <c r="AK47" i="6"/>
  <c r="AK55" i="6"/>
  <c r="AI55" i="6"/>
  <c r="AK59" i="6"/>
  <c r="AK71" i="6"/>
  <c r="AI75" i="6"/>
  <c r="AI77" i="6"/>
  <c r="AK49" i="6"/>
  <c r="AK50" i="6"/>
  <c r="AI57" i="6"/>
  <c r="AI60" i="6"/>
  <c r="AK75" i="6"/>
  <c r="AK77" i="6"/>
  <c r="AI64" i="6"/>
  <c r="AQ1" i="6" l="1"/>
  <c r="AH127" i="2"/>
  <c r="AG127" i="2"/>
  <c r="AG158" i="2"/>
  <c r="AH158" i="2"/>
  <c r="AG349" i="2"/>
  <c r="AH349" i="2"/>
  <c r="AG157" i="2"/>
  <c r="AH157" i="2"/>
  <c r="AH330" i="2"/>
  <c r="AG330" i="2"/>
  <c r="AH202" i="2"/>
  <c r="AG202" i="2"/>
  <c r="AH138" i="2"/>
  <c r="AG138" i="2"/>
  <c r="AG321" i="2"/>
  <c r="AH321" i="2"/>
  <c r="AG193" i="2"/>
  <c r="AH193" i="2"/>
  <c r="AG129" i="2"/>
  <c r="AH129" i="2"/>
  <c r="AG347" i="2"/>
  <c r="AH347" i="2"/>
  <c r="AH320" i="2"/>
  <c r="AG320" i="2"/>
  <c r="AG192" i="2"/>
  <c r="AH192" i="2"/>
  <c r="AH128" i="2"/>
  <c r="AG128" i="2"/>
  <c r="AG363" i="2"/>
  <c r="AH363" i="2"/>
  <c r="AG91" i="2"/>
  <c r="AH91" i="2"/>
  <c r="AG228" i="2"/>
  <c r="AH228" i="2"/>
  <c r="AG243" i="2"/>
  <c r="AH243" i="2"/>
  <c r="AG179" i="2"/>
  <c r="AH179" i="2"/>
  <c r="AG227" i="2"/>
  <c r="AH227" i="2"/>
  <c r="AH311" i="2"/>
  <c r="AG311" i="2"/>
  <c r="AH183" i="2"/>
  <c r="AG183" i="2"/>
  <c r="AH119" i="2"/>
  <c r="AG119" i="2"/>
  <c r="AH342" i="2"/>
  <c r="AG342" i="2"/>
  <c r="AH214" i="2"/>
  <c r="AG214" i="2"/>
  <c r="AG150" i="2"/>
  <c r="AH150" i="2"/>
  <c r="AH86" i="2"/>
  <c r="AG86" i="2"/>
  <c r="AG341" i="2"/>
  <c r="AH341" i="2"/>
  <c r="AG213" i="2"/>
  <c r="AH213" i="2"/>
  <c r="AG149" i="2"/>
  <c r="AH149" i="2"/>
  <c r="AH322" i="2"/>
  <c r="AG322" i="2"/>
  <c r="AH194" i="2"/>
  <c r="AG194" i="2"/>
  <c r="AH130" i="2"/>
  <c r="AG130" i="2"/>
  <c r="AG313" i="2"/>
  <c r="AH313" i="2"/>
  <c r="AG185" i="2"/>
  <c r="AH185" i="2"/>
  <c r="AG121" i="2"/>
  <c r="AH121" i="2"/>
  <c r="AH312" i="2"/>
  <c r="AG312" i="2"/>
  <c r="AG184" i="2"/>
  <c r="AH184" i="2"/>
  <c r="AH120" i="2"/>
  <c r="AG120" i="2"/>
  <c r="AH244" i="2"/>
  <c r="AG244" i="2"/>
  <c r="AG323" i="2"/>
  <c r="AH323" i="2"/>
  <c r="AG204" i="2"/>
  <c r="AH204" i="2"/>
  <c r="AG211" i="2"/>
  <c r="AH211" i="2"/>
  <c r="AG356" i="2"/>
  <c r="AH356" i="2"/>
  <c r="AG139" i="2"/>
  <c r="AH139" i="2"/>
  <c r="AG212" i="2"/>
  <c r="AH212" i="2"/>
  <c r="AG187" i="2"/>
  <c r="AH187" i="2"/>
  <c r="AH319" i="2"/>
  <c r="AG319" i="2"/>
  <c r="AH191" i="2"/>
  <c r="AG191" i="2"/>
  <c r="AH350" i="2"/>
  <c r="AG350" i="2"/>
  <c r="AH222" i="2"/>
  <c r="AG222" i="2"/>
  <c r="AH94" i="2"/>
  <c r="AG94" i="2"/>
  <c r="AG221" i="2"/>
  <c r="AH221" i="2"/>
  <c r="AG93" i="2"/>
  <c r="AH93" i="2"/>
  <c r="AH367" i="2"/>
  <c r="AG367" i="2"/>
  <c r="AH239" i="2"/>
  <c r="AG239" i="2"/>
  <c r="AH175" i="2"/>
  <c r="AG175" i="2"/>
  <c r="AH111" i="2"/>
  <c r="AG111" i="2"/>
  <c r="AH334" i="2"/>
  <c r="AG334" i="2"/>
  <c r="AH206" i="2"/>
  <c r="AG206" i="2"/>
  <c r="AG142" i="2"/>
  <c r="AH142" i="2"/>
  <c r="AG333" i="2"/>
  <c r="AH333" i="2"/>
  <c r="AG205" i="2"/>
  <c r="AH205" i="2"/>
  <c r="AG141" i="2"/>
  <c r="AH141" i="2"/>
  <c r="AH314" i="2"/>
  <c r="AG314" i="2"/>
  <c r="AH186" i="2"/>
  <c r="AG186" i="2"/>
  <c r="AH122" i="2"/>
  <c r="AG122" i="2"/>
  <c r="AH241" i="2"/>
  <c r="AG241" i="2"/>
  <c r="AG177" i="2"/>
  <c r="AH177" i="2"/>
  <c r="AG113" i="2"/>
  <c r="AH113" i="2"/>
  <c r="AH368" i="2"/>
  <c r="AG368" i="2"/>
  <c r="AG240" i="2"/>
  <c r="AH240" i="2"/>
  <c r="AH176" i="2"/>
  <c r="AG176" i="2"/>
  <c r="AG112" i="2"/>
  <c r="AH112" i="2"/>
  <c r="AG220" i="2"/>
  <c r="AH220" i="2"/>
  <c r="AH164" i="2"/>
  <c r="AG164" i="2"/>
  <c r="AG171" i="2"/>
  <c r="AH171" i="2"/>
  <c r="AG99" i="2"/>
  <c r="AH99" i="2"/>
  <c r="AG188" i="2"/>
  <c r="AH188" i="2"/>
  <c r="AG155" i="2"/>
  <c r="AH155" i="2"/>
  <c r="AH198" i="2"/>
  <c r="AG198" i="2"/>
  <c r="AH114" i="2"/>
  <c r="AG114" i="2"/>
  <c r="AH105" i="2"/>
  <c r="AG105" i="2"/>
  <c r="AH360" i="2"/>
  <c r="AG360" i="2"/>
  <c r="AH104" i="2"/>
  <c r="AG104" i="2"/>
  <c r="AG140" i="2"/>
  <c r="AH140" i="2"/>
  <c r="AG123" i="2"/>
  <c r="AH123" i="2"/>
  <c r="AH223" i="2"/>
  <c r="AG223" i="2"/>
  <c r="AG317" i="2"/>
  <c r="AH317" i="2"/>
  <c r="AG125" i="2"/>
  <c r="AH125" i="2"/>
  <c r="AG353" i="2"/>
  <c r="AH353" i="2"/>
  <c r="AG225" i="2"/>
  <c r="AH225" i="2"/>
  <c r="AG147" i="2"/>
  <c r="AH147" i="2"/>
  <c r="AG224" i="2"/>
  <c r="AH224" i="2"/>
  <c r="AH96" i="2"/>
  <c r="AG96" i="2"/>
  <c r="AG148" i="2"/>
  <c r="AH148" i="2"/>
  <c r="AG108" i="2"/>
  <c r="AH108" i="2"/>
  <c r="AG355" i="2"/>
  <c r="AH355" i="2"/>
  <c r="AH116" i="2"/>
  <c r="AG116" i="2"/>
  <c r="AH343" i="2"/>
  <c r="AG343" i="2"/>
  <c r="AH215" i="2"/>
  <c r="AG215" i="2"/>
  <c r="AH151" i="2"/>
  <c r="AG151" i="2"/>
  <c r="AH87" i="2"/>
  <c r="AG87" i="2"/>
  <c r="AH310" i="2"/>
  <c r="AG310" i="2"/>
  <c r="AH246" i="2"/>
  <c r="AG246" i="2"/>
  <c r="AH182" i="2"/>
  <c r="AG182" i="2"/>
  <c r="AG118" i="2"/>
  <c r="AH118" i="2"/>
  <c r="AG309" i="2"/>
  <c r="AH309" i="2"/>
  <c r="AG245" i="2"/>
  <c r="AH245" i="2"/>
  <c r="AG181" i="2"/>
  <c r="AH181" i="2"/>
  <c r="AG117" i="2"/>
  <c r="AH117" i="2"/>
  <c r="AH354" i="2"/>
  <c r="AG354" i="2"/>
  <c r="AH226" i="2"/>
  <c r="AG226" i="2"/>
  <c r="AG162" i="2"/>
  <c r="AH162" i="2"/>
  <c r="AH98" i="2"/>
  <c r="AG98" i="2"/>
  <c r="AG345" i="2"/>
  <c r="AH345" i="2"/>
  <c r="AH217" i="2"/>
  <c r="AG217" i="2"/>
  <c r="AH153" i="2"/>
  <c r="AG153" i="2"/>
  <c r="AH89" i="2"/>
  <c r="AG89" i="2"/>
  <c r="AG107" i="2"/>
  <c r="AH107" i="2"/>
  <c r="AH344" i="2"/>
  <c r="AG344" i="2"/>
  <c r="AG216" i="2"/>
  <c r="AH216" i="2"/>
  <c r="AH152" i="2"/>
  <c r="AG152" i="2"/>
  <c r="AG88" i="2"/>
  <c r="AH88" i="2"/>
  <c r="AG348" i="2"/>
  <c r="AH348" i="2"/>
  <c r="AG124" i="2"/>
  <c r="AH124" i="2"/>
  <c r="AG203" i="2"/>
  <c r="AH203" i="2"/>
  <c r="AG340" i="2"/>
  <c r="AH340" i="2"/>
  <c r="AG331" i="2"/>
  <c r="AH331" i="2"/>
  <c r="AG196" i="2"/>
  <c r="AH196" i="2"/>
  <c r="AG332" i="2"/>
  <c r="AH332" i="2"/>
  <c r="AG92" i="2"/>
  <c r="AH92" i="2"/>
  <c r="AH231" i="2"/>
  <c r="AG231" i="2"/>
  <c r="E9" i="4"/>
  <c r="AG325" i="2"/>
  <c r="AH325" i="2"/>
  <c r="AG197" i="2"/>
  <c r="AH197" i="2"/>
  <c r="AG133" i="2"/>
  <c r="AH133" i="2"/>
  <c r="AG178" i="2"/>
  <c r="AH178" i="2"/>
  <c r="AG233" i="2"/>
  <c r="AH233" i="2"/>
  <c r="AG232" i="2"/>
  <c r="AH232" i="2"/>
  <c r="AH351" i="2"/>
  <c r="AG351" i="2"/>
  <c r="AH95" i="2"/>
  <c r="AG95" i="2"/>
  <c r="AH318" i="2"/>
  <c r="AG318" i="2"/>
  <c r="AH190" i="2"/>
  <c r="AG190" i="2"/>
  <c r="AG189" i="2"/>
  <c r="AH189" i="2"/>
  <c r="AH106" i="2"/>
  <c r="AG106" i="2"/>
  <c r="AH97" i="2"/>
  <c r="AG97" i="2"/>
  <c r="AH352" i="2"/>
  <c r="AG352" i="2"/>
  <c r="AH160" i="2"/>
  <c r="AG160" i="2"/>
  <c r="AG235" i="2"/>
  <c r="AH235" i="2"/>
  <c r="AG236" i="2"/>
  <c r="AH236" i="2"/>
  <c r="AH335" i="2"/>
  <c r="AG335" i="2"/>
  <c r="AH207" i="2"/>
  <c r="AG207" i="2"/>
  <c r="AH143" i="2"/>
  <c r="AG143" i="2"/>
  <c r="AH366" i="2"/>
  <c r="AG366" i="2"/>
  <c r="AH238" i="2"/>
  <c r="AG238" i="2"/>
  <c r="AG174" i="2"/>
  <c r="AH174" i="2"/>
  <c r="AH110" i="2"/>
  <c r="AG110" i="2"/>
  <c r="AG365" i="2"/>
  <c r="AH365" i="2"/>
  <c r="AG237" i="2"/>
  <c r="AH237" i="2"/>
  <c r="AG173" i="2"/>
  <c r="AH173" i="2"/>
  <c r="AG109" i="2"/>
  <c r="AH109" i="2"/>
  <c r="AH346" i="2"/>
  <c r="AG346" i="2"/>
  <c r="AH218" i="2"/>
  <c r="AG218" i="2"/>
  <c r="AG154" i="2"/>
  <c r="AH154" i="2"/>
  <c r="AH90" i="2"/>
  <c r="AG90" i="2"/>
  <c r="AG337" i="2"/>
  <c r="AH337" i="2"/>
  <c r="AH209" i="2"/>
  <c r="AG209" i="2"/>
  <c r="AH145" i="2"/>
  <c r="AG145" i="2"/>
  <c r="AH336" i="2"/>
  <c r="AG336" i="2"/>
  <c r="AG208" i="2"/>
  <c r="AH208" i="2"/>
  <c r="AH144" i="2"/>
  <c r="AG144" i="2"/>
  <c r="AG324" i="2"/>
  <c r="AH324" i="2"/>
  <c r="AH100" i="2"/>
  <c r="AG100" i="2"/>
  <c r="AG163" i="2"/>
  <c r="AH163" i="2"/>
  <c r="AG315" i="2"/>
  <c r="AH315" i="2"/>
  <c r="AG172" i="2"/>
  <c r="AH172" i="2"/>
  <c r="AG316" i="2"/>
  <c r="AH316" i="2"/>
  <c r="AG339" i="2"/>
  <c r="AH339" i="2"/>
  <c r="AH359" i="2"/>
  <c r="AG359" i="2"/>
  <c r="AH167" i="2"/>
  <c r="AG167" i="2"/>
  <c r="AH103" i="2"/>
  <c r="AG103" i="2"/>
  <c r="AH326" i="2"/>
  <c r="AG326" i="2"/>
  <c r="AH134" i="2"/>
  <c r="AG134" i="2"/>
  <c r="AH242" i="2"/>
  <c r="AG242" i="2"/>
  <c r="AG361" i="2"/>
  <c r="AH361" i="2"/>
  <c r="AH169" i="2"/>
  <c r="AG169" i="2"/>
  <c r="AG195" i="2"/>
  <c r="AH195" i="2"/>
  <c r="AH168" i="2"/>
  <c r="AG168" i="2"/>
  <c r="AG180" i="2"/>
  <c r="AH180" i="2"/>
  <c r="AG115" i="2"/>
  <c r="AH115" i="2"/>
  <c r="AG156" i="2"/>
  <c r="AH156" i="2"/>
  <c r="AH159" i="2"/>
  <c r="AG159" i="2"/>
  <c r="AH126" i="2"/>
  <c r="AG126" i="2"/>
  <c r="AH362" i="2"/>
  <c r="AG362" i="2"/>
  <c r="AH234" i="2"/>
  <c r="AG234" i="2"/>
  <c r="AG170" i="2"/>
  <c r="AH170" i="2"/>
  <c r="AG161" i="2"/>
  <c r="AH161" i="2"/>
  <c r="AH364" i="2"/>
  <c r="AG364" i="2"/>
  <c r="AH327" i="2"/>
  <c r="AG327" i="2"/>
  <c r="AH199" i="2"/>
  <c r="AG199" i="2"/>
  <c r="AH135" i="2"/>
  <c r="AG135" i="2"/>
  <c r="AH358" i="2"/>
  <c r="AG358" i="2"/>
  <c r="AH230" i="2"/>
  <c r="AG230" i="2"/>
  <c r="AG166" i="2"/>
  <c r="AH166" i="2"/>
  <c r="AH102" i="2"/>
  <c r="AG102" i="2"/>
  <c r="AG357" i="2"/>
  <c r="AH357" i="2"/>
  <c r="AG229" i="2"/>
  <c r="AH229" i="2"/>
  <c r="AG165" i="2"/>
  <c r="AH165" i="2"/>
  <c r="AG101" i="2"/>
  <c r="AH101" i="2"/>
  <c r="AH338" i="2"/>
  <c r="AG338" i="2"/>
  <c r="AH210" i="2"/>
  <c r="AG210" i="2"/>
  <c r="AG146" i="2"/>
  <c r="AH146" i="2"/>
  <c r="AG329" i="2"/>
  <c r="AH329" i="2"/>
  <c r="AG201" i="2"/>
  <c r="AH201" i="2"/>
  <c r="AH137" i="2"/>
  <c r="AG137" i="2"/>
  <c r="AH328" i="2"/>
  <c r="AG328" i="2"/>
  <c r="AG200" i="2"/>
  <c r="AH200" i="2"/>
  <c r="AH136" i="2"/>
  <c r="AG136" i="2"/>
  <c r="AG308" i="2"/>
  <c r="AH308" i="2"/>
  <c r="AG131" i="2"/>
  <c r="AH131" i="2"/>
  <c r="AG132" i="2"/>
  <c r="AH132" i="2"/>
  <c r="AG219" i="2"/>
  <c r="AH219" i="2"/>
  <c r="AS77" i="6"/>
  <c r="AS76" i="6"/>
  <c r="AS73" i="6"/>
  <c r="AS67" i="6"/>
  <c r="AS65" i="6"/>
  <c r="S8" i="7"/>
  <c r="G6" i="7"/>
  <c r="U6" i="7" s="1"/>
  <c r="AX81" i="6"/>
  <c r="AT81" i="6"/>
  <c r="AS81" i="6"/>
  <c r="D347" i="2"/>
  <c r="AX2" i="6"/>
  <c r="AT2" i="6"/>
  <c r="AG42" i="6"/>
  <c r="AG50" i="6"/>
  <c r="D359" i="2"/>
  <c r="D319" i="2"/>
  <c r="D297" i="2"/>
  <c r="H297" i="2" s="1"/>
  <c r="D24" i="2"/>
  <c r="D212" i="2"/>
  <c r="D312" i="2"/>
  <c r="D38" i="2"/>
  <c r="D313" i="2"/>
  <c r="D20" i="2"/>
  <c r="D289" i="2"/>
  <c r="H289" i="2" s="1"/>
  <c r="D182" i="2"/>
  <c r="D157" i="2"/>
  <c r="D171" i="2"/>
  <c r="D177" i="2"/>
  <c r="AG177" i="6"/>
  <c r="D351" i="2"/>
  <c r="D329" i="2"/>
  <c r="D328" i="2"/>
  <c r="D342" i="2"/>
  <c r="D323" i="2"/>
  <c r="D311" i="2"/>
  <c r="D309" i="2"/>
  <c r="D291" i="2"/>
  <c r="H291" i="2" s="1"/>
  <c r="D247" i="2"/>
  <c r="H247" i="2" s="1"/>
  <c r="D208" i="2"/>
  <c r="D155" i="2"/>
  <c r="D123" i="2"/>
  <c r="D91" i="2"/>
  <c r="D6" i="2"/>
  <c r="D244" i="2"/>
  <c r="D216" i="2"/>
  <c r="D138" i="2"/>
  <c r="D82" i="2"/>
  <c r="D105" i="2"/>
  <c r="D263" i="2"/>
  <c r="H263" i="2" s="1"/>
  <c r="D238" i="2"/>
  <c r="D207" i="2"/>
  <c r="D144" i="2"/>
  <c r="D296" i="2"/>
  <c r="H296" i="2" s="1"/>
  <c r="D262" i="2"/>
  <c r="H262" i="2" s="1"/>
  <c r="D235" i="2"/>
  <c r="D193" i="2"/>
  <c r="D135" i="2"/>
  <c r="D103" i="2"/>
  <c r="D19" i="2"/>
  <c r="D31" i="2"/>
  <c r="D21" i="2"/>
  <c r="D285" i="2"/>
  <c r="H285" i="2" s="1"/>
  <c r="D209" i="2"/>
  <c r="D117" i="2"/>
  <c r="D65" i="2"/>
  <c r="D113" i="2"/>
  <c r="D299" i="2"/>
  <c r="H299" i="2" s="1"/>
  <c r="D245" i="2"/>
  <c r="D141" i="2"/>
  <c r="D295" i="2"/>
  <c r="H295" i="2" s="1"/>
  <c r="D273" i="2"/>
  <c r="H273" i="2" s="1"/>
  <c r="D242" i="2"/>
  <c r="D222" i="2"/>
  <c r="D186" i="2"/>
  <c r="D116" i="2"/>
  <c r="D84" i="2"/>
  <c r="D15" i="2"/>
  <c r="D69" i="2"/>
  <c r="D344" i="2"/>
  <c r="D55" i="2"/>
  <c r="D46" i="2"/>
  <c r="D51" i="2"/>
  <c r="D41" i="2"/>
  <c r="D174" i="2"/>
  <c r="D320" i="2"/>
  <c r="D221" i="2"/>
  <c r="D259" i="2"/>
  <c r="H259" i="2" s="1"/>
  <c r="D11" i="2"/>
  <c r="D161" i="2"/>
  <c r="D357" i="2"/>
  <c r="D147" i="2"/>
  <c r="D194" i="2"/>
  <c r="D293" i="2"/>
  <c r="H293" i="2" s="1"/>
  <c r="D251" i="2"/>
  <c r="H251" i="2" s="1"/>
  <c r="D12" i="2"/>
  <c r="D16" i="2"/>
  <c r="D125" i="2"/>
  <c r="D72" i="2"/>
  <c r="D158" i="2"/>
  <c r="D180" i="2"/>
  <c r="D167" i="2"/>
  <c r="D160" i="2"/>
  <c r="D340" i="2"/>
  <c r="D307" i="2"/>
  <c r="H307" i="2" s="1"/>
  <c r="D338" i="2"/>
  <c r="D363" i="2"/>
  <c r="D318" i="2"/>
  <c r="D349" i="2"/>
  <c r="D335" i="2"/>
  <c r="D322" i="2"/>
  <c r="D79" i="2"/>
  <c r="D275" i="2"/>
  <c r="H275" i="2" s="1"/>
  <c r="D114" i="2"/>
  <c r="D287" i="2"/>
  <c r="H287" i="2" s="1"/>
  <c r="D266" i="2"/>
  <c r="H266" i="2" s="1"/>
  <c r="D213" i="2"/>
  <c r="D185" i="2"/>
  <c r="D96" i="2"/>
  <c r="D279" i="2"/>
  <c r="H279" i="2" s="1"/>
  <c r="D248" i="2"/>
  <c r="H248" i="2" s="1"/>
  <c r="D204" i="2"/>
  <c r="D142" i="2"/>
  <c r="D110" i="2"/>
  <c r="D80" i="2"/>
  <c r="D17" i="2"/>
  <c r="D32" i="2"/>
  <c r="D4" i="2"/>
  <c r="D40" i="2"/>
  <c r="D61" i="2"/>
  <c r="D44" i="2"/>
  <c r="D163" i="2"/>
  <c r="D365" i="2"/>
  <c r="D282" i="2"/>
  <c r="H282" i="2" s="1"/>
  <c r="D118" i="2"/>
  <c r="D60" i="2"/>
  <c r="D184" i="2"/>
  <c r="D300" i="2"/>
  <c r="H300" i="2" s="1"/>
  <c r="D354" i="2"/>
  <c r="AH354" i="6"/>
  <c r="D203" i="2"/>
  <c r="D236" i="2"/>
  <c r="D152" i="2"/>
  <c r="D136" i="2"/>
  <c r="D187" i="2"/>
  <c r="D189" i="2"/>
  <c r="D276" i="2"/>
  <c r="H276" i="2" s="1"/>
  <c r="D267" i="2"/>
  <c r="H267" i="2" s="1"/>
  <c r="D108" i="2"/>
  <c r="D199" i="2"/>
  <c r="D52" i="2"/>
  <c r="D176" i="2"/>
  <c r="D172" i="2"/>
  <c r="D178" i="2"/>
  <c r="D183" i="2"/>
  <c r="AH58" i="6"/>
  <c r="D348" i="2"/>
  <c r="D361" i="2"/>
  <c r="D368" i="2"/>
  <c r="D331" i="2"/>
  <c r="D310" i="2"/>
  <c r="D341" i="2"/>
  <c r="D308" i="2"/>
  <c r="D306" i="2"/>
  <c r="H306" i="2" s="1"/>
  <c r="D264" i="2"/>
  <c r="H264" i="2" s="1"/>
  <c r="D219" i="2"/>
  <c r="D197" i="2"/>
  <c r="D139" i="2"/>
  <c r="D107" i="2"/>
  <c r="D13" i="2"/>
  <c r="D269" i="2"/>
  <c r="H269" i="2" s="1"/>
  <c r="D230" i="2"/>
  <c r="D188" i="2"/>
  <c r="D106" i="2"/>
  <c r="D120" i="2"/>
  <c r="D34" i="2"/>
  <c r="D66" i="2"/>
  <c r="D290" i="2"/>
  <c r="H290" i="2" s="1"/>
  <c r="D254" i="2"/>
  <c r="H254" i="2" s="1"/>
  <c r="D218" i="2"/>
  <c r="D196" i="2"/>
  <c r="D128" i="2"/>
  <c r="D274" i="2"/>
  <c r="H274" i="2" s="1"/>
  <c r="D243" i="2"/>
  <c r="D223" i="2"/>
  <c r="D151" i="2"/>
  <c r="D119" i="2"/>
  <c r="D87" i="2"/>
  <c r="D33" i="2"/>
  <c r="D7" i="2"/>
  <c r="D9" i="2"/>
  <c r="D237" i="2"/>
  <c r="D149" i="2"/>
  <c r="D85" i="2"/>
  <c r="D205" i="2"/>
  <c r="D270" i="2"/>
  <c r="H270" i="2" s="1"/>
  <c r="D201" i="2"/>
  <c r="D109" i="2"/>
  <c r="D227" i="2"/>
  <c r="D284" i="2"/>
  <c r="H284" i="2" s="1"/>
  <c r="D261" i="2"/>
  <c r="H261" i="2" s="1"/>
  <c r="D234" i="2"/>
  <c r="D206" i="2"/>
  <c r="D140" i="2"/>
  <c r="D100" i="2"/>
  <c r="AG100" i="6"/>
  <c r="D70" i="2"/>
  <c r="D64" i="2"/>
  <c r="D121" i="2"/>
  <c r="D362" i="2"/>
  <c r="D53" i="2"/>
  <c r="D36" i="2"/>
  <c r="D169" i="2"/>
  <c r="D321" i="2"/>
  <c r="D302" i="2"/>
  <c r="H302" i="2" s="1"/>
  <c r="D124" i="2"/>
  <c r="D260" i="2"/>
  <c r="H260" i="2" s="1"/>
  <c r="D150" i="2"/>
  <c r="D159" i="2"/>
  <c r="D367" i="2"/>
  <c r="D326" i="2"/>
  <c r="D225" i="2"/>
  <c r="D83" i="2"/>
  <c r="D76" i="2"/>
  <c r="D10" i="2"/>
  <c r="D202" i="2"/>
  <c r="D229" i="2"/>
  <c r="D14" i="2"/>
  <c r="D101" i="2"/>
  <c r="D288" i="2"/>
  <c r="H288" i="2" s="1"/>
  <c r="D148" i="2"/>
  <c r="AG148" i="6"/>
  <c r="D39" i="2"/>
  <c r="D181" i="2"/>
  <c r="D164" i="2"/>
  <c r="D170" i="2"/>
  <c r="D356" i="2"/>
  <c r="D353" i="2"/>
  <c r="D360" i="2"/>
  <c r="D366" i="2"/>
  <c r="D294" i="2"/>
  <c r="H294" i="2" s="1"/>
  <c r="D333" i="2"/>
  <c r="D316" i="2"/>
  <c r="D67" i="2"/>
  <c r="D233" i="2"/>
  <c r="D252" i="2"/>
  <c r="H252" i="2" s="1"/>
  <c r="D90" i="2"/>
  <c r="D283" i="2"/>
  <c r="H283" i="2" s="1"/>
  <c r="D249" i="2"/>
  <c r="H249" i="2" s="1"/>
  <c r="D145" i="2"/>
  <c r="D137" i="2"/>
  <c r="D71" i="2"/>
  <c r="D292" i="2"/>
  <c r="H292" i="2" s="1"/>
  <c r="D271" i="2"/>
  <c r="H271" i="2" s="1"/>
  <c r="D226" i="2"/>
  <c r="D198" i="2"/>
  <c r="D134" i="2"/>
  <c r="D102" i="2"/>
  <c r="D75" i="2"/>
  <c r="D104" i="2"/>
  <c r="D25" i="2"/>
  <c r="D346" i="2"/>
  <c r="AG346" i="6"/>
  <c r="D59" i="2"/>
  <c r="D45" i="2"/>
  <c r="D130" i="2"/>
  <c r="D63" i="2"/>
  <c r="D339" i="2"/>
  <c r="D278" i="2"/>
  <c r="H278" i="2" s="1"/>
  <c r="D298" i="2"/>
  <c r="H298" i="2" s="1"/>
  <c r="D232" i="2"/>
  <c r="D95" i="2"/>
  <c r="AG95" i="6"/>
  <c r="D256" i="2"/>
  <c r="H256" i="2" s="1"/>
  <c r="D217" i="2"/>
  <c r="D239" i="2"/>
  <c r="D29" i="2"/>
  <c r="D35" i="2"/>
  <c r="D173" i="2"/>
  <c r="D156" i="2"/>
  <c r="D162" i="2"/>
  <c r="D364" i="2"/>
  <c r="D345" i="2"/>
  <c r="D352" i="2"/>
  <c r="D358" i="2"/>
  <c r="D325" i="2"/>
  <c r="D324" i="2"/>
  <c r="D305" i="2"/>
  <c r="H305" i="2" s="1"/>
  <c r="D258" i="2"/>
  <c r="H258" i="2" s="1"/>
  <c r="D211" i="2"/>
  <c r="D191" i="2"/>
  <c r="D131" i="2"/>
  <c r="D99" i="2"/>
  <c r="AG99" i="6"/>
  <c r="D8" i="2"/>
  <c r="D255" i="2"/>
  <c r="H255" i="2" s="1"/>
  <c r="D224" i="2"/>
  <c r="D146" i="2"/>
  <c r="D98" i="2"/>
  <c r="D78" i="2"/>
  <c r="D27" i="2"/>
  <c r="D277" i="2"/>
  <c r="H277" i="2" s="1"/>
  <c r="D246" i="2"/>
  <c r="D210" i="2"/>
  <c r="D190" i="2"/>
  <c r="D112" i="2"/>
  <c r="D268" i="2"/>
  <c r="H268" i="2" s="1"/>
  <c r="D240" i="2"/>
  <c r="D215" i="2"/>
  <c r="D143" i="2"/>
  <c r="D111" i="2"/>
  <c r="D73" i="2"/>
  <c r="D26" i="2"/>
  <c r="D5" i="2"/>
  <c r="D28" i="2"/>
  <c r="D303" i="2"/>
  <c r="H303" i="2" s="1"/>
  <c r="D231" i="2"/>
  <c r="D133" i="2"/>
  <c r="D77" i="2"/>
  <c r="D153" i="2"/>
  <c r="D253" i="2"/>
  <c r="H253" i="2" s="1"/>
  <c r="D195" i="2"/>
  <c r="D93" i="2"/>
  <c r="D89" i="2"/>
  <c r="D281" i="2"/>
  <c r="H281" i="2" s="1"/>
  <c r="D250" i="2"/>
  <c r="H250" i="2" s="1"/>
  <c r="D228" i="2"/>
  <c r="D200" i="2"/>
  <c r="D132" i="2"/>
  <c r="D92" i="2"/>
  <c r="D22" i="2"/>
  <c r="D81" i="2"/>
  <c r="AG81" i="6"/>
  <c r="D330" i="2"/>
  <c r="AH330" i="6"/>
  <c r="D43" i="2"/>
  <c r="D62" i="2"/>
  <c r="D37" i="2"/>
  <c r="D57" i="2"/>
  <c r="D168" i="2"/>
  <c r="D334" i="2"/>
  <c r="D272" i="2"/>
  <c r="H272" i="2" s="1"/>
  <c r="D86" i="2"/>
  <c r="D47" i="2"/>
  <c r="D166" i="2"/>
  <c r="D327" i="2"/>
  <c r="D115" i="2"/>
  <c r="D122" i="2"/>
  <c r="D257" i="2"/>
  <c r="H257" i="2" s="1"/>
  <c r="D127" i="2"/>
  <c r="D30" i="2"/>
  <c r="D23" i="2"/>
  <c r="D214" i="2"/>
  <c r="D48" i="2"/>
  <c r="D165" i="2"/>
  <c r="D179" i="2"/>
  <c r="D175" i="2"/>
  <c r="D343" i="2"/>
  <c r="D304" i="2"/>
  <c r="H304" i="2" s="1"/>
  <c r="D337" i="2"/>
  <c r="D336" i="2"/>
  <c r="D350" i="2"/>
  <c r="D355" i="2"/>
  <c r="D317" i="2"/>
  <c r="D332" i="2"/>
  <c r="D129" i="2"/>
  <c r="D154" i="2"/>
  <c r="D74" i="2"/>
  <c r="D301" i="2"/>
  <c r="H301" i="2" s="1"/>
  <c r="D280" i="2"/>
  <c r="H280" i="2" s="1"/>
  <c r="D241" i="2"/>
  <c r="D88" i="2"/>
  <c r="D97" i="2"/>
  <c r="D286" i="2"/>
  <c r="H286" i="2" s="1"/>
  <c r="D265" i="2"/>
  <c r="H265" i="2" s="1"/>
  <c r="D220" i="2"/>
  <c r="D192" i="2"/>
  <c r="D126" i="2"/>
  <c r="D94" i="2"/>
  <c r="D68" i="2"/>
  <c r="D18" i="2"/>
  <c r="D314" i="2"/>
  <c r="D54" i="2"/>
  <c r="D49" i="2"/>
  <c r="AG56" i="6"/>
  <c r="AH315" i="6"/>
  <c r="AG315" i="6"/>
  <c r="AG322" i="6"/>
  <c r="AH347" i="6"/>
  <c r="AH120" i="6"/>
  <c r="S5" i="7"/>
  <c r="S7" i="7"/>
  <c r="S6" i="7"/>
  <c r="E9" i="7"/>
  <c r="H9" i="7" s="1"/>
  <c r="V6" i="7"/>
  <c r="K6" i="7"/>
  <c r="Y6" i="7" s="1"/>
  <c r="V7" i="7"/>
  <c r="AG120" i="6"/>
  <c r="AI81" i="6"/>
  <c r="AH81" i="6"/>
  <c r="AI2" i="6"/>
  <c r="AK8" i="6"/>
  <c r="AI8" i="6"/>
  <c r="H9" i="4" l="1"/>
  <c r="G9" i="4"/>
  <c r="AS1" i="6"/>
  <c r="G254" i="2"/>
  <c r="H254" i="6"/>
  <c r="G254" i="6" s="1"/>
  <c r="AH254" i="6" s="1"/>
  <c r="G276" i="2"/>
  <c r="H276" i="6"/>
  <c r="G276" i="6" s="1"/>
  <c r="G265" i="2"/>
  <c r="H265" i="6"/>
  <c r="G265" i="6" s="1"/>
  <c r="AG265" i="6" s="1"/>
  <c r="G304" i="2"/>
  <c r="H304" i="6"/>
  <c r="G304" i="6" s="1"/>
  <c r="G302" i="2"/>
  <c r="H302" i="6"/>
  <c r="G302" i="6" s="1"/>
  <c r="G295" i="2"/>
  <c r="H295" i="6"/>
  <c r="G295" i="6" s="1"/>
  <c r="G272" i="2"/>
  <c r="H272" i="6"/>
  <c r="G272" i="6" s="1"/>
  <c r="AH272" i="6" s="1"/>
  <c r="G250" i="2"/>
  <c r="H250" i="6"/>
  <c r="G250" i="6" s="1"/>
  <c r="AH250" i="6" s="1"/>
  <c r="G277" i="2"/>
  <c r="H277" i="6"/>
  <c r="G277" i="6" s="1"/>
  <c r="AH277" i="6" s="1"/>
  <c r="G252" i="2"/>
  <c r="H252" i="6"/>
  <c r="G252" i="6" s="1"/>
  <c r="AH252" i="6" s="1"/>
  <c r="G288" i="2"/>
  <c r="H288" i="6"/>
  <c r="G288" i="6" s="1"/>
  <c r="G293" i="2"/>
  <c r="H293" i="6"/>
  <c r="G293" i="6" s="1"/>
  <c r="AG293" i="6" s="1"/>
  <c r="G262" i="2"/>
  <c r="H262" i="6"/>
  <c r="G262" i="6" s="1"/>
  <c r="AG262" i="6" s="1"/>
  <c r="G247" i="2"/>
  <c r="H247" i="6"/>
  <c r="G247" i="6" s="1"/>
  <c r="AH247" i="6" s="1"/>
  <c r="G257" i="2"/>
  <c r="H257" i="6"/>
  <c r="G257" i="6" s="1"/>
  <c r="AH257" i="6" s="1"/>
  <c r="G281" i="2"/>
  <c r="H281" i="6"/>
  <c r="G281" i="6" s="1"/>
  <c r="AH281" i="6" s="1"/>
  <c r="G278" i="2"/>
  <c r="H278" i="6"/>
  <c r="G278" i="6" s="1"/>
  <c r="AG278" i="6" s="1"/>
  <c r="G292" i="2"/>
  <c r="H292" i="6"/>
  <c r="G292" i="6" s="1"/>
  <c r="G264" i="2"/>
  <c r="H264" i="6"/>
  <c r="G264" i="6" s="1"/>
  <c r="AG264" i="6" s="1"/>
  <c r="G296" i="2"/>
  <c r="H296" i="6"/>
  <c r="G296" i="6" s="1"/>
  <c r="AG296" i="6" s="1"/>
  <c r="G291" i="2"/>
  <c r="H291" i="6"/>
  <c r="G291" i="6" s="1"/>
  <c r="AH291" i="6" s="1"/>
  <c r="V9" i="7"/>
  <c r="G269" i="2"/>
  <c r="H269" i="6"/>
  <c r="G269" i="6" s="1"/>
  <c r="AH269" i="6" s="1"/>
  <c r="G280" i="2"/>
  <c r="H280" i="6"/>
  <c r="G280" i="6" s="1"/>
  <c r="AG280" i="6" s="1"/>
  <c r="G305" i="2"/>
  <c r="H305" i="6"/>
  <c r="G305" i="6" s="1"/>
  <c r="AH305" i="6" s="1"/>
  <c r="G283" i="2"/>
  <c r="H283" i="6"/>
  <c r="G283" i="6" s="1"/>
  <c r="G274" i="2"/>
  <c r="H274" i="6"/>
  <c r="G274" i="6" s="1"/>
  <c r="G286" i="2"/>
  <c r="H286" i="6"/>
  <c r="G286" i="6" s="1"/>
  <c r="AG286" i="6" s="1"/>
  <c r="G298" i="2"/>
  <c r="H298" i="6"/>
  <c r="G298" i="6" s="1"/>
  <c r="AG298" i="6" s="1"/>
  <c r="G271" i="2"/>
  <c r="H271" i="6"/>
  <c r="G271" i="6" s="1"/>
  <c r="AG271" i="6" s="1"/>
  <c r="G282" i="2"/>
  <c r="H282" i="6"/>
  <c r="G282" i="6" s="1"/>
  <c r="G303" i="2"/>
  <c r="H303" i="6"/>
  <c r="G303" i="6" s="1"/>
  <c r="AG303" i="6" s="1"/>
  <c r="G270" i="2"/>
  <c r="H270" i="6"/>
  <c r="G270" i="6" s="1"/>
  <c r="AH270" i="6" s="1"/>
  <c r="G306" i="2"/>
  <c r="H306" i="6"/>
  <c r="G306" i="6" s="1"/>
  <c r="AG306" i="6" s="1"/>
  <c r="G267" i="2"/>
  <c r="H267" i="6"/>
  <c r="G267" i="6" s="1"/>
  <c r="G266" i="2"/>
  <c r="H266" i="6"/>
  <c r="G266" i="6" s="1"/>
  <c r="AH266" i="6" s="1"/>
  <c r="G299" i="2"/>
  <c r="H299" i="6"/>
  <c r="G299" i="6" s="1"/>
  <c r="G268" i="2"/>
  <c r="H268" i="6"/>
  <c r="G268" i="6" s="1"/>
  <c r="G300" i="2"/>
  <c r="H300" i="6"/>
  <c r="G300" i="6" s="1"/>
  <c r="AH300" i="6" s="1"/>
  <c r="G301" i="2"/>
  <c r="H301" i="6"/>
  <c r="G301" i="6" s="1"/>
  <c r="AG301" i="6" s="1"/>
  <c r="G253" i="2"/>
  <c r="H253" i="6"/>
  <c r="G253" i="6" s="1"/>
  <c r="AH253" i="6" s="1"/>
  <c r="G258" i="2"/>
  <c r="H258" i="6"/>
  <c r="G258" i="6" s="1"/>
  <c r="AH258" i="6" s="1"/>
  <c r="G249" i="2"/>
  <c r="H249" i="6"/>
  <c r="G249" i="6" s="1"/>
  <c r="AG249" i="6" s="1"/>
  <c r="G294" i="2"/>
  <c r="H294" i="6"/>
  <c r="G294" i="6" s="1"/>
  <c r="AG294" i="6" s="1"/>
  <c r="G260" i="2"/>
  <c r="H260" i="6"/>
  <c r="G260" i="6" s="1"/>
  <c r="AG260" i="6" s="1"/>
  <c r="G261" i="2"/>
  <c r="H261" i="6"/>
  <c r="G261" i="6" s="1"/>
  <c r="AH261" i="6" s="1"/>
  <c r="G248" i="2"/>
  <c r="H248" i="6"/>
  <c r="G248" i="6" s="1"/>
  <c r="G275" i="2"/>
  <c r="H275" i="6"/>
  <c r="G275" i="6" s="1"/>
  <c r="G307" i="2"/>
  <c r="H307" i="6"/>
  <c r="G307" i="6" s="1"/>
  <c r="AH307" i="6" s="1"/>
  <c r="G263" i="2"/>
  <c r="H263" i="6"/>
  <c r="G263" i="6" s="1"/>
  <c r="AG263" i="6" s="1"/>
  <c r="G290" i="2"/>
  <c r="H290" i="6"/>
  <c r="G290" i="6" s="1"/>
  <c r="AG290" i="6" s="1"/>
  <c r="G255" i="2"/>
  <c r="H255" i="6"/>
  <c r="G255" i="6" s="1"/>
  <c r="AH255" i="6" s="1"/>
  <c r="G284" i="2"/>
  <c r="H284" i="6"/>
  <c r="G284" i="6" s="1"/>
  <c r="AG284" i="6" s="1"/>
  <c r="G279" i="2"/>
  <c r="H279" i="6"/>
  <c r="G279" i="6" s="1"/>
  <c r="AH279" i="6" s="1"/>
  <c r="G259" i="2"/>
  <c r="H259" i="6"/>
  <c r="G259" i="6" s="1"/>
  <c r="AH259" i="6" s="1"/>
  <c r="G273" i="2"/>
  <c r="H273" i="6"/>
  <c r="G273" i="6" s="1"/>
  <c r="AH273" i="6" s="1"/>
  <c r="G297" i="2"/>
  <c r="H297" i="6"/>
  <c r="G297" i="6" s="1"/>
  <c r="AG297" i="6" s="1"/>
  <c r="G287" i="2"/>
  <c r="H287" i="6"/>
  <c r="G287" i="6" s="1"/>
  <c r="G256" i="2"/>
  <c r="H256" i="6"/>
  <c r="G256" i="6" s="1"/>
  <c r="G251" i="2"/>
  <c r="H251" i="6"/>
  <c r="G251" i="6" s="1"/>
  <c r="AH251" i="6" s="1"/>
  <c r="G285" i="2"/>
  <c r="H285" i="6"/>
  <c r="G285" i="6" s="1"/>
  <c r="AH285" i="6" s="1"/>
  <c r="G289" i="2"/>
  <c r="H289" i="6"/>
  <c r="G289" i="6" s="1"/>
  <c r="AH289" i="6" s="1"/>
  <c r="AH177" i="6"/>
  <c r="AS2" i="6"/>
  <c r="AH148" i="6"/>
  <c r="AG62" i="6"/>
  <c r="AH62" i="6"/>
  <c r="AH93" i="6"/>
  <c r="AG93" i="6"/>
  <c r="AH77" i="6"/>
  <c r="AG77" i="6"/>
  <c r="AG35" i="6"/>
  <c r="AH35" i="6"/>
  <c r="AG45" i="6"/>
  <c r="AH45" i="6"/>
  <c r="AG64" i="6"/>
  <c r="AH64" i="6"/>
  <c r="AG79" i="6"/>
  <c r="AH79" i="6"/>
  <c r="AH51" i="6"/>
  <c r="AG51" i="6"/>
  <c r="AH69" i="6"/>
  <c r="AG69" i="6"/>
  <c r="AG91" i="6"/>
  <c r="AH91" i="6"/>
  <c r="AH38" i="6"/>
  <c r="AG38" i="6"/>
  <c r="AH47" i="6"/>
  <c r="AG47" i="6"/>
  <c r="AG52" i="6"/>
  <c r="AH52" i="6"/>
  <c r="AG44" i="6"/>
  <c r="AH44" i="6"/>
  <c r="AG37" i="6"/>
  <c r="AH37" i="6"/>
  <c r="AG73" i="6"/>
  <c r="AH73" i="6"/>
  <c r="AH116" i="6"/>
  <c r="AH49" i="6"/>
  <c r="AG49" i="6"/>
  <c r="AG88" i="6"/>
  <c r="AH88" i="6"/>
  <c r="AG54" i="6"/>
  <c r="AH54" i="6"/>
  <c r="AG43" i="6"/>
  <c r="AH43" i="6"/>
  <c r="AH92" i="6"/>
  <c r="AG92" i="6"/>
  <c r="AG59" i="6"/>
  <c r="AH59" i="6"/>
  <c r="AH39" i="6"/>
  <c r="AG39" i="6"/>
  <c r="AH76" i="6"/>
  <c r="AG76" i="6"/>
  <c r="AU70" i="6"/>
  <c r="AH70" i="6"/>
  <c r="AG70" i="6"/>
  <c r="AU85" i="6"/>
  <c r="AG85" i="6"/>
  <c r="AH85" i="6"/>
  <c r="AH46" i="6"/>
  <c r="AG46" i="6"/>
  <c r="AH65" i="6"/>
  <c r="AG65" i="6"/>
  <c r="AH89" i="6"/>
  <c r="AG89" i="6"/>
  <c r="AU82" i="6"/>
  <c r="AG82" i="6"/>
  <c r="AH82" i="6"/>
  <c r="AG53" i="6"/>
  <c r="AH53" i="6"/>
  <c r="AG48" i="6"/>
  <c r="AH48" i="6"/>
  <c r="AG71" i="6"/>
  <c r="AH71" i="6"/>
  <c r="AH67" i="6"/>
  <c r="AG67" i="6"/>
  <c r="AG61" i="6"/>
  <c r="AH61" i="6"/>
  <c r="AG200" i="6"/>
  <c r="AH200" i="6"/>
  <c r="AH78" i="6"/>
  <c r="AG78" i="6"/>
  <c r="AH121" i="6"/>
  <c r="AH57" i="6"/>
  <c r="AG57" i="6"/>
  <c r="AG330" i="6"/>
  <c r="AH63" i="6"/>
  <c r="AG63" i="6"/>
  <c r="AG83" i="6"/>
  <c r="AH83" i="6"/>
  <c r="AH362" i="6"/>
  <c r="AG362" i="6"/>
  <c r="AH55" i="6"/>
  <c r="AG55" i="6"/>
  <c r="AG84" i="6"/>
  <c r="AH84" i="6"/>
  <c r="AG87" i="6"/>
  <c r="AH87" i="6"/>
  <c r="AH41" i="6"/>
  <c r="AG41" i="6"/>
  <c r="AG68" i="6"/>
  <c r="AH68" i="6"/>
  <c r="AG74" i="6"/>
  <c r="AH74" i="6"/>
  <c r="AG60" i="6"/>
  <c r="AH60" i="6"/>
  <c r="AG116" i="6"/>
  <c r="AH86" i="6"/>
  <c r="AG86" i="6"/>
  <c r="AH75" i="6"/>
  <c r="AG75" i="6"/>
  <c r="AG90" i="6"/>
  <c r="AH90" i="6"/>
  <c r="AH36" i="6"/>
  <c r="AG36" i="6"/>
  <c r="AG66" i="6"/>
  <c r="AH66" i="6"/>
  <c r="AH40" i="6"/>
  <c r="AG40" i="6"/>
  <c r="AG80" i="6"/>
  <c r="AH80" i="6"/>
  <c r="AG72" i="6"/>
  <c r="AH72" i="6"/>
  <c r="AG354" i="6"/>
  <c r="AH34" i="6"/>
  <c r="AG312" i="6"/>
  <c r="AH322" i="6"/>
  <c r="AG113" i="6"/>
  <c r="AH28" i="6"/>
  <c r="AG365" i="6"/>
  <c r="AH367" i="6"/>
  <c r="AH100" i="6"/>
  <c r="AG192" i="6"/>
  <c r="AH192" i="6"/>
  <c r="AH101" i="6"/>
  <c r="AG225" i="6"/>
  <c r="AG191" i="6"/>
  <c r="AG140" i="6"/>
  <c r="AH140" i="6"/>
  <c r="AG234" i="6"/>
  <c r="AH201" i="6"/>
  <c r="AH235" i="6"/>
  <c r="AH246" i="6"/>
  <c r="AG107" i="6"/>
  <c r="AG164" i="6"/>
  <c r="AH179" i="6"/>
  <c r="AG114" i="6"/>
  <c r="AH364" i="6"/>
  <c r="AG229" i="6"/>
  <c r="AH142" i="6"/>
  <c r="AH97" i="6"/>
  <c r="AH243" i="6"/>
  <c r="AH356" i="6"/>
  <c r="AG321" i="6"/>
  <c r="AH125" i="6"/>
  <c r="AH95" i="6"/>
  <c r="AG341" i="6"/>
  <c r="AH117" i="6"/>
  <c r="AH204" i="6"/>
  <c r="AH335" i="6"/>
  <c r="AG106" i="6"/>
  <c r="AH361" i="6"/>
  <c r="AG334" i="6"/>
  <c r="AH346" i="6"/>
  <c r="AG132" i="6"/>
  <c r="AH132" i="6"/>
  <c r="AH224" i="6"/>
  <c r="AG224" i="6"/>
  <c r="AH182" i="6"/>
  <c r="AH189" i="6"/>
  <c r="AG189" i="6"/>
  <c r="AH283" i="6"/>
  <c r="AG283" i="6"/>
  <c r="AG26" i="6"/>
  <c r="AH26" i="6"/>
  <c r="AH99" i="6"/>
  <c r="AH136" i="6"/>
  <c r="AH171" i="6"/>
  <c r="AG19" i="6"/>
  <c r="AH19" i="6"/>
  <c r="AH216" i="6"/>
  <c r="AG216" i="6"/>
  <c r="AG314" i="6"/>
  <c r="AH314" i="6"/>
  <c r="AG326" i="6"/>
  <c r="AH326" i="6"/>
  <c r="AH108" i="6"/>
  <c r="AG108" i="6"/>
  <c r="AH24" i="6"/>
  <c r="AG24" i="6"/>
  <c r="AG215" i="6"/>
  <c r="AH215" i="6"/>
  <c r="AH339" i="6"/>
  <c r="AG339" i="6"/>
  <c r="AG360" i="6"/>
  <c r="AH360" i="6"/>
  <c r="AH13" i="6"/>
  <c r="AG13" i="6"/>
  <c r="AG214" i="6"/>
  <c r="AH214" i="6"/>
  <c r="AH217" i="6"/>
  <c r="AG217" i="6"/>
  <c r="AH260" i="6"/>
  <c r="AG342" i="6"/>
  <c r="AH342" i="6"/>
  <c r="AH359" i="6"/>
  <c r="AG359" i="6"/>
  <c r="AH137" i="6"/>
  <c r="AG152" i="6"/>
  <c r="AG222" i="6"/>
  <c r="AH222" i="6"/>
  <c r="AH245" i="6"/>
  <c r="AG245" i="6"/>
  <c r="AG316" i="6"/>
  <c r="AH316" i="6"/>
  <c r="AG204" i="6"/>
  <c r="AG232" i="6"/>
  <c r="AH232" i="6"/>
  <c r="AG143" i="6"/>
  <c r="AG144" i="6"/>
  <c r="AH30" i="6"/>
  <c r="AG30" i="6"/>
  <c r="AG203" i="6"/>
  <c r="AH203" i="6"/>
  <c r="AG333" i="6"/>
  <c r="AH333" i="6"/>
  <c r="AH337" i="6"/>
  <c r="AG337" i="6"/>
  <c r="AG187" i="6"/>
  <c r="AH187" i="6"/>
  <c r="AH349" i="6"/>
  <c r="AG349" i="6"/>
  <c r="AH234" i="6"/>
  <c r="AH207" i="6"/>
  <c r="AG207" i="6"/>
  <c r="AH237" i="6"/>
  <c r="AG237" i="6"/>
  <c r="AG210" i="6"/>
  <c r="AH210" i="6"/>
  <c r="AG355" i="6"/>
  <c r="AH355" i="6"/>
  <c r="AG151" i="6"/>
  <c r="AH27" i="6"/>
  <c r="AG27" i="6"/>
  <c r="AH345" i="6"/>
  <c r="AG345" i="6"/>
  <c r="AG145" i="6"/>
  <c r="AG155" i="6"/>
  <c r="AH159" i="6"/>
  <c r="AG254" i="6"/>
  <c r="AH4" i="6"/>
  <c r="AG4" i="6"/>
  <c r="AG223" i="6"/>
  <c r="AH223" i="6"/>
  <c r="AG169" i="6"/>
  <c r="AG102" i="6"/>
  <c r="AH102" i="6"/>
  <c r="AH249" i="6"/>
  <c r="AH229" i="6"/>
  <c r="AG356" i="6"/>
  <c r="AG213" i="6"/>
  <c r="AH213" i="6"/>
  <c r="AH318" i="6"/>
  <c r="AG318" i="6"/>
  <c r="AG261" i="6"/>
  <c r="AH296" i="6"/>
  <c r="AH188" i="6"/>
  <c r="AG188" i="6"/>
  <c r="AG340" i="6"/>
  <c r="AH340" i="6"/>
  <c r="AG231" i="6"/>
  <c r="AH231" i="6"/>
  <c r="AG212" i="6"/>
  <c r="AH212" i="6"/>
  <c r="AH238" i="6"/>
  <c r="AG238" i="6"/>
  <c r="AG194" i="6"/>
  <c r="AH194" i="6"/>
  <c r="AH309" i="6"/>
  <c r="AG309" i="6"/>
  <c r="AH306" i="6"/>
  <c r="AH350" i="6"/>
  <c r="AG350" i="6"/>
  <c r="AG324" i="6"/>
  <c r="AH324" i="6"/>
  <c r="AG5" i="6"/>
  <c r="AH5" i="6"/>
  <c r="AH21" i="6"/>
  <c r="AG21" i="6"/>
  <c r="AG305" i="6"/>
  <c r="AG10" i="6"/>
  <c r="AH10" i="6"/>
  <c r="AH311" i="6"/>
  <c r="AG311" i="6"/>
  <c r="AG161" i="6"/>
  <c r="AH153" i="6"/>
  <c r="AG29" i="6"/>
  <c r="AH29" i="6"/>
  <c r="AG196" i="6"/>
  <c r="AH196" i="6"/>
  <c r="AH366" i="6"/>
  <c r="AG366" i="6"/>
  <c r="AG233" i="6"/>
  <c r="AH233" i="6"/>
  <c r="AH18" i="6"/>
  <c r="AG18" i="6"/>
  <c r="AG230" i="6"/>
  <c r="AH230" i="6"/>
  <c r="AH208" i="6"/>
  <c r="AG208" i="6"/>
  <c r="AG259" i="6"/>
  <c r="AH191" i="6"/>
  <c r="AG319" i="6"/>
  <c r="AH319" i="6"/>
  <c r="AG197" i="6"/>
  <c r="AH197" i="6"/>
  <c r="AH332" i="6"/>
  <c r="AG332" i="6"/>
  <c r="AG336" i="6"/>
  <c r="AH336" i="6"/>
  <c r="AH128" i="6"/>
  <c r="AG198" i="6"/>
  <c r="AH198" i="6"/>
  <c r="AG227" i="6"/>
  <c r="AH227" i="6"/>
  <c r="AG34" i="6"/>
  <c r="AG121" i="6"/>
  <c r="AG154" i="6"/>
  <c r="L6" i="7"/>
  <c r="Z6" i="7" s="1"/>
  <c r="P6" i="7"/>
  <c r="AD6" i="7" s="1"/>
  <c r="AG162" i="6"/>
  <c r="AH162" i="6"/>
  <c r="AH134" i="6"/>
  <c r="AG134" i="6"/>
  <c r="AG163" i="6"/>
  <c r="AH163" i="6"/>
  <c r="AG174" i="6"/>
  <c r="AH174" i="6"/>
  <c r="AG171" i="6"/>
  <c r="AG125" i="6"/>
  <c r="AH172" i="6"/>
  <c r="AG172" i="6"/>
  <c r="AH127" i="6"/>
  <c r="AG127" i="6"/>
  <c r="AG181" i="6"/>
  <c r="AH181" i="6"/>
  <c r="AG182" i="6"/>
  <c r="AH141" i="6"/>
  <c r="AG141" i="6"/>
  <c r="AH175" i="6"/>
  <c r="AG175" i="6"/>
  <c r="AG184" i="6"/>
  <c r="AH184" i="6"/>
  <c r="W6" i="7"/>
  <c r="S9" i="7"/>
  <c r="AH262" i="6" l="1"/>
  <c r="AH278" i="6"/>
  <c r="AH290" i="6"/>
  <c r="AH298" i="6"/>
  <c r="AG269" i="6"/>
  <c r="AG277" i="6"/>
  <c r="AG258" i="6"/>
  <c r="AH297" i="6"/>
  <c r="AG257" i="6"/>
  <c r="AG289" i="6"/>
  <c r="AG272" i="6"/>
  <c r="AH263" i="6"/>
  <c r="AG300" i="6"/>
  <c r="AH265" i="6"/>
  <c r="AH280" i="6"/>
  <c r="AG266" i="6"/>
  <c r="AH286" i="6"/>
  <c r="AG253" i="6"/>
  <c r="AG285" i="6"/>
  <c r="AH264" i="6"/>
  <c r="AH284" i="6"/>
  <c r="AG291" i="6"/>
  <c r="AG273" i="6"/>
  <c r="AG251" i="6"/>
  <c r="AG270" i="6"/>
  <c r="AH271" i="6"/>
  <c r="AG247" i="6"/>
  <c r="AG252" i="6"/>
  <c r="AH293" i="6"/>
  <c r="AG285" i="2"/>
  <c r="AH285" i="2"/>
  <c r="AH270" i="2"/>
  <c r="AG270" i="2"/>
  <c r="AG250" i="6"/>
  <c r="AH251" i="2"/>
  <c r="AG251" i="2"/>
  <c r="AG273" i="2"/>
  <c r="AH273" i="2"/>
  <c r="AH255" i="2"/>
  <c r="AG255" i="2"/>
  <c r="AG275" i="2"/>
  <c r="AH275" i="2"/>
  <c r="AG294" i="2"/>
  <c r="AH294" i="2"/>
  <c r="AH301" i="2"/>
  <c r="AG301" i="2"/>
  <c r="AG266" i="2"/>
  <c r="AH266" i="2"/>
  <c r="AG303" i="2"/>
  <c r="AH303" i="2"/>
  <c r="AG286" i="2"/>
  <c r="AH286" i="2"/>
  <c r="AG280" i="2"/>
  <c r="AH280" i="2"/>
  <c r="AG296" i="2"/>
  <c r="AH296" i="2"/>
  <c r="AH281" i="2"/>
  <c r="AG281" i="2"/>
  <c r="AG293" i="2"/>
  <c r="AH293" i="2"/>
  <c r="AH250" i="2"/>
  <c r="AG250" i="2"/>
  <c r="AG304" i="2"/>
  <c r="AH304" i="2"/>
  <c r="AH298" i="2"/>
  <c r="AG298" i="2"/>
  <c r="AG259" i="2"/>
  <c r="AH259" i="2"/>
  <c r="AH248" i="2"/>
  <c r="AG248" i="2"/>
  <c r="AG300" i="2"/>
  <c r="AH300" i="2"/>
  <c r="AG282" i="2"/>
  <c r="AH282" i="2"/>
  <c r="AG272" i="2"/>
  <c r="AH272" i="2"/>
  <c r="AG256" i="2"/>
  <c r="AH256" i="2"/>
  <c r="AH257" i="2"/>
  <c r="AG257" i="2"/>
  <c r="AH290" i="2"/>
  <c r="AG290" i="2"/>
  <c r="AG249" i="2"/>
  <c r="AH249" i="2"/>
  <c r="AG267" i="2"/>
  <c r="AH267" i="2"/>
  <c r="AH274" i="2"/>
  <c r="AG274" i="2"/>
  <c r="AH269" i="2"/>
  <c r="AG269" i="2"/>
  <c r="AG264" i="2"/>
  <c r="AH264" i="2"/>
  <c r="AG288" i="2"/>
  <c r="AH288" i="2"/>
  <c r="AG265" i="2"/>
  <c r="AH265" i="2"/>
  <c r="AG289" i="2"/>
  <c r="AH289" i="2"/>
  <c r="AH287" i="2"/>
  <c r="AG287" i="2"/>
  <c r="AH279" i="2"/>
  <c r="AG279" i="2"/>
  <c r="AH263" i="2"/>
  <c r="AG263" i="2"/>
  <c r="AG261" i="2"/>
  <c r="AH261" i="2"/>
  <c r="AH258" i="2"/>
  <c r="AG258" i="2"/>
  <c r="AG268" i="2"/>
  <c r="AH268" i="2"/>
  <c r="AG306" i="2"/>
  <c r="AH306" i="2"/>
  <c r="AH271" i="2"/>
  <c r="AG271" i="2"/>
  <c r="AH283" i="2"/>
  <c r="AG283" i="2"/>
  <c r="AG292" i="2"/>
  <c r="AH292" i="2"/>
  <c r="AH247" i="2"/>
  <c r="AG247" i="2"/>
  <c r="AG252" i="2"/>
  <c r="AH252" i="2"/>
  <c r="AH295" i="2"/>
  <c r="AG295" i="2"/>
  <c r="AH276" i="2"/>
  <c r="AG276" i="2"/>
  <c r="AH301" i="6"/>
  <c r="AG297" i="2"/>
  <c r="AH297" i="2"/>
  <c r="AH284" i="2"/>
  <c r="AG284" i="2"/>
  <c r="AG307" i="2"/>
  <c r="AH307" i="2"/>
  <c r="AH260" i="2"/>
  <c r="AG260" i="2"/>
  <c r="AH253" i="2"/>
  <c r="AG253" i="2"/>
  <c r="AG299" i="2"/>
  <c r="AH299" i="2"/>
  <c r="AH305" i="2"/>
  <c r="AG305" i="2"/>
  <c r="AH291" i="2"/>
  <c r="AG291" i="2"/>
  <c r="AH278" i="2"/>
  <c r="AG278" i="2"/>
  <c r="AH262" i="2"/>
  <c r="AG262" i="2"/>
  <c r="AG277" i="2"/>
  <c r="AH277" i="2"/>
  <c r="AH302" i="2"/>
  <c r="AG302" i="2"/>
  <c r="AH254" i="2"/>
  <c r="AG254" i="2"/>
  <c r="G1" i="6"/>
  <c r="AW82" i="6"/>
  <c r="AY82" i="6"/>
  <c r="AW70" i="6"/>
  <c r="AY70" i="6"/>
  <c r="AW85" i="6"/>
  <c r="AY85" i="6"/>
  <c r="AU83" i="6"/>
  <c r="AU88" i="6"/>
  <c r="AU67" i="6"/>
  <c r="AU69" i="6"/>
  <c r="AU77" i="6"/>
  <c r="AU78" i="6"/>
  <c r="AU66" i="6"/>
  <c r="AU80" i="6"/>
  <c r="AU65" i="6"/>
  <c r="AU76" i="6"/>
  <c r="AU74" i="6"/>
  <c r="AU84" i="6"/>
  <c r="AU89" i="6"/>
  <c r="AU91" i="6"/>
  <c r="AU75" i="6"/>
  <c r="AU71" i="6"/>
  <c r="AU81" i="6"/>
  <c r="AU93" i="6"/>
  <c r="AU68" i="6"/>
  <c r="AU73" i="6"/>
  <c r="AU72" i="6"/>
  <c r="AU90" i="6"/>
  <c r="AU86" i="6"/>
  <c r="AU87" i="6"/>
  <c r="AU92" i="6"/>
  <c r="AU79" i="6"/>
  <c r="AU64" i="6"/>
  <c r="H372" i="6"/>
  <c r="I372" i="6" s="1"/>
  <c r="AH365" i="6"/>
  <c r="AG361" i="6"/>
  <c r="AH341" i="6"/>
  <c r="AG367" i="6"/>
  <c r="AH312" i="6"/>
  <c r="AG335" i="6"/>
  <c r="AH294" i="6"/>
  <c r="AG255" i="6"/>
  <c r="AG246" i="6"/>
  <c r="AG243" i="6"/>
  <c r="AH225" i="6"/>
  <c r="AG159" i="6"/>
  <c r="AH164" i="6"/>
  <c r="AH155" i="6"/>
  <c r="AG136" i="6"/>
  <c r="AH154" i="6"/>
  <c r="AG142" i="6"/>
  <c r="AG117" i="6"/>
  <c r="AH113" i="6"/>
  <c r="AH114" i="6"/>
  <c r="AG179" i="6"/>
  <c r="AG279" i="6"/>
  <c r="AH107" i="6"/>
  <c r="AG101" i="6"/>
  <c r="AG28" i="6"/>
  <c r="AG307" i="6"/>
  <c r="AH303" i="6"/>
  <c r="AG119" i="6"/>
  <c r="AH119" i="6"/>
  <c r="AH106" i="6"/>
  <c r="AH151" i="6"/>
  <c r="AH144" i="6"/>
  <c r="AH145" i="6"/>
  <c r="AH321" i="6"/>
  <c r="AG128" i="6"/>
  <c r="AG281" i="6"/>
  <c r="AH334" i="6"/>
  <c r="AG235" i="6"/>
  <c r="AG97" i="6"/>
  <c r="AG364" i="6"/>
  <c r="AG201" i="6"/>
  <c r="AH344" i="6"/>
  <c r="AG344" i="6"/>
  <c r="AG118" i="6"/>
  <c r="AH118" i="6"/>
  <c r="AH161" i="6"/>
  <c r="AG325" i="6"/>
  <c r="AH325" i="6"/>
  <c r="AG353" i="6"/>
  <c r="AH353" i="6"/>
  <c r="AH276" i="6"/>
  <c r="AG276" i="6"/>
  <c r="AG240" i="6"/>
  <c r="AH240" i="6"/>
  <c r="AH152" i="6"/>
  <c r="AG338" i="6"/>
  <c r="AH338" i="6"/>
  <c r="AG218" i="6"/>
  <c r="AH218" i="6"/>
  <c r="AH143" i="6"/>
  <c r="AH202" i="6"/>
  <c r="AG202" i="6"/>
  <c r="AH348" i="6"/>
  <c r="AG348" i="6"/>
  <c r="AG239" i="6"/>
  <c r="AH239" i="6"/>
  <c r="AG137" i="6"/>
  <c r="AH323" i="6"/>
  <c r="AG323" i="6"/>
  <c r="AH368" i="6"/>
  <c r="AG368" i="6"/>
  <c r="AH310" i="6"/>
  <c r="AG310" i="6"/>
  <c r="AH190" i="6"/>
  <c r="AG190" i="6"/>
  <c r="AG221" i="6"/>
  <c r="AH221" i="6"/>
  <c r="AG199" i="6"/>
  <c r="AH199" i="6"/>
  <c r="AG122" i="6"/>
  <c r="AH122" i="6"/>
  <c r="AH206" i="6"/>
  <c r="AG206" i="6"/>
  <c r="AG112" i="6"/>
  <c r="AH112" i="6"/>
  <c r="AH111" i="6"/>
  <c r="AG111" i="6"/>
  <c r="AG292" i="6"/>
  <c r="AH292" i="6"/>
  <c r="AG123" i="6"/>
  <c r="AH123" i="6"/>
  <c r="AH288" i="6"/>
  <c r="AG288" i="6"/>
  <c r="AG104" i="6"/>
  <c r="AH104" i="6"/>
  <c r="AG103" i="6"/>
  <c r="AH103" i="6"/>
  <c r="AG11" i="6"/>
  <c r="AH11" i="6"/>
  <c r="AG15" i="6"/>
  <c r="AH15" i="6"/>
  <c r="AH9" i="6"/>
  <c r="AG9" i="6"/>
  <c r="AG357" i="6"/>
  <c r="AH357" i="6"/>
  <c r="AH169" i="6"/>
  <c r="AH328" i="6"/>
  <c r="AG328" i="6"/>
  <c r="AH327" i="6"/>
  <c r="AG327" i="6"/>
  <c r="AG16" i="6"/>
  <c r="AH16" i="6"/>
  <c r="AG343" i="6"/>
  <c r="AH343" i="6"/>
  <c r="AG205" i="6"/>
  <c r="AH205" i="6"/>
  <c r="AH22" i="6"/>
  <c r="AG22" i="6"/>
  <c r="AG185" i="6"/>
  <c r="AH185" i="6"/>
  <c r="AH195" i="6"/>
  <c r="AG195" i="6"/>
  <c r="AG8" i="6"/>
  <c r="AH8" i="6"/>
  <c r="AH236" i="6"/>
  <c r="AG236" i="6"/>
  <c r="AG12" i="6"/>
  <c r="AH12" i="6"/>
  <c r="AG14" i="6"/>
  <c r="AH14" i="6"/>
  <c r="AG244" i="6"/>
  <c r="AH244" i="6"/>
  <c r="AH274" i="6"/>
  <c r="AG274" i="6"/>
  <c r="AG308" i="6"/>
  <c r="AH308" i="6"/>
  <c r="AH320" i="6"/>
  <c r="AG320" i="6"/>
  <c r="AG351" i="6"/>
  <c r="AH351" i="6"/>
  <c r="AG302" i="6"/>
  <c r="AH302" i="6"/>
  <c r="AG220" i="6"/>
  <c r="AH220" i="6"/>
  <c r="AH282" i="6"/>
  <c r="AG282" i="6"/>
  <c r="AH193" i="6"/>
  <c r="AG193" i="6"/>
  <c r="AG98" i="6"/>
  <c r="AH98" i="6"/>
  <c r="AH32" i="6"/>
  <c r="AG32" i="6"/>
  <c r="AH96" i="6"/>
  <c r="AG96" i="6"/>
  <c r="AH304" i="6"/>
  <c r="AG304" i="6"/>
  <c r="AG313" i="6"/>
  <c r="AH313" i="6"/>
  <c r="AG275" i="6"/>
  <c r="AH275" i="6"/>
  <c r="AG33" i="6"/>
  <c r="AH33" i="6"/>
  <c r="AG268" i="6"/>
  <c r="AH268" i="6"/>
  <c r="AG7" i="6"/>
  <c r="AH7" i="6"/>
  <c r="AG352" i="6"/>
  <c r="AH352" i="6"/>
  <c r="AG20" i="6"/>
  <c r="AH20" i="6"/>
  <c r="AH358" i="6"/>
  <c r="AG358" i="6"/>
  <c r="AH109" i="6"/>
  <c r="AG109" i="6"/>
  <c r="AH228" i="6"/>
  <c r="AG228" i="6"/>
  <c r="AH23" i="6"/>
  <c r="AG23" i="6"/>
  <c r="AH331" i="6"/>
  <c r="AG331" i="6"/>
  <c r="AG6" i="6"/>
  <c r="AH6" i="6"/>
  <c r="AG115" i="6"/>
  <c r="AH115" i="6"/>
  <c r="AG363" i="6"/>
  <c r="AH363" i="6"/>
  <c r="AH329" i="6"/>
  <c r="AG329" i="6"/>
  <c r="AG153" i="6"/>
  <c r="AH299" i="6"/>
  <c r="AG299" i="6"/>
  <c r="AH105" i="6"/>
  <c r="AG105" i="6"/>
  <c r="AH317" i="6"/>
  <c r="AG317" i="6"/>
  <c r="AH94" i="6"/>
  <c r="AG94" i="6"/>
  <c r="AH295" i="6"/>
  <c r="AG295" i="6"/>
  <c r="AH31" i="6"/>
  <c r="AG31" i="6"/>
  <c r="AG248" i="6"/>
  <c r="AH248" i="6"/>
  <c r="AH242" i="6"/>
  <c r="AG242" i="6"/>
  <c r="AH219" i="6"/>
  <c r="AG219" i="6"/>
  <c r="AH287" i="6"/>
  <c r="AG287" i="6"/>
  <c r="AH226" i="6"/>
  <c r="AG226" i="6"/>
  <c r="AG17" i="6"/>
  <c r="AH17" i="6"/>
  <c r="AG110" i="6"/>
  <c r="AH110" i="6"/>
  <c r="AG186" i="6"/>
  <c r="AH186" i="6"/>
  <c r="AG25" i="6"/>
  <c r="AH25" i="6"/>
  <c r="AH267" i="6"/>
  <c r="AG267" i="6"/>
  <c r="AH209" i="6"/>
  <c r="AG209" i="6"/>
  <c r="AG241" i="6"/>
  <c r="AH241" i="6"/>
  <c r="AG211" i="6"/>
  <c r="AH211" i="6"/>
  <c r="AH256" i="6"/>
  <c r="AG256" i="6"/>
  <c r="AA6" i="7"/>
  <c r="O6" i="7"/>
  <c r="AC6" i="7" s="1"/>
  <c r="AG165" i="6"/>
  <c r="AH165" i="6"/>
  <c r="AH139" i="6"/>
  <c r="AG139" i="6"/>
  <c r="AG176" i="6"/>
  <c r="AH176" i="6"/>
  <c r="AH147" i="6"/>
  <c r="AG147" i="6"/>
  <c r="AG131" i="6"/>
  <c r="AH131" i="6"/>
  <c r="AG129" i="6"/>
  <c r="AH129" i="6"/>
  <c r="AG133" i="6"/>
  <c r="AH133" i="6"/>
  <c r="AH160" i="6"/>
  <c r="AG160" i="6"/>
  <c r="AH173" i="6"/>
  <c r="AG173" i="6"/>
  <c r="AG138" i="6"/>
  <c r="AH138" i="6"/>
  <c r="AH178" i="6"/>
  <c r="AG178" i="6"/>
  <c r="AG180" i="6"/>
  <c r="AH180" i="6"/>
  <c r="AH183" i="6"/>
  <c r="AG183" i="6"/>
  <c r="AG157" i="6"/>
  <c r="AH157" i="6"/>
  <c r="AH156" i="6"/>
  <c r="AG156" i="6"/>
  <c r="AH135" i="6"/>
  <c r="AG135" i="6"/>
  <c r="AH170" i="6"/>
  <c r="AG170" i="6"/>
  <c r="AG126" i="6"/>
  <c r="AH126" i="6"/>
  <c r="AH167" i="6"/>
  <c r="AG167" i="6"/>
  <c r="AG150" i="6"/>
  <c r="AH150" i="6"/>
  <c r="AG166" i="6"/>
  <c r="AH166" i="6"/>
  <c r="AG158" i="6"/>
  <c r="AH158" i="6"/>
  <c r="AG130" i="6"/>
  <c r="AH130" i="6"/>
  <c r="AH146" i="6"/>
  <c r="AG146" i="6"/>
  <c r="AH149" i="6"/>
  <c r="AG149" i="6"/>
  <c r="AG168" i="6"/>
  <c r="AH168" i="6"/>
  <c r="AU1" i="6" l="1"/>
  <c r="AV1" i="6" s="1"/>
  <c r="AW83" i="6"/>
  <c r="AY83" i="6"/>
  <c r="AW77" i="6"/>
  <c r="AY77" i="6"/>
  <c r="AW79" i="6"/>
  <c r="AY79" i="6"/>
  <c r="AW68" i="6"/>
  <c r="AY68" i="6"/>
  <c r="AW74" i="6"/>
  <c r="AY74" i="6"/>
  <c r="AW67" i="6"/>
  <c r="AY67" i="6"/>
  <c r="AW90" i="6"/>
  <c r="AY90" i="6"/>
  <c r="AW75" i="6"/>
  <c r="AY75" i="6"/>
  <c r="AW91" i="6"/>
  <c r="AY91" i="6"/>
  <c r="AW89" i="6"/>
  <c r="AY89" i="6"/>
  <c r="AW64" i="6"/>
  <c r="AY64" i="6"/>
  <c r="AW84" i="6"/>
  <c r="AY84" i="6"/>
  <c r="AW92" i="6"/>
  <c r="AY92" i="6"/>
  <c r="AW93" i="6"/>
  <c r="AY93" i="6"/>
  <c r="AW76" i="6"/>
  <c r="AY76" i="6"/>
  <c r="AW72" i="6"/>
  <c r="AY72" i="6"/>
  <c r="AW73" i="6"/>
  <c r="AY73" i="6"/>
  <c r="AW87" i="6"/>
  <c r="AY87" i="6"/>
  <c r="AW81" i="6"/>
  <c r="AY81" i="6"/>
  <c r="AW65" i="6"/>
  <c r="AY65" i="6"/>
  <c r="AW66" i="6"/>
  <c r="AY66" i="6"/>
  <c r="AW78" i="6"/>
  <c r="AY78" i="6"/>
  <c r="AW69" i="6"/>
  <c r="AY69" i="6"/>
  <c r="AW86" i="6"/>
  <c r="AY86" i="6"/>
  <c r="AW71" i="6"/>
  <c r="AY71" i="6"/>
  <c r="AW80" i="6"/>
  <c r="AY80" i="6"/>
  <c r="AW88" i="6"/>
  <c r="AY88" i="6"/>
  <c r="T8" i="7"/>
  <c r="U8" i="7"/>
  <c r="T5" i="7"/>
  <c r="F9" i="7"/>
  <c r="G5" i="7"/>
  <c r="U5" i="7" s="1"/>
  <c r="K5" i="7"/>
  <c r="Y5" i="7" s="1"/>
  <c r="W5" i="7"/>
  <c r="L5" i="7"/>
  <c r="Z5" i="7" s="1"/>
  <c r="I9" i="7"/>
  <c r="K7" i="7"/>
  <c r="Y7" i="7" s="1"/>
  <c r="W7" i="7"/>
  <c r="L7" i="7"/>
  <c r="Z7" i="7" s="1"/>
  <c r="T7" i="7"/>
  <c r="G7" i="7"/>
  <c r="U7" i="7" s="1"/>
  <c r="L8" i="7"/>
  <c r="Z8" i="7" s="1"/>
  <c r="K8" i="7"/>
  <c r="Y8" i="7" s="1"/>
  <c r="W8" i="7"/>
  <c r="M8" i="7"/>
  <c r="M8" i="4" s="1"/>
  <c r="AY2" i="6" l="1"/>
  <c r="AW2" i="6"/>
  <c r="T9" i="7"/>
  <c r="G9" i="7"/>
  <c r="U9" i="7" s="1"/>
  <c r="P7" i="7"/>
  <c r="AD7" i="7" s="1"/>
  <c r="O7" i="7"/>
  <c r="AC7" i="7" s="1"/>
  <c r="AA7" i="7"/>
  <c r="P8" i="7"/>
  <c r="AD8" i="7" s="1"/>
  <c r="AA8" i="7"/>
  <c r="O8" i="7"/>
  <c r="AC8" i="7" s="1"/>
  <c r="L9" i="7"/>
  <c r="Z9" i="7" s="1"/>
  <c r="K9" i="7"/>
  <c r="Y9" i="7" s="1"/>
  <c r="W9" i="7"/>
  <c r="P5" i="7"/>
  <c r="AD5" i="7" s="1"/>
  <c r="O5" i="7"/>
  <c r="AC5" i="7" s="1"/>
  <c r="M9" i="7"/>
  <c r="AA5" i="7"/>
  <c r="H1" i="2"/>
  <c r="G1" i="2" s="1"/>
  <c r="AB9" i="4"/>
  <c r="AB8" i="4"/>
  <c r="AB7" i="4"/>
  <c r="AB6" i="4"/>
  <c r="AB5" i="4"/>
  <c r="N8" i="4"/>
  <c r="N7" i="4"/>
  <c r="N6" i="4"/>
  <c r="N5" i="4"/>
  <c r="N9" i="4" s="1"/>
  <c r="O32" i="5"/>
  <c r="N32" i="5"/>
  <c r="M32" i="5"/>
  <c r="L32" i="5"/>
  <c r="K32" i="5"/>
  <c r="J32" i="5"/>
  <c r="I32" i="5"/>
  <c r="H32" i="5"/>
  <c r="O31" i="5"/>
  <c r="N31" i="5"/>
  <c r="M31" i="5"/>
  <c r="L31" i="5"/>
  <c r="K31" i="5"/>
  <c r="J31" i="5"/>
  <c r="I31" i="5"/>
  <c r="H31" i="5"/>
  <c r="O30" i="5"/>
  <c r="N30" i="5"/>
  <c r="M30" i="5"/>
  <c r="L30" i="5"/>
  <c r="K30" i="5"/>
  <c r="J30" i="5"/>
  <c r="I30" i="5"/>
  <c r="H30" i="5"/>
  <c r="O29" i="5"/>
  <c r="N29" i="5"/>
  <c r="M29" i="5"/>
  <c r="L29" i="5"/>
  <c r="K29" i="5"/>
  <c r="J29" i="5"/>
  <c r="I29" i="5"/>
  <c r="H29" i="5"/>
  <c r="G32" i="5"/>
  <c r="G31" i="5"/>
  <c r="G30" i="5"/>
  <c r="G29" i="5"/>
  <c r="J8" i="4"/>
  <c r="J7" i="4"/>
  <c r="X7" i="4" s="1"/>
  <c r="J6" i="4"/>
  <c r="X6" i="4" s="1"/>
  <c r="J5" i="4"/>
  <c r="X5" i="4" s="1"/>
  <c r="F32" i="5"/>
  <c r="F31" i="5"/>
  <c r="F30" i="5"/>
  <c r="F29" i="5"/>
  <c r="J1" i="2"/>
  <c r="L1" i="2"/>
  <c r="N1" i="2"/>
  <c r="P1" i="2"/>
  <c r="R1" i="2"/>
  <c r="T1" i="2"/>
  <c r="V1" i="2"/>
  <c r="X1" i="2"/>
  <c r="Z1" i="2"/>
  <c r="AB1" i="2"/>
  <c r="AD1" i="2"/>
  <c r="O9" i="7" l="1"/>
  <c r="AC9" i="7" s="1"/>
  <c r="P9" i="7"/>
  <c r="AD9" i="7" s="1"/>
  <c r="AA9" i="7"/>
  <c r="AE1" i="2"/>
  <c r="J9" i="4"/>
  <c r="X9" i="4" s="1"/>
  <c r="X8" i="4"/>
  <c r="O8" i="4"/>
  <c r="M77" i="2"/>
  <c r="M74" i="2"/>
  <c r="M75" i="2"/>
  <c r="M76" i="2"/>
  <c r="AF1" i="2"/>
  <c r="M73" i="2" l="1"/>
  <c r="S8" i="4"/>
  <c r="S7" i="4"/>
  <c r="T8" i="4"/>
  <c r="T7" i="4"/>
  <c r="R17" i="5"/>
  <c r="T6" i="4"/>
  <c r="M67" i="2"/>
  <c r="M70" i="2"/>
  <c r="M71" i="2"/>
  <c r="C4" i="2"/>
  <c r="C1" i="2" l="1"/>
  <c r="V6" i="4"/>
  <c r="L6" i="4"/>
  <c r="Z6" i="4" s="1"/>
  <c r="T5" i="4"/>
  <c r="V7" i="4"/>
  <c r="G7" i="4"/>
  <c r="U7" i="4" s="1"/>
  <c r="V8" i="4"/>
  <c r="G8" i="4"/>
  <c r="U8" i="4" s="1"/>
  <c r="W6" i="4"/>
  <c r="P6" i="4"/>
  <c r="S6" i="4"/>
  <c r="G6" i="4"/>
  <c r="U6" i="4" s="1"/>
  <c r="T9" i="4" l="1"/>
  <c r="K6" i="4"/>
  <c r="Y6" i="4" s="1"/>
  <c r="P7" i="4"/>
  <c r="W7" i="4"/>
  <c r="L7" i="4"/>
  <c r="Z7" i="4" s="1"/>
  <c r="K7" i="4"/>
  <c r="Y7" i="4" s="1"/>
  <c r="K8" i="4"/>
  <c r="Y8" i="4" s="1"/>
  <c r="W8" i="4"/>
  <c r="P8" i="4"/>
  <c r="L8" i="4"/>
  <c r="Z8" i="4" s="1"/>
  <c r="AD6" i="4"/>
  <c r="AA6" i="4"/>
  <c r="O6" i="4"/>
  <c r="AC6" i="4" s="1"/>
  <c r="M65" i="2"/>
  <c r="AF65" i="2" s="1"/>
  <c r="AF4" i="2"/>
  <c r="AF66" i="2"/>
  <c r="AF67" i="2"/>
  <c r="AF68" i="2"/>
  <c r="AF69" i="2"/>
  <c r="AF70" i="2"/>
  <c r="AF71" i="2"/>
  <c r="AF72" i="2"/>
  <c r="AF73" i="2"/>
  <c r="AF74" i="2"/>
  <c r="AF75" i="2"/>
  <c r="AF76" i="2"/>
  <c r="AF77" i="2"/>
  <c r="AF78" i="2"/>
  <c r="AF79" i="2"/>
  <c r="AF80" i="2"/>
  <c r="AF81" i="2"/>
  <c r="AF82" i="2"/>
  <c r="AF83" i="2"/>
  <c r="AF84" i="2"/>
  <c r="AF85" i="2"/>
  <c r="AI86" i="2"/>
  <c r="AK87" i="2"/>
  <c r="AK88" i="2"/>
  <c r="AK89" i="2"/>
  <c r="AI90" i="2"/>
  <c r="AI91" i="2"/>
  <c r="AI92" i="2"/>
  <c r="AK93" i="2"/>
  <c r="AI94" i="2"/>
  <c r="AI95" i="2"/>
  <c r="AK96" i="2"/>
  <c r="AK97" i="2"/>
  <c r="AK98" i="2"/>
  <c r="AI99" i="2"/>
  <c r="AI100" i="2"/>
  <c r="AI101" i="2"/>
  <c r="AI102" i="2"/>
  <c r="AI103" i="2"/>
  <c r="AI104" i="2"/>
  <c r="AK105" i="2"/>
  <c r="AK106" i="2"/>
  <c r="AI107" i="2"/>
  <c r="AK108" i="2"/>
  <c r="AI109" i="2"/>
  <c r="AI110" i="2"/>
  <c r="AI111" i="2"/>
  <c r="AK112" i="2"/>
  <c r="AK113" i="2"/>
  <c r="AI114" i="2"/>
  <c r="AK115" i="2"/>
  <c r="AI116" i="2"/>
  <c r="AI117" i="2"/>
  <c r="AI118" i="2"/>
  <c r="AI119" i="2"/>
  <c r="AK120" i="2"/>
  <c r="AI121" i="2"/>
  <c r="AK122" i="2"/>
  <c r="AI123" i="2"/>
  <c r="AK124" i="2"/>
  <c r="AK125" i="2"/>
  <c r="AI126" i="2"/>
  <c r="AK127" i="2"/>
  <c r="AK128" i="2"/>
  <c r="AI129" i="2"/>
  <c r="AI130" i="2"/>
  <c r="AK131" i="2"/>
  <c r="AI132" i="2"/>
  <c r="AI133" i="2"/>
  <c r="AI134" i="2"/>
  <c r="AK135" i="2"/>
  <c r="AK136" i="2"/>
  <c r="AI137" i="2"/>
  <c r="AI138" i="2"/>
  <c r="AI139" i="2"/>
  <c r="AK140" i="2"/>
  <c r="AK141" i="2"/>
  <c r="AI142" i="2"/>
  <c r="AK143" i="2"/>
  <c r="AK144" i="2"/>
  <c r="AI145" i="2"/>
  <c r="AK146" i="2"/>
  <c r="AK147" i="2"/>
  <c r="AI148" i="2"/>
  <c r="AI149" i="2"/>
  <c r="AI150" i="2"/>
  <c r="AK151" i="2"/>
  <c r="AK152" i="2"/>
  <c r="AK153" i="2"/>
  <c r="AI154" i="2"/>
  <c r="AI155" i="2"/>
  <c r="AK156" i="2"/>
  <c r="AK157" i="2"/>
  <c r="AI158" i="2"/>
  <c r="AI159" i="2"/>
  <c r="AK160" i="2"/>
  <c r="AK161" i="2"/>
  <c r="AK162" i="2"/>
  <c r="AI163" i="2"/>
  <c r="AI164" i="2"/>
  <c r="AI165" i="2"/>
  <c r="AI166" i="2"/>
  <c r="AI167" i="2"/>
  <c r="AI168" i="2"/>
  <c r="AK169" i="2"/>
  <c r="AK170" i="2"/>
  <c r="AI171" i="2"/>
  <c r="AK172" i="2"/>
  <c r="AK173" i="2"/>
  <c r="AI174" i="2"/>
  <c r="AI175" i="2"/>
  <c r="AK176" i="2"/>
  <c r="AK177" i="2"/>
  <c r="AI178" i="2"/>
  <c r="AI179" i="2"/>
  <c r="AI180" i="2"/>
  <c r="AI181" i="2"/>
  <c r="AI182" i="2"/>
  <c r="AI183" i="2"/>
  <c r="AK184" i="2"/>
  <c r="AI185" i="2"/>
  <c r="AK186" i="2"/>
  <c r="AI187" i="2"/>
  <c r="AI188" i="2"/>
  <c r="AI189" i="2"/>
  <c r="AI190" i="2"/>
  <c r="AI191" i="2"/>
  <c r="AK192" i="2"/>
  <c r="AK193" i="2"/>
  <c r="AI194" i="2"/>
  <c r="AK195" i="2"/>
  <c r="AI196" i="2"/>
  <c r="AI197" i="2"/>
  <c r="AI198" i="2"/>
  <c r="AK199" i="2"/>
  <c r="AK200" i="2"/>
  <c r="AI201" i="2"/>
  <c r="AI202" i="2"/>
  <c r="AI203" i="2"/>
  <c r="AI204" i="2"/>
  <c r="AK205" i="2"/>
  <c r="AI206" i="2"/>
  <c r="AK207" i="2"/>
  <c r="AK208" i="2"/>
  <c r="AK209" i="2"/>
  <c r="AK210" i="2"/>
  <c r="AK211" i="2"/>
  <c r="AI212" i="2"/>
  <c r="AI213" i="2"/>
  <c r="AI214" i="2"/>
  <c r="AI215" i="2"/>
  <c r="AK216" i="2"/>
  <c r="AK217" i="2"/>
  <c r="AI218" i="2"/>
  <c r="AI219" i="2"/>
  <c r="AK220" i="2"/>
  <c r="AK221" i="2"/>
  <c r="AI222" i="2"/>
  <c r="AI223" i="2"/>
  <c r="AK224" i="2"/>
  <c r="AK225" i="2"/>
  <c r="AK226" i="2"/>
  <c r="AI227" i="2"/>
  <c r="AI228" i="2"/>
  <c r="AI229" i="2"/>
  <c r="AI230" i="2"/>
  <c r="AK231" i="2"/>
  <c r="AK232" i="2"/>
  <c r="AI233" i="2"/>
  <c r="AK234" i="2"/>
  <c r="AI235" i="2"/>
  <c r="AK236" i="2"/>
  <c r="AK237" i="2"/>
  <c r="AI238" i="2"/>
  <c r="AI239" i="2"/>
  <c r="AK240" i="2"/>
  <c r="AI241" i="2"/>
  <c r="AI242" i="2"/>
  <c r="AI243" i="2"/>
  <c r="AI244" i="2"/>
  <c r="AI245" i="2"/>
  <c r="AJ368" i="2"/>
  <c r="AJ367" i="2"/>
  <c r="AJ366" i="2"/>
  <c r="AJ365" i="2"/>
  <c r="AJ364" i="2"/>
  <c r="AJ363" i="2"/>
  <c r="AJ362" i="2"/>
  <c r="AJ361" i="2"/>
  <c r="AJ360" i="2"/>
  <c r="AJ359" i="2"/>
  <c r="AJ358" i="2"/>
  <c r="AJ357" i="2"/>
  <c r="AJ356" i="2"/>
  <c r="AJ355" i="2"/>
  <c r="AJ354" i="2"/>
  <c r="AJ353" i="2"/>
  <c r="AJ352" i="2"/>
  <c r="AJ351" i="2"/>
  <c r="AJ350" i="2"/>
  <c r="AJ349" i="2"/>
  <c r="AJ348" i="2"/>
  <c r="AJ347" i="2"/>
  <c r="AJ346" i="2"/>
  <c r="AJ345" i="2"/>
  <c r="AJ344" i="2"/>
  <c r="AJ343" i="2"/>
  <c r="AJ342" i="2"/>
  <c r="AJ341" i="2"/>
  <c r="AJ340" i="2"/>
  <c r="AJ339" i="2"/>
  <c r="AJ338" i="2"/>
  <c r="AJ337" i="2"/>
  <c r="AJ336" i="2"/>
  <c r="AJ335" i="2"/>
  <c r="AJ334" i="2"/>
  <c r="AJ333" i="2"/>
  <c r="AJ332" i="2"/>
  <c r="AJ331" i="2"/>
  <c r="AJ330" i="2"/>
  <c r="AJ329" i="2"/>
  <c r="AJ328" i="2"/>
  <c r="AJ327" i="2"/>
  <c r="AJ326" i="2"/>
  <c r="AJ325" i="2"/>
  <c r="AJ324" i="2"/>
  <c r="AJ323" i="2"/>
  <c r="AJ322" i="2"/>
  <c r="AJ321" i="2"/>
  <c r="AJ320" i="2"/>
  <c r="AJ319" i="2"/>
  <c r="AJ318" i="2"/>
  <c r="AJ317" i="2"/>
  <c r="AJ316" i="2"/>
  <c r="AJ315" i="2"/>
  <c r="AJ314" i="2"/>
  <c r="AJ313" i="2"/>
  <c r="AJ312" i="2"/>
  <c r="AJ311" i="2"/>
  <c r="AJ310" i="2"/>
  <c r="AJ309" i="2"/>
  <c r="AJ308" i="2"/>
  <c r="AJ307" i="2"/>
  <c r="AJ306" i="2"/>
  <c r="AJ305" i="2"/>
  <c r="AJ304" i="2"/>
  <c r="AJ303" i="2"/>
  <c r="AJ302" i="2"/>
  <c r="AJ301" i="2"/>
  <c r="AJ300" i="2"/>
  <c r="AJ299" i="2"/>
  <c r="AJ298" i="2"/>
  <c r="AJ297" i="2"/>
  <c r="AJ296" i="2"/>
  <c r="AJ295" i="2"/>
  <c r="AJ294" i="2"/>
  <c r="AJ293" i="2"/>
  <c r="AJ292" i="2"/>
  <c r="AJ291" i="2"/>
  <c r="AJ290" i="2"/>
  <c r="AJ289" i="2"/>
  <c r="AJ288" i="2"/>
  <c r="AJ287" i="2"/>
  <c r="AJ286" i="2"/>
  <c r="AJ285" i="2"/>
  <c r="AJ284" i="2"/>
  <c r="AJ283" i="2"/>
  <c r="AJ282" i="2"/>
  <c r="AJ281" i="2"/>
  <c r="AJ280" i="2"/>
  <c r="AJ279" i="2"/>
  <c r="AJ278" i="2"/>
  <c r="AJ277" i="2"/>
  <c r="AJ276" i="2"/>
  <c r="AJ275" i="2"/>
  <c r="AJ274" i="2"/>
  <c r="AJ273" i="2"/>
  <c r="AJ272" i="2"/>
  <c r="AJ271" i="2"/>
  <c r="AJ270" i="2"/>
  <c r="AJ269" i="2"/>
  <c r="AJ268" i="2"/>
  <c r="AJ267" i="2"/>
  <c r="AJ266" i="2"/>
  <c r="AJ265" i="2"/>
  <c r="AJ264" i="2"/>
  <c r="AJ263" i="2"/>
  <c r="AJ262" i="2"/>
  <c r="AJ261" i="2"/>
  <c r="AJ260" i="2"/>
  <c r="AJ259" i="2"/>
  <c r="AJ258" i="2"/>
  <c r="AJ257" i="2"/>
  <c r="AJ256" i="2"/>
  <c r="AJ255" i="2"/>
  <c r="AJ254" i="2"/>
  <c r="AJ253" i="2"/>
  <c r="AJ252" i="2"/>
  <c r="AJ251" i="2"/>
  <c r="AJ250" i="2"/>
  <c r="AJ249" i="2"/>
  <c r="AJ248" i="2"/>
  <c r="AJ247" i="2"/>
  <c r="AJ246" i="2"/>
  <c r="AJ245" i="2"/>
  <c r="AJ244" i="2"/>
  <c r="AJ243" i="2"/>
  <c r="AJ242" i="2"/>
  <c r="AJ241" i="2"/>
  <c r="AJ240" i="2"/>
  <c r="AJ239" i="2"/>
  <c r="AJ238" i="2"/>
  <c r="AJ237" i="2"/>
  <c r="AJ236" i="2"/>
  <c r="AJ235" i="2"/>
  <c r="AJ234" i="2"/>
  <c r="AJ233" i="2"/>
  <c r="AJ232" i="2"/>
  <c r="AJ231" i="2"/>
  <c r="AJ230" i="2"/>
  <c r="AJ229" i="2"/>
  <c r="AJ228" i="2"/>
  <c r="AJ227" i="2"/>
  <c r="AJ226" i="2"/>
  <c r="AJ225" i="2"/>
  <c r="AJ224" i="2"/>
  <c r="AJ223" i="2"/>
  <c r="AJ222" i="2"/>
  <c r="AJ221" i="2"/>
  <c r="AJ220" i="2"/>
  <c r="AJ219" i="2"/>
  <c r="AJ218" i="2"/>
  <c r="AJ217" i="2"/>
  <c r="AJ216" i="2"/>
  <c r="AJ215" i="2"/>
  <c r="AJ214" i="2"/>
  <c r="AJ213" i="2"/>
  <c r="AJ212" i="2"/>
  <c r="AJ211" i="2"/>
  <c r="AJ210" i="2"/>
  <c r="AJ209" i="2"/>
  <c r="AJ208" i="2"/>
  <c r="AJ207" i="2"/>
  <c r="AJ206" i="2"/>
  <c r="AJ205" i="2"/>
  <c r="AJ204" i="2"/>
  <c r="AJ203" i="2"/>
  <c r="AJ202" i="2"/>
  <c r="AJ201" i="2"/>
  <c r="AJ200" i="2"/>
  <c r="AJ199" i="2"/>
  <c r="AJ198" i="2"/>
  <c r="AJ197" i="2"/>
  <c r="AJ196" i="2"/>
  <c r="AJ195" i="2"/>
  <c r="AJ194" i="2"/>
  <c r="AJ193" i="2"/>
  <c r="AJ192" i="2"/>
  <c r="AJ191" i="2"/>
  <c r="AJ190" i="2"/>
  <c r="AJ189" i="2"/>
  <c r="AJ188" i="2"/>
  <c r="AJ187" i="2"/>
  <c r="AJ186" i="2"/>
  <c r="AJ185" i="2"/>
  <c r="AJ184" i="2"/>
  <c r="AJ183" i="2"/>
  <c r="AJ182" i="2"/>
  <c r="AJ181" i="2"/>
  <c r="AJ180" i="2"/>
  <c r="AJ179" i="2"/>
  <c r="AJ178" i="2"/>
  <c r="AJ177" i="2"/>
  <c r="AJ176" i="2"/>
  <c r="AJ175" i="2"/>
  <c r="AJ174" i="2"/>
  <c r="AJ173" i="2"/>
  <c r="AJ172" i="2"/>
  <c r="AJ171" i="2"/>
  <c r="AJ170" i="2"/>
  <c r="AJ169" i="2"/>
  <c r="AJ168" i="2"/>
  <c r="AJ167" i="2"/>
  <c r="AJ166" i="2"/>
  <c r="AJ165" i="2"/>
  <c r="AJ164" i="2"/>
  <c r="AJ163" i="2"/>
  <c r="AJ162" i="2"/>
  <c r="AJ161" i="2"/>
  <c r="AJ160" i="2"/>
  <c r="AJ159" i="2"/>
  <c r="AJ158" i="2"/>
  <c r="AJ157" i="2"/>
  <c r="AJ156" i="2"/>
  <c r="AJ155" i="2"/>
  <c r="AJ154" i="2"/>
  <c r="AJ153" i="2"/>
  <c r="AJ152" i="2"/>
  <c r="AJ151" i="2"/>
  <c r="AJ150" i="2"/>
  <c r="AJ149" i="2"/>
  <c r="AJ148" i="2"/>
  <c r="AJ147" i="2"/>
  <c r="AJ146" i="2"/>
  <c r="AJ145" i="2"/>
  <c r="AJ144" i="2"/>
  <c r="AJ143" i="2"/>
  <c r="AJ142" i="2"/>
  <c r="AJ141" i="2"/>
  <c r="AJ140" i="2"/>
  <c r="AJ139" i="2"/>
  <c r="AJ138" i="2"/>
  <c r="AJ137" i="2"/>
  <c r="AJ136" i="2"/>
  <c r="AJ135" i="2"/>
  <c r="AJ134" i="2"/>
  <c r="AJ133" i="2"/>
  <c r="AJ132" i="2"/>
  <c r="AJ131" i="2"/>
  <c r="AJ130" i="2"/>
  <c r="AJ129" i="2"/>
  <c r="AJ128" i="2"/>
  <c r="AJ127" i="2"/>
  <c r="AJ126" i="2"/>
  <c r="AJ125" i="2"/>
  <c r="AJ124" i="2"/>
  <c r="AJ123" i="2"/>
  <c r="AJ122" i="2"/>
  <c r="AJ121" i="2"/>
  <c r="AJ120" i="2"/>
  <c r="AJ119" i="2"/>
  <c r="AJ118" i="2"/>
  <c r="AJ117" i="2"/>
  <c r="AJ116" i="2"/>
  <c r="AJ115" i="2"/>
  <c r="AJ114" i="2"/>
  <c r="AJ113" i="2"/>
  <c r="AJ112" i="2"/>
  <c r="AJ111" i="2"/>
  <c r="AJ110" i="2"/>
  <c r="AJ109" i="2"/>
  <c r="AJ108" i="2"/>
  <c r="AJ107" i="2"/>
  <c r="AJ106" i="2"/>
  <c r="AJ105" i="2"/>
  <c r="AJ104" i="2"/>
  <c r="AJ103" i="2"/>
  <c r="AJ102" i="2"/>
  <c r="AJ101" i="2"/>
  <c r="AJ100" i="2"/>
  <c r="AJ99" i="2"/>
  <c r="AJ98" i="2"/>
  <c r="AJ97" i="2"/>
  <c r="AJ96" i="2"/>
  <c r="AJ95" i="2"/>
  <c r="AJ94" i="2"/>
  <c r="AJ93" i="2"/>
  <c r="AJ92" i="2"/>
  <c r="AJ91" i="2"/>
  <c r="AJ90" i="2"/>
  <c r="AJ89" i="2"/>
  <c r="AJ88" i="2"/>
  <c r="AJ87" i="2"/>
  <c r="AJ86" i="2"/>
  <c r="AJ85" i="2"/>
  <c r="AJ81" i="2"/>
  <c r="AJ80" i="2"/>
  <c r="AJ79" i="2"/>
  <c r="AJ78" i="2"/>
  <c r="AJ77" i="2"/>
  <c r="AJ76" i="2"/>
  <c r="AJ75" i="2"/>
  <c r="AJ74" i="2"/>
  <c r="AJ73" i="2"/>
  <c r="AJ72" i="2"/>
  <c r="AJ71" i="2"/>
  <c r="AJ70" i="2"/>
  <c r="AJ69" i="2"/>
  <c r="AJ68" i="2"/>
  <c r="AJ67" i="2"/>
  <c r="AJ66" i="2"/>
  <c r="AJ65" i="2"/>
  <c r="AJ64" i="2"/>
  <c r="AJ63" i="2"/>
  <c r="AJ62" i="2"/>
  <c r="AJ61" i="2"/>
  <c r="AJ60" i="2"/>
  <c r="AJ59" i="2"/>
  <c r="AJ58" i="2"/>
  <c r="AJ57" i="2"/>
  <c r="AJ56" i="2"/>
  <c r="AJ55" i="2"/>
  <c r="AJ54" i="2"/>
  <c r="AJ53" i="2"/>
  <c r="AJ52" i="2"/>
  <c r="AJ51" i="2"/>
  <c r="AJ50" i="2"/>
  <c r="AJ49" i="2"/>
  <c r="AJ48" i="2"/>
  <c r="AJ47" i="2"/>
  <c r="AJ46" i="2"/>
  <c r="AJ45" i="2"/>
  <c r="AJ44" i="2"/>
  <c r="AJ43" i="2"/>
  <c r="AJ42" i="2"/>
  <c r="AJ41" i="2"/>
  <c r="AJ40" i="2"/>
  <c r="AJ39" i="2"/>
  <c r="AJ38" i="2"/>
  <c r="AJ37" i="2"/>
  <c r="AJ36" i="2"/>
  <c r="AJ35" i="2"/>
  <c r="AJ34" i="2"/>
  <c r="AJ33" i="2"/>
  <c r="AJ32" i="2"/>
  <c r="AJ31" i="2"/>
  <c r="AJ30" i="2"/>
  <c r="AJ29" i="2"/>
  <c r="AJ28" i="2"/>
  <c r="AJ27" i="2"/>
  <c r="AJ26" i="2"/>
  <c r="AJ25" i="2"/>
  <c r="AJ24" i="2"/>
  <c r="AJ23" i="2"/>
  <c r="AJ22" i="2"/>
  <c r="AJ21" i="2"/>
  <c r="AJ20" i="2"/>
  <c r="AJ19" i="2"/>
  <c r="AJ18" i="2"/>
  <c r="AJ17" i="2"/>
  <c r="AJ16" i="2"/>
  <c r="AJ15" i="2"/>
  <c r="AJ14" i="2"/>
  <c r="AJ13" i="2"/>
  <c r="AJ12" i="2"/>
  <c r="AJ11" i="2"/>
  <c r="AJ10" i="2"/>
  <c r="AJ9" i="2"/>
  <c r="AJ8" i="2"/>
  <c r="AJ7" i="2"/>
  <c r="AJ6" i="2"/>
  <c r="AJ5" i="2"/>
  <c r="AJ4" i="2"/>
  <c r="AL368" i="2"/>
  <c r="AL367" i="2"/>
  <c r="AL366" i="2"/>
  <c r="AL365" i="2"/>
  <c r="AL364" i="2"/>
  <c r="AL363" i="2"/>
  <c r="AL362" i="2"/>
  <c r="AL361" i="2"/>
  <c r="AL360" i="2"/>
  <c r="AL359" i="2"/>
  <c r="AL358" i="2"/>
  <c r="AL357" i="2"/>
  <c r="AL356" i="2"/>
  <c r="AL355" i="2"/>
  <c r="AL354" i="2"/>
  <c r="AL353" i="2"/>
  <c r="AL352" i="2"/>
  <c r="AL351" i="2"/>
  <c r="AL350" i="2"/>
  <c r="AL349" i="2"/>
  <c r="AL348" i="2"/>
  <c r="AL347" i="2"/>
  <c r="AL346" i="2"/>
  <c r="AL345" i="2"/>
  <c r="AL344" i="2"/>
  <c r="AL343" i="2"/>
  <c r="AL342" i="2"/>
  <c r="AL341" i="2"/>
  <c r="AL340" i="2"/>
  <c r="AL339" i="2"/>
  <c r="AL338" i="2"/>
  <c r="AL337" i="2"/>
  <c r="AL336" i="2"/>
  <c r="AL335" i="2"/>
  <c r="AL334" i="2"/>
  <c r="AL333" i="2"/>
  <c r="AL332" i="2"/>
  <c r="AL331" i="2"/>
  <c r="AL330" i="2"/>
  <c r="AL329" i="2"/>
  <c r="AL328" i="2"/>
  <c r="AL327" i="2"/>
  <c r="AL326" i="2"/>
  <c r="AL325" i="2"/>
  <c r="AL324" i="2"/>
  <c r="AL323" i="2"/>
  <c r="AL322" i="2"/>
  <c r="AL321" i="2"/>
  <c r="AL320" i="2"/>
  <c r="AL319" i="2"/>
  <c r="AL318" i="2"/>
  <c r="AL317" i="2"/>
  <c r="AL316" i="2"/>
  <c r="AL315" i="2"/>
  <c r="AL314" i="2"/>
  <c r="AL313" i="2"/>
  <c r="AL312" i="2"/>
  <c r="AL311" i="2"/>
  <c r="AL310" i="2"/>
  <c r="AL309" i="2"/>
  <c r="AL308" i="2"/>
  <c r="AL307" i="2"/>
  <c r="AL306" i="2"/>
  <c r="AL305" i="2"/>
  <c r="AL304" i="2"/>
  <c r="AL303" i="2"/>
  <c r="AL302" i="2"/>
  <c r="AL301" i="2"/>
  <c r="AL300" i="2"/>
  <c r="AL299" i="2"/>
  <c r="AL298" i="2"/>
  <c r="AL297" i="2"/>
  <c r="AL296" i="2"/>
  <c r="AL295" i="2"/>
  <c r="AL294" i="2"/>
  <c r="AL293" i="2"/>
  <c r="AL292" i="2"/>
  <c r="AL291" i="2"/>
  <c r="AL290" i="2"/>
  <c r="AL289" i="2"/>
  <c r="AL288" i="2"/>
  <c r="AL287" i="2"/>
  <c r="AL286" i="2"/>
  <c r="AL285" i="2"/>
  <c r="AL284" i="2"/>
  <c r="AL283" i="2"/>
  <c r="AL282" i="2"/>
  <c r="AL281" i="2"/>
  <c r="AL280" i="2"/>
  <c r="AL279" i="2"/>
  <c r="AL278" i="2"/>
  <c r="AL277" i="2"/>
  <c r="AL276" i="2"/>
  <c r="AL275" i="2"/>
  <c r="AL274" i="2"/>
  <c r="AL273" i="2"/>
  <c r="AL272" i="2"/>
  <c r="AL271" i="2"/>
  <c r="AL270" i="2"/>
  <c r="AL269" i="2"/>
  <c r="AL268" i="2"/>
  <c r="AL267" i="2"/>
  <c r="AL266" i="2"/>
  <c r="AL265" i="2"/>
  <c r="AL264" i="2"/>
  <c r="AL263" i="2"/>
  <c r="AL262" i="2"/>
  <c r="AL261" i="2"/>
  <c r="AL260" i="2"/>
  <c r="AL259" i="2"/>
  <c r="AL258" i="2"/>
  <c r="AL257" i="2"/>
  <c r="AL256" i="2"/>
  <c r="AL255" i="2"/>
  <c r="AL254" i="2"/>
  <c r="AL253" i="2"/>
  <c r="AL252" i="2"/>
  <c r="AL251" i="2"/>
  <c r="AL250" i="2"/>
  <c r="AL249" i="2"/>
  <c r="AL248" i="2"/>
  <c r="AL247" i="2"/>
  <c r="AL246" i="2"/>
  <c r="AL245" i="2"/>
  <c r="AL244" i="2"/>
  <c r="AL243" i="2"/>
  <c r="AL242" i="2"/>
  <c r="AL241" i="2"/>
  <c r="AL240" i="2"/>
  <c r="AL239" i="2"/>
  <c r="AL238" i="2"/>
  <c r="AL237" i="2"/>
  <c r="AL236" i="2"/>
  <c r="AL235" i="2"/>
  <c r="AL234" i="2"/>
  <c r="AL233" i="2"/>
  <c r="AL232" i="2"/>
  <c r="AL231" i="2"/>
  <c r="AL230" i="2"/>
  <c r="AL229" i="2"/>
  <c r="AL228" i="2"/>
  <c r="AL227" i="2"/>
  <c r="AL226" i="2"/>
  <c r="AL225" i="2"/>
  <c r="AL224" i="2"/>
  <c r="AL223" i="2"/>
  <c r="AL222" i="2"/>
  <c r="AL221" i="2"/>
  <c r="AL220" i="2"/>
  <c r="AL219" i="2"/>
  <c r="AL218" i="2"/>
  <c r="AL217" i="2"/>
  <c r="AL216" i="2"/>
  <c r="AL215" i="2"/>
  <c r="AL214" i="2"/>
  <c r="AL213" i="2"/>
  <c r="AL212" i="2"/>
  <c r="AL211" i="2"/>
  <c r="AL210" i="2"/>
  <c r="AL209" i="2"/>
  <c r="AL208" i="2"/>
  <c r="AL207" i="2"/>
  <c r="AL206" i="2"/>
  <c r="AL205" i="2"/>
  <c r="AL204" i="2"/>
  <c r="AL203" i="2"/>
  <c r="AL202" i="2"/>
  <c r="AL201" i="2"/>
  <c r="AL200" i="2"/>
  <c r="AL199" i="2"/>
  <c r="AL198" i="2"/>
  <c r="AL197" i="2"/>
  <c r="AL196" i="2"/>
  <c r="AL195" i="2"/>
  <c r="AL194" i="2"/>
  <c r="AL193" i="2"/>
  <c r="AL192" i="2"/>
  <c r="AL191" i="2"/>
  <c r="AL190" i="2"/>
  <c r="AL189" i="2"/>
  <c r="AL188" i="2"/>
  <c r="AL187" i="2"/>
  <c r="AL186" i="2"/>
  <c r="AL185" i="2"/>
  <c r="AL184" i="2"/>
  <c r="AL183" i="2"/>
  <c r="AL182" i="2"/>
  <c r="AL181" i="2"/>
  <c r="AL180" i="2"/>
  <c r="AL179" i="2"/>
  <c r="AL178" i="2"/>
  <c r="AL177" i="2"/>
  <c r="AL176" i="2"/>
  <c r="AL175" i="2"/>
  <c r="AL174" i="2"/>
  <c r="AL173" i="2"/>
  <c r="AL172" i="2"/>
  <c r="AL171" i="2"/>
  <c r="AL170" i="2"/>
  <c r="AL169" i="2"/>
  <c r="AL168" i="2"/>
  <c r="AL167" i="2"/>
  <c r="AL166" i="2"/>
  <c r="AL165" i="2"/>
  <c r="AL164" i="2"/>
  <c r="AL163" i="2"/>
  <c r="AL162" i="2"/>
  <c r="AL161" i="2"/>
  <c r="AL160" i="2"/>
  <c r="AL159" i="2"/>
  <c r="AL158" i="2"/>
  <c r="AL157" i="2"/>
  <c r="AL156" i="2"/>
  <c r="AL155" i="2"/>
  <c r="AL154" i="2"/>
  <c r="AL153" i="2"/>
  <c r="AL152" i="2"/>
  <c r="AL151" i="2"/>
  <c r="AL150" i="2"/>
  <c r="AL149" i="2"/>
  <c r="AL148" i="2"/>
  <c r="AL147" i="2"/>
  <c r="AL146" i="2"/>
  <c r="AL145" i="2"/>
  <c r="AL144" i="2"/>
  <c r="AL143" i="2"/>
  <c r="AL142" i="2"/>
  <c r="AL141" i="2"/>
  <c r="AL140" i="2"/>
  <c r="AL139" i="2"/>
  <c r="AL138" i="2"/>
  <c r="AL137" i="2"/>
  <c r="AL136" i="2"/>
  <c r="AL135" i="2"/>
  <c r="AL134" i="2"/>
  <c r="AL133" i="2"/>
  <c r="AL132" i="2"/>
  <c r="AL131" i="2"/>
  <c r="AL130" i="2"/>
  <c r="AL129" i="2"/>
  <c r="AL128" i="2"/>
  <c r="AL127" i="2"/>
  <c r="AL126" i="2"/>
  <c r="AL125" i="2"/>
  <c r="AL124" i="2"/>
  <c r="AL123" i="2"/>
  <c r="AL122" i="2"/>
  <c r="AL121" i="2"/>
  <c r="AL120" i="2"/>
  <c r="AL119" i="2"/>
  <c r="AL118" i="2"/>
  <c r="AL117" i="2"/>
  <c r="AL116" i="2"/>
  <c r="AL115" i="2"/>
  <c r="AL114" i="2"/>
  <c r="AL113" i="2"/>
  <c r="AL112" i="2"/>
  <c r="AL111" i="2"/>
  <c r="AL110" i="2"/>
  <c r="AL109" i="2"/>
  <c r="AL108" i="2"/>
  <c r="AL107" i="2"/>
  <c r="AL106" i="2"/>
  <c r="AL105" i="2"/>
  <c r="AL104" i="2"/>
  <c r="AL103" i="2"/>
  <c r="AL102" i="2"/>
  <c r="AL101" i="2"/>
  <c r="AL100" i="2"/>
  <c r="AL99" i="2"/>
  <c r="AL98" i="2"/>
  <c r="AL97" i="2"/>
  <c r="AL96" i="2"/>
  <c r="AL95" i="2"/>
  <c r="AL94" i="2"/>
  <c r="AL93" i="2"/>
  <c r="AL92" i="2"/>
  <c r="AL91" i="2"/>
  <c r="AL90" i="2"/>
  <c r="AL89" i="2"/>
  <c r="AL88" i="2"/>
  <c r="AL87" i="2"/>
  <c r="AL86" i="2"/>
  <c r="AL85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L68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L52" i="2"/>
  <c r="AL51" i="2"/>
  <c r="AL50" i="2"/>
  <c r="AL49" i="2"/>
  <c r="AL48" i="2"/>
  <c r="AL47" i="2"/>
  <c r="AL46" i="2"/>
  <c r="AL45" i="2"/>
  <c r="AL44" i="2"/>
  <c r="AL43" i="2"/>
  <c r="AL42" i="2"/>
  <c r="AL41" i="2"/>
  <c r="AL40" i="2"/>
  <c r="AL39" i="2"/>
  <c r="AL38" i="2"/>
  <c r="AL37" i="2"/>
  <c r="AL36" i="2"/>
  <c r="AL35" i="2"/>
  <c r="AL34" i="2"/>
  <c r="AL33" i="2"/>
  <c r="AL32" i="2"/>
  <c r="AL31" i="2"/>
  <c r="AL30" i="2"/>
  <c r="AL29" i="2"/>
  <c r="AL28" i="2"/>
  <c r="AL27" i="2"/>
  <c r="AL26" i="2"/>
  <c r="AL25" i="2"/>
  <c r="AL24" i="2"/>
  <c r="AL23" i="2"/>
  <c r="AL22" i="2"/>
  <c r="AL21" i="2"/>
  <c r="AL20" i="2"/>
  <c r="AL19" i="2"/>
  <c r="AL18" i="2"/>
  <c r="AL17" i="2"/>
  <c r="AL16" i="2"/>
  <c r="AL15" i="2"/>
  <c r="AL14" i="2"/>
  <c r="AL13" i="2"/>
  <c r="AL12" i="2"/>
  <c r="AL11" i="2"/>
  <c r="AL10" i="2"/>
  <c r="AL9" i="2"/>
  <c r="AL8" i="2"/>
  <c r="AL7" i="2"/>
  <c r="AL6" i="2"/>
  <c r="AL5" i="2"/>
  <c r="AL4" i="2"/>
  <c r="AK246" i="2"/>
  <c r="AI246" i="2"/>
  <c r="AI337" i="2"/>
  <c r="AK247" i="2"/>
  <c r="AK248" i="2"/>
  <c r="AI249" i="2"/>
  <c r="AI250" i="2"/>
  <c r="AK251" i="2"/>
  <c r="AK252" i="2"/>
  <c r="AK253" i="2"/>
  <c r="AK254" i="2"/>
  <c r="AK255" i="2"/>
  <c r="AK256" i="2"/>
  <c r="AI257" i="2"/>
  <c r="AI258" i="2"/>
  <c r="AK259" i="2"/>
  <c r="AK260" i="2"/>
  <c r="AK261" i="2"/>
  <c r="AK262" i="2"/>
  <c r="AK263" i="2"/>
  <c r="AK264" i="2"/>
  <c r="AI265" i="2"/>
  <c r="AI266" i="2"/>
  <c r="AK267" i="2"/>
  <c r="AK268" i="2"/>
  <c r="AK269" i="2"/>
  <c r="AK270" i="2"/>
  <c r="AK271" i="2"/>
  <c r="AK272" i="2"/>
  <c r="AI273" i="2"/>
  <c r="AI274" i="2"/>
  <c r="AK275" i="2"/>
  <c r="AK276" i="2"/>
  <c r="AK277" i="2"/>
  <c r="AK278" i="2"/>
  <c r="AK279" i="2"/>
  <c r="AK280" i="2"/>
  <c r="AI281" i="2"/>
  <c r="AI282" i="2"/>
  <c r="AK283" i="2"/>
  <c r="AK284" i="2"/>
  <c r="AK285" i="2"/>
  <c r="AK286" i="2"/>
  <c r="AK287" i="2"/>
  <c r="AK288" i="2"/>
  <c r="AI289" i="2"/>
  <c r="AI290" i="2"/>
  <c r="AK291" i="2"/>
  <c r="AK292" i="2"/>
  <c r="AK293" i="2"/>
  <c r="AK294" i="2"/>
  <c r="AK295" i="2"/>
  <c r="AK296" i="2"/>
  <c r="AI297" i="2"/>
  <c r="AI298" i="2"/>
  <c r="AK299" i="2"/>
  <c r="AK300" i="2"/>
  <c r="AK301" i="2"/>
  <c r="AK302" i="2"/>
  <c r="AK303" i="2"/>
  <c r="AK304" i="2"/>
  <c r="AI305" i="2"/>
  <c r="AI306" i="2"/>
  <c r="AK307" i="2"/>
  <c r="AK308" i="2"/>
  <c r="AK309" i="2"/>
  <c r="AK310" i="2"/>
  <c r="AK311" i="2"/>
  <c r="AK312" i="2"/>
  <c r="AI313" i="2"/>
  <c r="AI314" i="2"/>
  <c r="AK315" i="2"/>
  <c r="AK316" i="2"/>
  <c r="AK317" i="2"/>
  <c r="AK318" i="2"/>
  <c r="AK319" i="2"/>
  <c r="AK320" i="2"/>
  <c r="AI321" i="2"/>
  <c r="AI322" i="2"/>
  <c r="AK323" i="2"/>
  <c r="AK324" i="2"/>
  <c r="AK325" i="2"/>
  <c r="AK326" i="2"/>
  <c r="AK327" i="2"/>
  <c r="AK328" i="2"/>
  <c r="AI329" i="2"/>
  <c r="AI330" i="2"/>
  <c r="AK331" i="2"/>
  <c r="AK332" i="2"/>
  <c r="AK333" i="2"/>
  <c r="AK334" i="2"/>
  <c r="AK335" i="2"/>
  <c r="AK336" i="2"/>
  <c r="AI338" i="2"/>
  <c r="AK339" i="2"/>
  <c r="AK340" i="2"/>
  <c r="AK341" i="2"/>
  <c r="AK342" i="2"/>
  <c r="AK343" i="2"/>
  <c r="AK344" i="2"/>
  <c r="AI345" i="2"/>
  <c r="AI346" i="2"/>
  <c r="AK347" i="2"/>
  <c r="AK348" i="2"/>
  <c r="AK349" i="2"/>
  <c r="AK350" i="2"/>
  <c r="AK351" i="2"/>
  <c r="AK352" i="2"/>
  <c r="AI353" i="2"/>
  <c r="AI354" i="2"/>
  <c r="AK355" i="2"/>
  <c r="AK356" i="2"/>
  <c r="AK357" i="2"/>
  <c r="AK358" i="2"/>
  <c r="AK359" i="2"/>
  <c r="AK360" i="2"/>
  <c r="AI361" i="2"/>
  <c r="AI362" i="2"/>
  <c r="AK363" i="2"/>
  <c r="AK364" i="2"/>
  <c r="AK365" i="2"/>
  <c r="AK366" i="2"/>
  <c r="AK367" i="2"/>
  <c r="AK368" i="2"/>
  <c r="AI85" i="2" l="1"/>
  <c r="AH85" i="2"/>
  <c r="AG85" i="2"/>
  <c r="AH82" i="2"/>
  <c r="AG82" i="2"/>
  <c r="AK82" i="2"/>
  <c r="AI82" i="2"/>
  <c r="AK84" i="2"/>
  <c r="AI84" i="2"/>
  <c r="AH84" i="2"/>
  <c r="AG84" i="2"/>
  <c r="AI83" i="2"/>
  <c r="AH83" i="2"/>
  <c r="AG83" i="2"/>
  <c r="AK83" i="2"/>
  <c r="AI81" i="2"/>
  <c r="AG81" i="2"/>
  <c r="AH81" i="2"/>
  <c r="AK80" i="2"/>
  <c r="AH80" i="2"/>
  <c r="AG80" i="2"/>
  <c r="AG79" i="2"/>
  <c r="AH79" i="2"/>
  <c r="AK79" i="2"/>
  <c r="AI74" i="2"/>
  <c r="AG74" i="2"/>
  <c r="AH74" i="2"/>
  <c r="AI78" i="2"/>
  <c r="AH78" i="2"/>
  <c r="AG78" i="2"/>
  <c r="AK77" i="2"/>
  <c r="AH77" i="2"/>
  <c r="AG77" i="2"/>
  <c r="AI76" i="2"/>
  <c r="AH76" i="2"/>
  <c r="AG76" i="2"/>
  <c r="AI75" i="2"/>
  <c r="AH75" i="2"/>
  <c r="AG75" i="2"/>
  <c r="AD7" i="4"/>
  <c r="AA7" i="4"/>
  <c r="O7" i="4"/>
  <c r="AC7" i="4" s="1"/>
  <c r="AD8" i="4"/>
  <c r="AA8" i="4"/>
  <c r="AC8" i="4"/>
  <c r="AH73" i="2"/>
  <c r="AG73" i="2"/>
  <c r="AK73" i="2"/>
  <c r="AG72" i="2"/>
  <c r="AH72" i="2"/>
  <c r="AK72" i="2"/>
  <c r="AK71" i="2"/>
  <c r="AG71" i="2"/>
  <c r="AH71" i="2"/>
  <c r="AI69" i="2"/>
  <c r="AH69" i="2"/>
  <c r="AG69" i="2"/>
  <c r="AI70" i="2"/>
  <c r="AH70" i="2"/>
  <c r="AG70" i="2"/>
  <c r="AI68" i="2"/>
  <c r="AG68" i="2"/>
  <c r="AH68" i="2"/>
  <c r="AI4" i="2"/>
  <c r="AK67" i="2"/>
  <c r="AH67" i="2"/>
  <c r="AG67" i="2"/>
  <c r="AI66" i="2"/>
  <c r="AH66" i="2"/>
  <c r="AG66" i="2"/>
  <c r="AI65" i="2"/>
  <c r="AJ2" i="2"/>
  <c r="AI147" i="2"/>
  <c r="AI211" i="2"/>
  <c r="AI251" i="2"/>
  <c r="AI259" i="2"/>
  <c r="AI267" i="2"/>
  <c r="AI275" i="2"/>
  <c r="AI283" i="2"/>
  <c r="AI291" i="2"/>
  <c r="AI299" i="2"/>
  <c r="AI307" i="2"/>
  <c r="AI315" i="2"/>
  <c r="AI323" i="2"/>
  <c r="AI331" i="2"/>
  <c r="AI339" i="2"/>
  <c r="AI347" i="2"/>
  <c r="AI355" i="2"/>
  <c r="AI363" i="2"/>
  <c r="AK249" i="2"/>
  <c r="AK257" i="2"/>
  <c r="AK265" i="2"/>
  <c r="AK273" i="2"/>
  <c r="AK281" i="2"/>
  <c r="AK289" i="2"/>
  <c r="AK297" i="2"/>
  <c r="AK305" i="2"/>
  <c r="AK313" i="2"/>
  <c r="AK321" i="2"/>
  <c r="AK329" i="2"/>
  <c r="AK337" i="2"/>
  <c r="AK345" i="2"/>
  <c r="AK353" i="2"/>
  <c r="AK361" i="2"/>
  <c r="AI252" i="2"/>
  <c r="AI260" i="2"/>
  <c r="AI268" i="2"/>
  <c r="AI276" i="2"/>
  <c r="AI284" i="2"/>
  <c r="AI292" i="2"/>
  <c r="AI300" i="2"/>
  <c r="AI308" i="2"/>
  <c r="AI316" i="2"/>
  <c r="AI324" i="2"/>
  <c r="AI332" i="2"/>
  <c r="AI340" i="2"/>
  <c r="AI348" i="2"/>
  <c r="AI356" i="2"/>
  <c r="AI364" i="2"/>
  <c r="AK91" i="2"/>
  <c r="AK155" i="2"/>
  <c r="AK219" i="2"/>
  <c r="AK250" i="2"/>
  <c r="AK258" i="2"/>
  <c r="AK266" i="2"/>
  <c r="AK274" i="2"/>
  <c r="AK282" i="2"/>
  <c r="AK290" i="2"/>
  <c r="AK298" i="2"/>
  <c r="AK306" i="2"/>
  <c r="AK314" i="2"/>
  <c r="AK322" i="2"/>
  <c r="AK330" i="2"/>
  <c r="AK338" i="2"/>
  <c r="AK346" i="2"/>
  <c r="AK354" i="2"/>
  <c r="AK362" i="2"/>
  <c r="AI199" i="2"/>
  <c r="AI253" i="2"/>
  <c r="AI261" i="2"/>
  <c r="AI269" i="2"/>
  <c r="AI277" i="2"/>
  <c r="AI285" i="2"/>
  <c r="AI293" i="2"/>
  <c r="AI301" i="2"/>
  <c r="AI309" i="2"/>
  <c r="AI317" i="2"/>
  <c r="AI325" i="2"/>
  <c r="AI333" i="2"/>
  <c r="AI341" i="2"/>
  <c r="AI349" i="2"/>
  <c r="AI357" i="2"/>
  <c r="AI365" i="2"/>
  <c r="AK99" i="2"/>
  <c r="AK163" i="2"/>
  <c r="AK227" i="2"/>
  <c r="AI254" i="2"/>
  <c r="AI262" i="2"/>
  <c r="AI270" i="2"/>
  <c r="AI278" i="2"/>
  <c r="AI286" i="2"/>
  <c r="AI294" i="2"/>
  <c r="AI302" i="2"/>
  <c r="AI310" i="2"/>
  <c r="AI318" i="2"/>
  <c r="AI326" i="2"/>
  <c r="AI334" i="2"/>
  <c r="AI342" i="2"/>
  <c r="AI350" i="2"/>
  <c r="AI358" i="2"/>
  <c r="AI366" i="2"/>
  <c r="AK107" i="2"/>
  <c r="AK171" i="2"/>
  <c r="AK235" i="2"/>
  <c r="AI247" i="2"/>
  <c r="AI255" i="2"/>
  <c r="AI263" i="2"/>
  <c r="AI271" i="2"/>
  <c r="AI279" i="2"/>
  <c r="AI287" i="2"/>
  <c r="AI295" i="2"/>
  <c r="AI303" i="2"/>
  <c r="AI311" i="2"/>
  <c r="AI319" i="2"/>
  <c r="AI327" i="2"/>
  <c r="AI335" i="2"/>
  <c r="AI343" i="2"/>
  <c r="AI351" i="2"/>
  <c r="AI359" i="2"/>
  <c r="AI367" i="2"/>
  <c r="AK179" i="2"/>
  <c r="AK243" i="2"/>
  <c r="AI248" i="2"/>
  <c r="AI256" i="2"/>
  <c r="AI264" i="2"/>
  <c r="AI272" i="2"/>
  <c r="AI280" i="2"/>
  <c r="AI288" i="2"/>
  <c r="AI296" i="2"/>
  <c r="AI304" i="2"/>
  <c r="AI312" i="2"/>
  <c r="AI320" i="2"/>
  <c r="AI328" i="2"/>
  <c r="AI336" i="2"/>
  <c r="AI344" i="2"/>
  <c r="AI352" i="2"/>
  <c r="AI360" i="2"/>
  <c r="AI368" i="2"/>
  <c r="AK123" i="2"/>
  <c r="AK187" i="2"/>
  <c r="AK75" i="2"/>
  <c r="AK139" i="2"/>
  <c r="AK203" i="2"/>
  <c r="AI135" i="2"/>
  <c r="AK4" i="2"/>
  <c r="AK68" i="2"/>
  <c r="AK76" i="2"/>
  <c r="AK92" i="2"/>
  <c r="AK100" i="2"/>
  <c r="AK116" i="2"/>
  <c r="AK132" i="2"/>
  <c r="AK148" i="2"/>
  <c r="AK164" i="2"/>
  <c r="AK180" i="2"/>
  <c r="AK188" i="2"/>
  <c r="AK196" i="2"/>
  <c r="AK204" i="2"/>
  <c r="AK212" i="2"/>
  <c r="AK228" i="2"/>
  <c r="AK244" i="2"/>
  <c r="AI136" i="2"/>
  <c r="AI200" i="2"/>
  <c r="AK69" i="2"/>
  <c r="AK85" i="2"/>
  <c r="AK101" i="2"/>
  <c r="AK109" i="2"/>
  <c r="AK117" i="2"/>
  <c r="AK133" i="2"/>
  <c r="AK149" i="2"/>
  <c r="AK165" i="2"/>
  <c r="AK181" i="2"/>
  <c r="AK189" i="2"/>
  <c r="AK197" i="2"/>
  <c r="AK213" i="2"/>
  <c r="AK229" i="2"/>
  <c r="AK245" i="2"/>
  <c r="AI120" i="2"/>
  <c r="AI151" i="2"/>
  <c r="AI216" i="2"/>
  <c r="AK70" i="2"/>
  <c r="AK78" i="2"/>
  <c r="AK86" i="2"/>
  <c r="AK94" i="2"/>
  <c r="AK102" i="2"/>
  <c r="AK110" i="2"/>
  <c r="AK118" i="2"/>
  <c r="AK126" i="2"/>
  <c r="AK134" i="2"/>
  <c r="AK142" i="2"/>
  <c r="AK150" i="2"/>
  <c r="AK158" i="2"/>
  <c r="AK166" i="2"/>
  <c r="AK174" i="2"/>
  <c r="AK182" i="2"/>
  <c r="AK190" i="2"/>
  <c r="AK198" i="2"/>
  <c r="AK206" i="2"/>
  <c r="AK214" i="2"/>
  <c r="AK222" i="2"/>
  <c r="AK230" i="2"/>
  <c r="AK238" i="2"/>
  <c r="AI184" i="2"/>
  <c r="AI87" i="2"/>
  <c r="AI152" i="2"/>
  <c r="AI232" i="2"/>
  <c r="AK95" i="2"/>
  <c r="AK103" i="2"/>
  <c r="AK111" i="2"/>
  <c r="AK119" i="2"/>
  <c r="AK159" i="2"/>
  <c r="AK167" i="2"/>
  <c r="AK175" i="2"/>
  <c r="AK183" i="2"/>
  <c r="AK191" i="2"/>
  <c r="AK215" i="2"/>
  <c r="AK223" i="2"/>
  <c r="AK239" i="2"/>
  <c r="AK104" i="2"/>
  <c r="AK168" i="2"/>
  <c r="AK65" i="2"/>
  <c r="AK121" i="2"/>
  <c r="AK129" i="2"/>
  <c r="AK137" i="2"/>
  <c r="AK145" i="2"/>
  <c r="AK185" i="2"/>
  <c r="AK201" i="2"/>
  <c r="AK233" i="2"/>
  <c r="AK241" i="2"/>
  <c r="AK66" i="2"/>
  <c r="AK74" i="2"/>
  <c r="AK90" i="2"/>
  <c r="AK114" i="2"/>
  <c r="AK130" i="2"/>
  <c r="AK138" i="2"/>
  <c r="AK154" i="2"/>
  <c r="AK178" i="2"/>
  <c r="AK194" i="2"/>
  <c r="AK202" i="2"/>
  <c r="AK218" i="2"/>
  <c r="AK242" i="2"/>
  <c r="AI88" i="2"/>
  <c r="AI108" i="2"/>
  <c r="AI124" i="2"/>
  <c r="AI140" i="2"/>
  <c r="AI156" i="2"/>
  <c r="AI172" i="2"/>
  <c r="AI221" i="2"/>
  <c r="AI237" i="2"/>
  <c r="AI71" i="2"/>
  <c r="AI93" i="2"/>
  <c r="AI125" i="2"/>
  <c r="AI141" i="2"/>
  <c r="AI157" i="2"/>
  <c r="AI173" i="2"/>
  <c r="AI205" i="2"/>
  <c r="AG4" i="2"/>
  <c r="AI72" i="2"/>
  <c r="AI127" i="2"/>
  <c r="AI143" i="2"/>
  <c r="AI207" i="2"/>
  <c r="AI224" i="2"/>
  <c r="AI236" i="2"/>
  <c r="AI77" i="2"/>
  <c r="AI96" i="2"/>
  <c r="AI112" i="2"/>
  <c r="AI128" i="2"/>
  <c r="AI144" i="2"/>
  <c r="AI160" i="2"/>
  <c r="AI176" i="2"/>
  <c r="AI192" i="2"/>
  <c r="AI208" i="2"/>
  <c r="AI79" i="2"/>
  <c r="AI220" i="2"/>
  <c r="AI80" i="2"/>
  <c r="AI231" i="2"/>
  <c r="AI73" i="2"/>
  <c r="AI97" i="2"/>
  <c r="AI153" i="2"/>
  <c r="AI177" i="2"/>
  <c r="AI193" i="2"/>
  <c r="AI209" i="2"/>
  <c r="AI98" i="2"/>
  <c r="AI106" i="2"/>
  <c r="AI122" i="2"/>
  <c r="AI146" i="2"/>
  <c r="AI162" i="2"/>
  <c r="AI170" i="2"/>
  <c r="AI186" i="2"/>
  <c r="AI210" i="2"/>
  <c r="AI226" i="2"/>
  <c r="AI234" i="2"/>
  <c r="AI89" i="2"/>
  <c r="AI105" i="2"/>
  <c r="AI113" i="2"/>
  <c r="AI161" i="2"/>
  <c r="AI169" i="2"/>
  <c r="AI217" i="2"/>
  <c r="AI225" i="2"/>
  <c r="AI67" i="2"/>
  <c r="AI115" i="2"/>
  <c r="AI131" i="2"/>
  <c r="AI195" i="2"/>
  <c r="AI240" i="2"/>
  <c r="AH4" i="2"/>
  <c r="M10" i="2" l="1"/>
  <c r="AF10" i="2" s="1"/>
  <c r="AF64" i="2"/>
  <c r="M63" i="2"/>
  <c r="M62" i="2"/>
  <c r="AF62" i="2" s="1"/>
  <c r="M61" i="2"/>
  <c r="AF61" i="2" s="1"/>
  <c r="M60" i="2"/>
  <c r="AF60" i="2" s="1"/>
  <c r="M59" i="2"/>
  <c r="AF59" i="2" s="1"/>
  <c r="M58" i="2"/>
  <c r="AF58" i="2" s="1"/>
  <c r="M57" i="2"/>
  <c r="AF57" i="2" s="1"/>
  <c r="M56" i="2"/>
  <c r="AF56" i="2" s="1"/>
  <c r="M55" i="2"/>
  <c r="AF55" i="2" s="1"/>
  <c r="M54" i="2"/>
  <c r="AF54" i="2" s="1"/>
  <c r="M53" i="2"/>
  <c r="AF53" i="2" s="1"/>
  <c r="M52" i="2"/>
  <c r="AF52" i="2" s="1"/>
  <c r="M51" i="2"/>
  <c r="AF51" i="2" s="1"/>
  <c r="M50" i="2"/>
  <c r="AF50" i="2" s="1"/>
  <c r="M49" i="2"/>
  <c r="AF49" i="2" s="1"/>
  <c r="M48" i="2"/>
  <c r="AF48" i="2" s="1"/>
  <c r="M47" i="2"/>
  <c r="AF47" i="2" s="1"/>
  <c r="M46" i="2"/>
  <c r="AF46" i="2" s="1"/>
  <c r="M45" i="2"/>
  <c r="AF45" i="2" s="1"/>
  <c r="M44" i="2"/>
  <c r="AF44" i="2" s="1"/>
  <c r="M43" i="2"/>
  <c r="AF43" i="2" s="1"/>
  <c r="M42" i="2"/>
  <c r="AF42" i="2" s="1"/>
  <c r="M41" i="2"/>
  <c r="AF41" i="2" s="1"/>
  <c r="M40" i="2"/>
  <c r="AF40" i="2" s="1"/>
  <c r="M39" i="2"/>
  <c r="AF39" i="2" s="1"/>
  <c r="M38" i="2"/>
  <c r="AF38" i="2" s="1"/>
  <c r="M37" i="2"/>
  <c r="AF37" i="2" s="1"/>
  <c r="M36" i="2"/>
  <c r="AF36" i="2" s="1"/>
  <c r="M35" i="2"/>
  <c r="AF35" i="2" s="1"/>
  <c r="S5" i="4" l="1"/>
  <c r="AF63" i="2"/>
  <c r="AK51" i="2"/>
  <c r="AI51" i="2"/>
  <c r="AI36" i="2"/>
  <c r="AK36" i="2"/>
  <c r="AI44" i="2"/>
  <c r="AK44" i="2"/>
  <c r="AI52" i="2"/>
  <c r="AK52" i="2"/>
  <c r="AI60" i="2"/>
  <c r="AK60" i="2"/>
  <c r="AI35" i="2"/>
  <c r="AK35" i="2"/>
  <c r="AI37" i="2"/>
  <c r="AK37" i="2"/>
  <c r="AI45" i="2"/>
  <c r="AK45" i="2"/>
  <c r="AI53" i="2"/>
  <c r="AK53" i="2"/>
  <c r="AI61" i="2"/>
  <c r="AK61" i="2"/>
  <c r="AI43" i="2"/>
  <c r="AK43" i="2"/>
  <c r="AI38" i="2"/>
  <c r="AK38" i="2"/>
  <c r="AI46" i="2"/>
  <c r="AK46" i="2"/>
  <c r="AI54" i="2"/>
  <c r="AK54" i="2"/>
  <c r="AI62" i="2"/>
  <c r="AK62" i="2"/>
  <c r="AK39" i="2"/>
  <c r="AI39" i="2"/>
  <c r="AI59" i="2"/>
  <c r="AK59" i="2"/>
  <c r="AK40" i="2"/>
  <c r="AI40" i="2"/>
  <c r="AK48" i="2"/>
  <c r="AI48" i="2"/>
  <c r="AK56" i="2"/>
  <c r="AI56" i="2"/>
  <c r="AI55" i="2"/>
  <c r="AK55" i="2"/>
  <c r="AK41" i="2"/>
  <c r="AI41" i="2"/>
  <c r="AK49" i="2"/>
  <c r="AI49" i="2"/>
  <c r="AI57" i="2"/>
  <c r="AK57" i="2"/>
  <c r="AK64" i="2"/>
  <c r="AI64" i="2"/>
  <c r="AI47" i="2"/>
  <c r="AK47" i="2"/>
  <c r="AK42" i="2"/>
  <c r="AI42" i="2"/>
  <c r="AI50" i="2"/>
  <c r="AK50" i="2"/>
  <c r="AK58" i="2"/>
  <c r="AI58" i="2"/>
  <c r="AI10" i="2"/>
  <c r="AK10" i="2"/>
  <c r="M17" i="2"/>
  <c r="AF17" i="2" s="1"/>
  <c r="M18" i="2"/>
  <c r="AF18" i="2" s="1"/>
  <c r="M19" i="2"/>
  <c r="AF19" i="2" s="1"/>
  <c r="M20" i="2"/>
  <c r="AF20" i="2" s="1"/>
  <c r="M21" i="2"/>
  <c r="AF21" i="2" s="1"/>
  <c r="M22" i="2"/>
  <c r="AF22" i="2" s="1"/>
  <c r="M23" i="2"/>
  <c r="AF23" i="2" s="1"/>
  <c r="M24" i="2"/>
  <c r="AF24" i="2" s="1"/>
  <c r="M25" i="2"/>
  <c r="AF25" i="2" s="1"/>
  <c r="M26" i="2"/>
  <c r="AF26" i="2" s="1"/>
  <c r="M27" i="2"/>
  <c r="AF27" i="2" s="1"/>
  <c r="M28" i="2"/>
  <c r="AF28" i="2" s="1"/>
  <c r="M29" i="2"/>
  <c r="AF29" i="2" s="1"/>
  <c r="M30" i="2"/>
  <c r="AF30" i="2" s="1"/>
  <c r="M31" i="2"/>
  <c r="AF31" i="2" s="1"/>
  <c r="M32" i="2"/>
  <c r="AF32" i="2" s="1"/>
  <c r="M33" i="2"/>
  <c r="AF33" i="2" s="1"/>
  <c r="M34" i="2"/>
  <c r="AF34" i="2" s="1"/>
  <c r="M16" i="2"/>
  <c r="AF16" i="2" s="1"/>
  <c r="M15" i="2"/>
  <c r="AF15" i="2" s="1"/>
  <c r="M14" i="2"/>
  <c r="AF14" i="2" s="1"/>
  <c r="M13" i="2"/>
  <c r="AF13" i="2" s="1"/>
  <c r="M12" i="2"/>
  <c r="AF12" i="2" s="1"/>
  <c r="M11" i="2"/>
  <c r="AF11" i="2" s="1"/>
  <c r="M9" i="2"/>
  <c r="AF9" i="2" s="1"/>
  <c r="M8" i="2"/>
  <c r="AF8" i="2" s="1"/>
  <c r="M7" i="2"/>
  <c r="AF7" i="2" s="1"/>
  <c r="M6" i="2"/>
  <c r="AF6" i="2" s="1"/>
  <c r="M5" i="2"/>
  <c r="V9" i="4" l="1"/>
  <c r="G5" i="4"/>
  <c r="U5" i="4" s="1"/>
  <c r="V5" i="4"/>
  <c r="K5" i="4"/>
  <c r="Y5" i="4" s="1"/>
  <c r="AI63" i="2"/>
  <c r="AF5" i="2"/>
  <c r="AK63" i="2"/>
  <c r="AK25" i="2"/>
  <c r="AI25" i="2"/>
  <c r="AI11" i="2"/>
  <c r="AK11" i="2"/>
  <c r="AK32" i="2"/>
  <c r="AI32" i="2"/>
  <c r="AK24" i="2"/>
  <c r="AI24" i="2"/>
  <c r="AI18" i="2"/>
  <c r="AK18" i="2"/>
  <c r="AI12" i="2"/>
  <c r="AK12" i="2"/>
  <c r="AI31" i="2"/>
  <c r="AK31" i="2"/>
  <c r="AI23" i="2"/>
  <c r="AK23" i="2"/>
  <c r="AK8" i="2"/>
  <c r="AI8" i="2"/>
  <c r="AI17" i="2"/>
  <c r="AK17" i="2"/>
  <c r="AK13" i="2"/>
  <c r="AI13" i="2"/>
  <c r="AI30" i="2"/>
  <c r="AK30" i="2"/>
  <c r="AI22" i="2"/>
  <c r="AK22" i="2"/>
  <c r="AK33" i="2"/>
  <c r="AI33" i="2"/>
  <c r="AI14" i="2"/>
  <c r="AK14" i="2"/>
  <c r="AK29" i="2"/>
  <c r="AI29" i="2"/>
  <c r="AI21" i="2"/>
  <c r="AK21" i="2"/>
  <c r="AI26" i="2"/>
  <c r="AK26" i="2"/>
  <c r="AI6" i="2"/>
  <c r="AK6" i="2"/>
  <c r="AK15" i="2"/>
  <c r="AI15" i="2"/>
  <c r="AI28" i="2"/>
  <c r="AK28" i="2"/>
  <c r="AI20" i="2"/>
  <c r="AK20" i="2"/>
  <c r="AK34" i="2"/>
  <c r="AH34" i="2"/>
  <c r="AI34" i="2"/>
  <c r="AG34" i="2"/>
  <c r="AI9" i="2"/>
  <c r="AK9" i="2"/>
  <c r="AK7" i="2"/>
  <c r="AI7" i="2"/>
  <c r="AK16" i="2"/>
  <c r="AI16" i="2"/>
  <c r="AI27" i="2"/>
  <c r="AK27" i="2"/>
  <c r="AI19" i="2"/>
  <c r="AK19" i="2"/>
  <c r="AG35" i="2"/>
  <c r="AG46" i="2"/>
  <c r="AG29" i="2"/>
  <c r="AH38" i="2"/>
  <c r="AH6" i="2"/>
  <c r="AG45" i="2"/>
  <c r="AG40" i="2"/>
  <c r="AH40" i="2"/>
  <c r="AH36" i="2"/>
  <c r="AH51" i="2"/>
  <c r="AH8" i="2"/>
  <c r="AG21" i="2"/>
  <c r="AH22" i="2"/>
  <c r="AG14" i="2"/>
  <c r="AH19" i="2"/>
  <c r="AH30" i="2"/>
  <c r="AG38" i="2"/>
  <c r="AH20" i="2"/>
  <c r="AH14" i="2"/>
  <c r="AG22" i="2"/>
  <c r="AH28" i="2"/>
  <c r="AG11" i="2"/>
  <c r="AG24" i="2"/>
  <c r="AG48" i="2"/>
  <c r="AG55" i="2"/>
  <c r="AH24" i="2"/>
  <c r="AH31" i="2"/>
  <c r="AH35" i="2"/>
  <c r="AH48" i="2"/>
  <c r="AH55" i="2"/>
  <c r="AG19" i="2"/>
  <c r="AG28" i="2"/>
  <c r="AH15" i="2"/>
  <c r="AG8" i="2"/>
  <c r="AG13" i="2"/>
  <c r="AG36" i="2"/>
  <c r="AG43" i="2"/>
  <c r="AH44" i="2"/>
  <c r="AH46" i="2"/>
  <c r="AH53" i="2"/>
  <c r="AG20" i="2"/>
  <c r="AG27" i="2"/>
  <c r="AG32" i="2"/>
  <c r="AH39" i="2"/>
  <c r="AH43" i="2"/>
  <c r="AG44" i="2"/>
  <c r="AG52" i="2"/>
  <c r="AG30" i="2"/>
  <c r="AH11" i="2"/>
  <c r="AG16" i="2"/>
  <c r="AH16" i="2"/>
  <c r="AH23" i="2"/>
  <c r="AH27" i="2"/>
  <c r="AH32" i="2"/>
  <c r="AG37" i="2"/>
  <c r="AH47" i="2"/>
  <c r="AH52" i="2"/>
  <c r="AG10" i="2"/>
  <c r="AH13" i="2"/>
  <c r="AG18" i="2"/>
  <c r="AH21" i="2"/>
  <c r="AG26" i="2"/>
  <c r="AH29" i="2"/>
  <c r="AH37" i="2"/>
  <c r="AG42" i="2"/>
  <c r="AH45" i="2"/>
  <c r="AG50" i="2"/>
  <c r="AG7" i="2"/>
  <c r="AH10" i="2"/>
  <c r="AG15" i="2"/>
  <c r="AH18" i="2"/>
  <c r="AG23" i="2"/>
  <c r="AH26" i="2"/>
  <c r="AG31" i="2"/>
  <c r="AG39" i="2"/>
  <c r="AH42" i="2"/>
  <c r="AG47" i="2"/>
  <c r="AH50" i="2"/>
  <c r="AH7" i="2"/>
  <c r="AG12" i="2"/>
  <c r="AG9" i="2"/>
  <c r="AH12" i="2"/>
  <c r="AG17" i="2"/>
  <c r="AG25" i="2"/>
  <c r="AG33" i="2"/>
  <c r="AG41" i="2"/>
  <c r="AG49" i="2"/>
  <c r="AG6" i="2"/>
  <c r="AH9" i="2"/>
  <c r="AH17" i="2"/>
  <c r="AH25" i="2"/>
  <c r="AH33" i="2"/>
  <c r="AH41" i="2"/>
  <c r="AH49" i="2"/>
  <c r="AH57" i="2"/>
  <c r="AG51" i="2"/>
  <c r="AH54" i="2"/>
  <c r="AG54" i="2"/>
  <c r="AG57" i="2"/>
  <c r="AG56" i="2"/>
  <c r="AG53" i="2"/>
  <c r="AH56" i="2"/>
  <c r="U9" i="4" l="1"/>
  <c r="I9" i="4"/>
  <c r="W9" i="4" s="1"/>
  <c r="W5" i="4"/>
  <c r="S9" i="4"/>
  <c r="P5" i="4"/>
  <c r="AD5" i="4" s="1"/>
  <c r="L5" i="4"/>
  <c r="Z5" i="4" s="1"/>
  <c r="AH5" i="2"/>
  <c r="AG5" i="2"/>
  <c r="AI5" i="2"/>
  <c r="AK5" i="2"/>
  <c r="AH61" i="2"/>
  <c r="AH59" i="2"/>
  <c r="AG59" i="2"/>
  <c r="AH60" i="2"/>
  <c r="AG60" i="2"/>
  <c r="AG61" i="2"/>
  <c r="AH62" i="2"/>
  <c r="AG62" i="2"/>
  <c r="AH58" i="2"/>
  <c r="AG58" i="2"/>
  <c r="L9" i="4" l="1"/>
  <c r="Z9" i="4" s="1"/>
  <c r="K9" i="4"/>
  <c r="Y9" i="4" s="1"/>
  <c r="M9" i="4"/>
  <c r="P9" i="4" s="1"/>
  <c r="AD9" i="4" s="1"/>
  <c r="O5" i="4"/>
  <c r="AC5" i="4" s="1"/>
  <c r="AA5" i="4"/>
  <c r="AG65" i="2"/>
  <c r="AH65" i="2"/>
  <c r="AA9" i="4" l="1"/>
  <c r="O9" i="4"/>
  <c r="AC9" i="4" s="1"/>
  <c r="AH64" i="2"/>
  <c r="AG64" i="2"/>
  <c r="AG63" i="2"/>
  <c r="AH63" i="2"/>
  <c r="AG2" i="2" l="1"/>
  <c r="AI2" i="2"/>
  <c r="AG124" i="6" l="1"/>
  <c r="AH124" i="6" l="1"/>
  <c r="AL2" i="6"/>
  <c r="S10" i="7"/>
  <c r="AL81" i="6"/>
  <c r="AK81" i="6"/>
  <c r="E81" i="2"/>
  <c r="AL2" i="2" l="1"/>
  <c r="AL81" i="2"/>
  <c r="S10" i="4"/>
  <c r="AK81" i="2"/>
  <c r="E11" i="7"/>
  <c r="S11" i="7" s="1"/>
  <c r="AK2" i="6"/>
  <c r="AK1" i="6" s="1"/>
  <c r="H11" i="7" s="1"/>
  <c r="V11" i="7" s="1"/>
  <c r="AK2" i="2" l="1"/>
  <c r="E11" i="4"/>
  <c r="S11" i="4" s="1"/>
</calcChain>
</file>

<file path=xl/sharedStrings.xml><?xml version="1.0" encoding="utf-8"?>
<sst xmlns="http://schemas.openxmlformats.org/spreadsheetml/2006/main" count="256" uniqueCount="104">
  <si>
    <t>Global 2025</t>
  </si>
  <si>
    <t>Vta 2025</t>
  </si>
  <si>
    <t>Share diario</t>
  </si>
  <si>
    <t>Global 2026</t>
  </si>
  <si>
    <t>2026</t>
  </si>
  <si>
    <t>Venta Meta 2026</t>
  </si>
  <si>
    <t>Web + APP 2025</t>
  </si>
  <si>
    <t>Web + APP 2026</t>
  </si>
  <si>
    <t>Venta Total 2026</t>
  </si>
  <si>
    <t>Deuda</t>
  </si>
  <si>
    <t>Crecimiento</t>
  </si>
  <si>
    <t>Afiliados 2025</t>
  </si>
  <si>
    <t>Afiliados 2026</t>
  </si>
  <si>
    <t>TMK 2025</t>
  </si>
  <si>
    <t>TMK 2026</t>
  </si>
  <si>
    <t>WA 2025</t>
  </si>
  <si>
    <t>WA 2026</t>
  </si>
  <si>
    <t>Ent. en Tienda 2025</t>
  </si>
  <si>
    <t>Ent. en Tienda 2026</t>
  </si>
  <si>
    <t>Meli Drop 2025</t>
  </si>
  <si>
    <t>Meli Drop 2026</t>
  </si>
  <si>
    <t>Meli Full 2025</t>
  </si>
  <si>
    <t>Meli Full 2026</t>
  </si>
  <si>
    <t>Amazon Drop 2025</t>
  </si>
  <si>
    <t>Amazon Drop 2026</t>
  </si>
  <si>
    <t>Amazon Full 2025</t>
  </si>
  <si>
    <t>Amazon Full 2026</t>
  </si>
  <si>
    <t>TikTok 2025</t>
  </si>
  <si>
    <t>Shein 2025</t>
  </si>
  <si>
    <t>Shein 2026</t>
  </si>
  <si>
    <t>Alcance vs Meta</t>
  </si>
  <si>
    <t>Global YoY</t>
  </si>
  <si>
    <t>Share vs Global 2026</t>
  </si>
  <si>
    <t>Share vs Global 2025</t>
  </si>
  <si>
    <t>Meta Digital</t>
  </si>
  <si>
    <t>Meta MKPlace</t>
  </si>
  <si>
    <t>TikTok 2026</t>
  </si>
  <si>
    <t>Canal</t>
  </si>
  <si>
    <t>Web/APP</t>
  </si>
  <si>
    <t>Marketplace</t>
  </si>
  <si>
    <t>TMK/WA</t>
  </si>
  <si>
    <t>Entrega Tda</t>
  </si>
  <si>
    <t>Real Marzo 26</t>
  </si>
  <si>
    <t>Meta MTD</t>
  </si>
  <si>
    <t>Total</t>
  </si>
  <si>
    <t>Tiendas</t>
  </si>
  <si>
    <t>% Share PS</t>
  </si>
  <si>
    <t>Marzo MTD</t>
  </si>
  <si>
    <t>Marzo Proyección</t>
  </si>
  <si>
    <t>Marzo 26</t>
  </si>
  <si>
    <t>2026 Proyección</t>
  </si>
  <si>
    <t>vs Meta</t>
  </si>
  <si>
    <t>vs 2025</t>
  </si>
  <si>
    <t>Ecommerce</t>
  </si>
  <si>
    <t>WA</t>
  </si>
  <si>
    <t>Entrega en tienda</t>
  </si>
  <si>
    <t>TMK</t>
  </si>
  <si>
    <t>Mercado Libre</t>
  </si>
  <si>
    <t>Amazon</t>
  </si>
  <si>
    <t>TikTok</t>
  </si>
  <si>
    <t>Enero</t>
  </si>
  <si>
    <t>Febrero</t>
  </si>
  <si>
    <t>Marzo</t>
  </si>
  <si>
    <t>Budget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</si>
  <si>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</si>
  <si>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</si>
  <si>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</si>
  <si>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</si>
  <si>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</si>
  <si>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</si>
  <si>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</si>
  <si>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</si>
  <si>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</si>
  <si>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</si>
  <si>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</si>
  <si>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</si>
  <si>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Channel Share</t>
  </si>
  <si>
    <t>Monthly Budget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</si>
  <si>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</si>
  <si>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</si>
  <si>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</si>
  <si>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</si>
  <si>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</si>
  <si>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</si>
  <si>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</si>
  <si>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</si>
  <si>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</si>
  <si>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2+10</t>
  </si>
  <si>
    <t>1.6% PP</t>
  </si>
  <si>
    <t>Meta Total Mes</t>
  </si>
  <si>
    <t>Meta Total 2026</t>
  </si>
  <si>
    <t>ecom</t>
  </si>
  <si>
    <t>mkp</t>
  </si>
  <si>
    <t>Digital 2025</t>
  </si>
  <si>
    <t>MKP 2025</t>
  </si>
  <si>
    <t>Cump Digital</t>
  </si>
  <si>
    <t>YoY Digital</t>
  </si>
  <si>
    <t>Meta Mktp</t>
  </si>
  <si>
    <t>YoY Mktp</t>
  </si>
  <si>
    <t>Cump Mktp</t>
  </si>
  <si>
    <t>Fecha</t>
  </si>
  <si>
    <t>Cump Total</t>
  </si>
  <si>
    <t>Real Digital 2026</t>
  </si>
  <si>
    <t>Real MKP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</si>
</sst>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&quot;$&quot;* #,##0_-;\-&quot;$&quot;* #,##0_-;_-&quot;$&quot;* &quot;-&quot;??_-;_-@_-"/>
    <numFmt numFmtId="165" formatCode="_-* #,##0_-;\-* #,##0_-;_-* &quot;-&quot;??_-;_-@_-"/>
    <numFmt numFmtId="166" formatCode="[$-F800]dddd\,\ mmmm\ dd\,\ yyyy"/>
    <numFmt numFmtId="167" formatCode="0.0%"/>
    <numFmt numFmtId="168" formatCode="&quot;$&quot;#,##0.00"/>
    <numFmt numFmtId="169" formatCode="&quot;$&quot;#,##0.0"/>
    <numFmt numFmtId="170" formatCode="&quot;$&quot;#,##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/>
      <bottom style="thin">
        <color theme="0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1">
    <xf numFmtId="0" fontId="0" fillId="0" borderId="0" xfId="0"/>
    <xf numFmtId="164" fontId="0" fillId="0" borderId="0" xfId="2" applyNumberFormat="1" applyFont="1"/>
    <xf numFmtId="164" fontId="2" fillId="0" borderId="0" xfId="2" applyNumberFormat="1" applyFont="1"/>
    <xf numFmtId="164" fontId="0" fillId="0" borderId="1" xfId="2" applyNumberFormat="1" applyFont="1" applyBorder="1" applyAlignment="1">
      <alignment horizontal="center" vertical="center"/>
    </xf>
    <xf numFmtId="9" fontId="0" fillId="0" borderId="1" xfId="3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5" fontId="0" fillId="0" borderId="0" xfId="1" applyNumberFormat="1" applyFont="1"/>
    <xf numFmtId="166" fontId="0" fillId="0" borderId="3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10" fontId="2" fillId="0" borderId="0" xfId="3" applyNumberFormat="1" applyFont="1"/>
    <xf numFmtId="10" fontId="0" fillId="0" borderId="2" xfId="3" applyNumberFormat="1" applyFont="1" applyBorder="1" applyAlignment="1">
      <alignment horizontal="center" vertical="center"/>
    </xf>
    <xf numFmtId="167" fontId="2" fillId="0" borderId="1" xfId="3" applyNumberFormat="1" applyFont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9" fontId="0" fillId="0" borderId="2" xfId="3" applyFont="1" applyBorder="1" applyAlignment="1">
      <alignment horizontal="center" vertical="center"/>
    </xf>
    <xf numFmtId="167" fontId="2" fillId="4" borderId="1" xfId="3" applyNumberFormat="1" applyFont="1" applyFill="1" applyBorder="1" applyAlignment="1">
      <alignment horizontal="center" vertical="center"/>
    </xf>
    <xf numFmtId="164" fontId="0" fillId="0" borderId="0" xfId="0" applyNumberFormat="1"/>
    <xf numFmtId="0" fontId="5" fillId="2" borderId="3" xfId="0" applyFont="1" applyFill="1" applyBorder="1" applyAlignment="1">
      <alignment horizontal="center" vertical="center"/>
    </xf>
    <xf numFmtId="9" fontId="0" fillId="0" borderId="0" xfId="3" applyFont="1"/>
    <xf numFmtId="167" fontId="0" fillId="0" borderId="0" xfId="3" applyNumberFormat="1" applyFont="1"/>
    <xf numFmtId="44" fontId="0" fillId="0" borderId="0" xfId="0" applyNumberFormat="1"/>
    <xf numFmtId="44" fontId="0" fillId="0" borderId="0" xfId="2" applyFont="1"/>
    <xf numFmtId="0" fontId="2" fillId="6" borderId="8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2" fillId="9" borderId="10" xfId="0" applyFont="1" applyFill="1" applyBorder="1" applyAlignment="1">
      <alignment horizontal="center" vertical="center"/>
    </xf>
    <xf numFmtId="0" fontId="2" fillId="10" borderId="10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0" fontId="5" fillId="8" borderId="8" xfId="0" applyFont="1" applyFill="1" applyBorder="1" applyAlignment="1">
      <alignment horizontal="center" vertical="center" wrapText="1"/>
    </xf>
    <xf numFmtId="0" fontId="5" fillId="8" borderId="8" xfId="0" applyFont="1" applyFill="1" applyBorder="1" applyAlignment="1">
      <alignment horizontal="center" vertical="center"/>
    </xf>
    <xf numFmtId="169" fontId="0" fillId="7" borderId="12" xfId="2" applyNumberFormat="1" applyFont="1" applyFill="1" applyBorder="1" applyAlignment="1">
      <alignment horizontal="center" vertical="center"/>
    </xf>
    <xf numFmtId="167" fontId="0" fillId="7" borderId="12" xfId="3" applyNumberFormat="1" applyFont="1" applyFill="1" applyBorder="1" applyAlignment="1">
      <alignment horizontal="center" vertical="center"/>
    </xf>
    <xf numFmtId="169" fontId="0" fillId="7" borderId="13" xfId="2" applyNumberFormat="1" applyFont="1" applyFill="1" applyBorder="1" applyAlignment="1">
      <alignment horizontal="center" vertical="center"/>
    </xf>
    <xf numFmtId="0" fontId="2" fillId="9" borderId="14" xfId="0" applyFont="1" applyFill="1" applyBorder="1" applyAlignment="1">
      <alignment horizontal="center" vertical="center"/>
    </xf>
    <xf numFmtId="0" fontId="2" fillId="9" borderId="15" xfId="0" applyFont="1" applyFill="1" applyBorder="1" applyAlignment="1">
      <alignment horizontal="center" vertical="center"/>
    </xf>
    <xf numFmtId="167" fontId="0" fillId="7" borderId="16" xfId="3" applyNumberFormat="1" applyFont="1" applyFill="1" applyBorder="1" applyAlignment="1">
      <alignment horizontal="center" vertical="center"/>
    </xf>
    <xf numFmtId="0" fontId="2" fillId="9" borderId="17" xfId="0" applyFont="1" applyFill="1" applyBorder="1" applyAlignment="1">
      <alignment horizontal="center" vertical="center"/>
    </xf>
    <xf numFmtId="169" fontId="0" fillId="7" borderId="18" xfId="2" applyNumberFormat="1" applyFont="1" applyFill="1" applyBorder="1" applyAlignment="1">
      <alignment horizontal="center" vertical="center"/>
    </xf>
    <xf numFmtId="169" fontId="0" fillId="7" borderId="19" xfId="2" applyNumberFormat="1" applyFont="1" applyFill="1" applyBorder="1" applyAlignment="1">
      <alignment horizontal="center" vertical="center"/>
    </xf>
    <xf numFmtId="167" fontId="0" fillId="7" borderId="19" xfId="3" applyNumberFormat="1" applyFont="1" applyFill="1" applyBorder="1" applyAlignment="1">
      <alignment horizontal="center" vertical="center"/>
    </xf>
    <xf numFmtId="167" fontId="0" fillId="7" borderId="20" xfId="3" applyNumberFormat="1" applyFont="1" applyFill="1" applyBorder="1" applyAlignment="1">
      <alignment horizontal="center" vertical="center"/>
    </xf>
    <xf numFmtId="169" fontId="0" fillId="7" borderId="21" xfId="2" applyNumberFormat="1" applyFont="1" applyFill="1" applyBorder="1" applyAlignment="1">
      <alignment horizontal="center" vertical="center"/>
    </xf>
    <xf numFmtId="169" fontId="0" fillId="7" borderId="22" xfId="2" applyNumberFormat="1" applyFont="1" applyFill="1" applyBorder="1" applyAlignment="1">
      <alignment horizontal="center" vertical="center"/>
    </xf>
    <xf numFmtId="167" fontId="0" fillId="7" borderId="22" xfId="3" applyNumberFormat="1" applyFont="1" applyFill="1" applyBorder="1" applyAlignment="1">
      <alignment horizontal="center" vertical="center"/>
    </xf>
    <xf numFmtId="167" fontId="0" fillId="7" borderId="23" xfId="3" applyNumberFormat="1" applyFont="1" applyFill="1" applyBorder="1" applyAlignment="1">
      <alignment horizontal="center" vertical="center"/>
    </xf>
    <xf numFmtId="169" fontId="0" fillId="7" borderId="24" xfId="0" applyNumberFormat="1" applyFill="1" applyBorder="1" applyAlignment="1">
      <alignment horizontal="center" vertical="center"/>
    </xf>
    <xf numFmtId="169" fontId="0" fillId="7" borderId="25" xfId="0" applyNumberFormat="1" applyFill="1" applyBorder="1" applyAlignment="1">
      <alignment horizontal="center" vertical="center"/>
    </xf>
    <xf numFmtId="167" fontId="0" fillId="7" borderId="25" xfId="3" applyNumberFormat="1" applyFont="1" applyFill="1" applyBorder="1" applyAlignment="1">
      <alignment horizontal="center" vertical="center"/>
    </xf>
    <xf numFmtId="167" fontId="0" fillId="7" borderId="26" xfId="3" applyNumberFormat="1" applyFont="1" applyFill="1" applyBorder="1" applyAlignment="1">
      <alignment horizontal="center" vertical="center"/>
    </xf>
    <xf numFmtId="169" fontId="0" fillId="7" borderId="27" xfId="2" applyNumberFormat="1" applyFont="1" applyFill="1" applyBorder="1" applyAlignment="1">
      <alignment horizontal="center" vertical="center"/>
    </xf>
    <xf numFmtId="169" fontId="0" fillId="7" borderId="12" xfId="0" applyNumberFormat="1" applyFill="1" applyBorder="1" applyAlignment="1">
      <alignment horizontal="center" vertical="center"/>
    </xf>
    <xf numFmtId="168" fontId="0" fillId="7" borderId="12" xfId="0" applyNumberFormat="1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167" fontId="0" fillId="7" borderId="28" xfId="3" applyNumberFormat="1" applyFont="1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7" fontId="0" fillId="7" borderId="29" xfId="3" applyNumberFormat="1" applyFont="1" applyFill="1" applyBorder="1" applyAlignment="1">
      <alignment horizontal="center" vertical="center"/>
    </xf>
    <xf numFmtId="0" fontId="0" fillId="7" borderId="30" xfId="0" applyFill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2" fillId="12" borderId="8" xfId="0" applyFont="1" applyFill="1" applyBorder="1" applyAlignment="1">
      <alignment horizontal="center" vertical="center"/>
    </xf>
    <xf numFmtId="0" fontId="0" fillId="7" borderId="0" xfId="0" applyFill="1"/>
    <xf numFmtId="166" fontId="0" fillId="5" borderId="3" xfId="0" applyNumberFormat="1" applyFill="1" applyBorder="1" applyAlignment="1">
      <alignment horizontal="center" vertical="center"/>
    </xf>
    <xf numFmtId="170" fontId="0" fillId="7" borderId="18" xfId="2" applyNumberFormat="1" applyFont="1" applyFill="1" applyBorder="1" applyAlignment="1">
      <alignment horizontal="center" vertical="center"/>
    </xf>
    <xf numFmtId="170" fontId="0" fillId="7" borderId="19" xfId="2" applyNumberFormat="1" applyFont="1" applyFill="1" applyBorder="1" applyAlignment="1">
      <alignment horizontal="center" vertical="center"/>
    </xf>
    <xf numFmtId="170" fontId="0" fillId="7" borderId="13" xfId="2" applyNumberFormat="1" applyFont="1" applyFill="1" applyBorder="1" applyAlignment="1">
      <alignment horizontal="center" vertical="center"/>
    </xf>
    <xf numFmtId="170" fontId="0" fillId="7" borderId="12" xfId="2" applyNumberFormat="1" applyFont="1" applyFill="1" applyBorder="1" applyAlignment="1">
      <alignment horizontal="center" vertical="center"/>
    </xf>
    <xf numFmtId="170" fontId="0" fillId="7" borderId="21" xfId="2" applyNumberFormat="1" applyFont="1" applyFill="1" applyBorder="1" applyAlignment="1">
      <alignment horizontal="center" vertical="center"/>
    </xf>
    <xf numFmtId="170" fontId="0" fillId="7" borderId="22" xfId="2" applyNumberFormat="1" applyFont="1" applyFill="1" applyBorder="1" applyAlignment="1">
      <alignment horizontal="center" vertical="center"/>
    </xf>
    <xf numFmtId="170" fontId="0" fillId="7" borderId="24" xfId="0" applyNumberFormat="1" applyFill="1" applyBorder="1" applyAlignment="1">
      <alignment horizontal="center" vertical="center"/>
    </xf>
    <xf numFmtId="170" fontId="0" fillId="7" borderId="25" xfId="0" applyNumberFormat="1" applyFill="1" applyBorder="1" applyAlignment="1">
      <alignment horizontal="center" vertical="center"/>
    </xf>
    <xf numFmtId="170" fontId="0" fillId="7" borderId="27" xfId="2" applyNumberFormat="1" applyFont="1" applyFill="1" applyBorder="1" applyAlignment="1">
      <alignment horizontal="center" vertical="center"/>
    </xf>
    <xf numFmtId="170" fontId="0" fillId="7" borderId="12" xfId="0" applyNumberFormat="1" applyFill="1" applyBorder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66" fontId="0" fillId="0" borderId="0" xfId="0" applyNumberFormat="1"/>
    <xf numFmtId="9" fontId="0" fillId="0" borderId="0" xfId="0" applyNumberFormat="1"/>
    <xf numFmtId="10" fontId="2" fillId="0" borderId="0" xfId="2" applyNumberFormat="1" applyFont="1"/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31" xfId="0" applyNumberFormat="1" applyBorder="1" applyAlignment="1">
      <alignment horizontal="center" vertical="center"/>
    </xf>
    <xf numFmtId="9" fontId="0" fillId="0" borderId="3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31" xfId="0" applyNumberFormat="1" applyBorder="1" applyAlignment="1">
      <alignment horizontal="center" vertical="center"/>
    </xf>
    <xf numFmtId="164" fontId="2" fillId="15" borderId="7" xfId="0" applyNumberFormat="1" applyFont="1" applyFill="1" applyBorder="1"/>
    <xf numFmtId="10" fontId="2" fillId="15" borderId="7" xfId="0" applyNumberFormat="1" applyFont="1" applyFill="1" applyBorder="1"/>
    <xf numFmtId="170" fontId="0" fillId="0" borderId="0" xfId="0" applyNumberFormat="1"/>
    <xf numFmtId="167" fontId="0" fillId="0" borderId="0" xfId="0" applyNumberFormat="1"/>
    <xf numFmtId="0" fontId="2" fillId="7" borderId="0" xfId="0" applyFont="1" applyFill="1" applyAlignment="1">
      <alignment horizontal="center" vertical="center" wrapText="1"/>
    </xf>
  </cellXfs>
  <cellStyles count="4">
    <cellStyle name="Millares" xfId="1" builtinId="3"/>
    <cellStyle name="Moneda" xfId="2" builtinId="4"/>
    <cellStyle name="Normal" xfId="0" builtinId="0"/>
    <cellStyle name="Porcentaje" xfId="3" builtinId="5"/>
  </cellStyles>
  <dxfs count="11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$-F800]dddd\,\ mmmm\ dd\,\ 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[$-F800]dddd\,\ mmmm\ dd\,\ 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4" formatCode="0.0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[$-F800]dddd\,\ mmmm\ dd\,\ yyyy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6" formatCode="[$-F800]dddd\,\ mmmm\ dd\,\ 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_-&quot;$&quot;* #,##0_-;\-&quot;$&quot;* #,##0_-;_-&quot;$&quot;* &quot;-&quot;??_-;_-@_-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riceshoescorp-my.sharepoint.com/personal/juan_diaz_priceshoes_com/Documents/JCLD/Seguimiento%20Diario%202026%20Desglosado%20Misma%20Fecha.xlsx" TargetMode="External"/><Relationship Id="rId1" Type="http://schemas.openxmlformats.org/officeDocument/2006/relationships/externalLinkPath" Target="Seguimiento%20Diario%202026%20Desglosado%20Misma%20Fech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arbernl\Downloads\Copia%20de%20Seguimiento%20Diario%202026%20Desglosado%20base.xlsx" TargetMode="External"/><Relationship Id="rId1" Type="http://schemas.openxmlformats.org/officeDocument/2006/relationships/externalLinkPath" Target="file:///C:\Users\marbernl\Downloads\Copia%20de%20Seguimiento%20Diario%202026%20Desglosado%20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"/>
      <sheetName val="Dashboard"/>
      <sheetName val="Hoja1"/>
    </sheetNames>
    <sheetDataSet>
      <sheetData sheetId="0"/>
      <sheetData sheetId="1"/>
      <sheetData sheetId="2">
        <row r="31">
          <cell r="F31">
            <v>2.4902228570480869E-2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D"/>
      <sheetName val="Analisis"/>
      <sheetName val="Dashboard"/>
      <sheetName val="Copia de Seguimiento Diario 202"/>
    </sheetNames>
    <sheetDataSet>
      <sheetData sheetId="0"/>
      <sheetData sheetId="1"/>
      <sheetData sheetId="2"/>
      <sheetData sheetId="3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4901442-91D0-42C6-A2F4-27FE48803752}" name="Tabla2" displayName="Tabla2" ref="B3:AL368" totalsRowShown="0" headerRowDxfId="117" dataDxfId="115" headerRowBorderDxfId="116" tableBorderDxfId="114" dataCellStyle="Porcentaje">
  <autoFilter ref="B3:AL368" xr:uid="{64901442-91D0-42C6-A2F4-27FE48803752}"/>
  <tableColumns count="37">
    <tableColumn id="43" xr3:uid="{7AF1959F-6128-4B45-A822-3668B66B4E8F}" name="Global 2025" dataDxfId="113" dataCellStyle="Moneda"/>
    <tableColumn id="2" xr3:uid="{2D40301D-7663-476A-B0EB-CAEB8768A44F}" name="Vta 2025" dataDxfId="112" dataCellStyle="Moneda">
      <calculatedColumnFormula>+J4+L4+N4+P4+R4+T4+V4+X4+Z4+AB4+AD4</calculatedColumnFormula>
    </tableColumn>
    <tableColumn id="4" xr3:uid="{9D09435D-087F-44F9-B7C9-9D4D007C79CB}" name="Share diario" dataDxfId="111" dataCellStyle="Porcentaje">
      <calculatedColumnFormula>+Tabla22[[#This Row],[Share diario]]</calculatedColumnFormula>
    </tableColumn>
    <tableColumn id="44" xr3:uid="{5EEE2466-EE27-4DA6-B14B-FD728A1F6C55}" name="Global 2026" dataDxfId="110" dataCellStyle="Moneda">
      <calculatedColumnFormula>+Tabla22[[#This Row],[Global 2026]]</calculatedColumnFormula>
    </tableColumn>
    <tableColumn id="40" xr3:uid="{72180C8B-5BDF-4174-9B3F-DF9EE21BD331}" name="2026" dataDxfId="109"/>
    <tableColumn id="5" xr3:uid="{A16013A2-82B9-4384-8E09-BCCDB9EDC5EF}" name="Venta Meta 2026" dataDxfId="108" dataCellStyle="Moneda">
      <calculatedColumnFormula>+Tabla2[[#This Row],[Meta Digital]]+Tabla2[[#This Row],[Meta MKPlace]]</calculatedColumnFormula>
    </tableColumn>
    <tableColumn id="18" xr3:uid="{168654DF-5561-4713-B261-8A61AE7A7556}" name="Meta Digital" dataDxfId="107" dataCellStyle="Moneda">
      <calculatedColumnFormula>+D4*Hoja1!$F$38</calculatedColumnFormula>
    </tableColumn>
    <tableColumn id="10" xr3:uid="{A88CB9E4-16DA-46D1-92A4-897DC9F1ED89}" name="Meta MKPlace" dataDxfId="106" dataCellStyle="Moneda">
      <calculatedColumnFormula>+Tabla22[[#This Row],[Meta MKPlace]]</calculatedColumnFormula>
    </tableColumn>
    <tableColumn id="38" xr3:uid="{41AFFF97-2C84-41BB-B3F6-8BE274747CB0}" name="Web + APP 2025" dataDxfId="105" dataCellStyle="Moneda"/>
    <tableColumn id="31" xr3:uid="{CEAFDD47-F2A6-41F4-A7EB-A4718DCEA81C}" name="Web + APP 2026" dataDxfId="104" dataCellStyle="Moneda"/>
    <tableColumn id="35" xr3:uid="{028595D5-0E8F-47A7-8BFE-4B92492B4E55}" name="Afiliados 2025" dataDxfId="103" dataCellStyle="Moneda"/>
    <tableColumn id="21" xr3:uid="{1E9C8639-D2F9-4718-BAE5-20D8EA0965C8}" name="Afiliados 2026" dataDxfId="102" dataCellStyle="Moneda"/>
    <tableColumn id="34" xr3:uid="{DF7CDD49-4DE7-435C-BDA7-1583F78CED2A}" name="TMK 2025" dataDxfId="101" dataCellStyle="Moneda"/>
    <tableColumn id="20" xr3:uid="{90D01526-6723-47AC-BA0B-08FB5736EAC9}" name="TMK 2026" dataDxfId="100" dataCellStyle="Moneda"/>
    <tableColumn id="33" xr3:uid="{2A6B6545-0A77-4A46-A42A-865F4EFD27B3}" name="WA 2025" dataDxfId="99" dataCellStyle="Moneda"/>
    <tableColumn id="32" xr3:uid="{600709BF-8C84-4FC1-8F5F-6CB2EF9FD4AE}" name="WA 2026" dataDxfId="98" dataCellStyle="Moneda"/>
    <tableColumn id="42" xr3:uid="{5C065618-6AFB-4590-8D53-245A824D3503}" name="Ent. en Tienda 2025" dataDxfId="97" dataCellStyle="Moneda"/>
    <tableColumn id="28" xr3:uid="{307DF7A4-8CA9-44E6-A102-474E888108C2}" name="Ent. en Tienda 2026" dataDxfId="96" dataCellStyle="Moneda"/>
    <tableColumn id="30" xr3:uid="{422C48D0-9958-4798-A481-2D2B40A98F92}" name="Meli Drop 2025" dataDxfId="95" dataCellStyle="Moneda"/>
    <tableColumn id="16" xr3:uid="{066C2253-CC3A-4D34-A4BC-43548CC74A10}" name="Meli Drop 2026" dataDxfId="94" dataCellStyle="Moneda"/>
    <tableColumn id="29" xr3:uid="{B2C25D5F-0FAD-4140-BE99-4E9227303363}" name="Meli Full 2025" dataDxfId="93" dataCellStyle="Moneda"/>
    <tableColumn id="17" xr3:uid="{30262D7D-05CC-49D2-8E85-554F81F0BC50}" name="Meli Full 2026" dataDxfId="92" dataCellStyle="Moneda"/>
    <tableColumn id="24" xr3:uid="{D5B7F8DA-2B85-424C-9E92-7538066DACC9}" name="Amazon Drop 2025" dataDxfId="91" dataCellStyle="Moneda"/>
    <tableColumn id="14" xr3:uid="{7D676B5F-C060-4712-AB00-B653247167EB}" name="Amazon Drop 2026" dataDxfId="90" dataCellStyle="Moneda"/>
    <tableColumn id="23" xr3:uid="{0AC15FFE-2046-490B-877A-493CC31B8869}" name="Amazon Full 2025" dataDxfId="89" dataCellStyle="Moneda"/>
    <tableColumn id="13" xr3:uid="{552A161A-D117-4CD2-B5DA-5BDDD5CE03D2}" name="Amazon Full 2026" dataDxfId="88" dataCellStyle="Moneda"/>
    <tableColumn id="15" xr3:uid="{4F7B813D-5E28-4EAA-B1B1-411ACB5D2B86}" name="TikTok 2025" dataDxfId="87" dataCellStyle="Moneda"/>
    <tableColumn id="12" xr3:uid="{CA05BF0B-75F3-4385-B2BA-0180AFBEF00A}" name="TikTok 2026" dataDxfId="86" dataCellStyle="Moneda"/>
    <tableColumn id="9" xr3:uid="{C574964D-5669-4887-952E-0085DE66A981}" name="Shein 2025" dataDxfId="85" dataCellStyle="Moneda"/>
    <tableColumn id="11" xr3:uid="{B11ABB43-6F69-4B30-A5EF-25427FEC7C50}" name="Shein 2026" dataDxfId="84" dataCellStyle="Moneda"/>
    <tableColumn id="22" xr3:uid="{5369F14B-BB44-4C36-ABB9-CC4C7403D8F9}" name="Venta Total 2026" dataDxfId="83">
      <calculatedColumnFormula>+SUM([2]!Tabla2[[#This Row],[Web + APP 2026]:[Shein]])</calculatedColumnFormula>
    </tableColumn>
    <tableColumn id="25" xr3:uid="{FEDAC95E-A700-4582-9DCA-05BE29CBA667}" name="Alcance vs Meta" dataDxfId="82" dataCellStyle="Porcentaje"/>
    <tableColumn id="26" xr3:uid="{8C6B31CE-E651-4AF4-A42B-BF552442EDEB}" name="Deuda" dataDxfId="81"/>
    <tableColumn id="27" xr3:uid="{8474D4F3-F45B-4578-AD76-9CFC1DBF40A1}" name="Crecimiento" dataDxfId="80" dataCellStyle="Porcentaje">
      <calculatedColumnFormula>+AF4/C4-1</calculatedColumnFormula>
    </tableColumn>
    <tableColumn id="8" xr3:uid="{3799CC95-AB71-442E-B145-66E46AC17B05}" name="Share vs Global 2025" dataDxfId="79" dataCellStyle="Porcentaje">
      <calculatedColumnFormula>+C4/B4</calculatedColumnFormula>
    </tableColumn>
    <tableColumn id="45" xr3:uid="{084C15B7-FA1D-4DEA-A75A-BB327E6556E4}" name="Share vs Global 2026" dataDxfId="78" dataCellStyle="Porcentaje">
      <calculatedColumnFormula>+AF4/E4</calculatedColumnFormula>
    </tableColumn>
    <tableColumn id="3" xr3:uid="{CA58E344-BE59-4BE4-BB4A-709E15E48E0C}" name="Global YoY" dataDxfId="77" dataCellStyle="Porcentaje">
      <calculatedColumnFormula>+E4/B4-1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2C04F59-7AE8-4B6B-9FB0-558348BC400D}" name="Tabla22" displayName="Tabla22" ref="B3:AL368" totalsRowShown="0" headerRowDxfId="76" dataDxfId="74" headerRowBorderDxfId="75" tableBorderDxfId="73" dataCellStyle="Porcentaje">
  <autoFilter ref="B3:AL368" xr:uid="{64901442-91D0-42C6-A2F4-27FE48803752}">
    <filterColumn colId="4">
      <filters>
        <dateGroupItem year="2026" month="3" dateTimeGrouping="month"/>
      </filters>
    </filterColumn>
  </autoFilter>
  <tableColumns count="37">
    <tableColumn id="43" xr3:uid="{5D37DF13-BE01-47AA-8744-78F3653CE97D}" name="Global 2025" dataDxfId="72" dataCellStyle="Moneda"/>
    <tableColumn id="2" xr3:uid="{B4516F30-9CCA-4083-A423-06BF0835A5B9}" name="Vta 2025" dataDxfId="71" dataCellStyle="Moneda">
      <calculatedColumnFormula>+J4+L4+N4+P4+R4+T4+V4+X4+Z4+AB4+AD4</calculatedColumnFormula>
    </tableColumn>
    <tableColumn id="4" xr3:uid="{49D9DBC9-0806-47C0-A54D-697EC361E2EE}" name="Share diario" dataDxfId="70" dataCellStyle="Porcentaje"/>
    <tableColumn id="44" xr3:uid="{A77AA998-EB6F-4437-9F38-E74C9166E438}" name="Global 2026" dataDxfId="69" dataCellStyle="Moneda"/>
    <tableColumn id="40" xr3:uid="{65E895F3-AAEA-4C35-AC1A-166B6643B7C9}" name="2026" dataDxfId="68"/>
    <tableColumn id="5" xr3:uid="{291B7262-672D-4FC8-9628-709665D7E9A5}" name="Venta Meta 2026" dataDxfId="67" dataCellStyle="Moneda">
      <calculatedColumnFormula>+Tabla22[[#This Row],[Meta Digital]]+Tabla22[[#This Row],[Meta MKPlace]]</calculatedColumnFormula>
    </tableColumn>
    <tableColumn id="18" xr3:uid="{70B74560-341B-4C3D-A115-AE1A40AA15A5}" name="Meta Digital" dataDxfId="66" dataCellStyle="Moneda">
      <calculatedColumnFormula>+Tabla2[[#This Row],[Meta Digital]]</calculatedColumnFormula>
    </tableColumn>
    <tableColumn id="10" xr3:uid="{4BE95C46-255F-4112-9DB4-44A722F830A1}" name="Meta MKPlace" dataDxfId="65" dataCellStyle="Moneda">
      <calculatedColumnFormula>+Tabla2[[#This Row],[Meta MKPlace]]</calculatedColumnFormula>
    </tableColumn>
    <tableColumn id="38" xr3:uid="{9C84F189-DD18-4239-8D6E-4C0347F1DA54}" name="Web + APP 2025" dataDxfId="64" dataCellStyle="Moneda"/>
    <tableColumn id="31" xr3:uid="{9B4676C0-C9E0-4E13-9CB0-9DB5ADD293D9}" name="Web + APP 2026" dataDxfId="63" dataCellStyle="Moneda"/>
    <tableColumn id="35" xr3:uid="{13A541C9-5A0D-46EB-99A1-4F5B6443499B}" name="Afiliados 2025" dataDxfId="62" dataCellStyle="Moneda"/>
    <tableColumn id="21" xr3:uid="{E2A6D6F4-EEC1-4140-AA5D-6F06827E7CF8}" name="Afiliados 2026" dataDxfId="61" dataCellStyle="Moneda"/>
    <tableColumn id="34" xr3:uid="{E794A195-6F27-41D9-9B51-7B5EA6F4F574}" name="TMK 2025" dataDxfId="60" dataCellStyle="Moneda"/>
    <tableColumn id="20" xr3:uid="{940D6C14-9F53-4E9D-8A82-C4B347F4478A}" name="TMK 2026" dataDxfId="59" dataCellStyle="Moneda"/>
    <tableColumn id="33" xr3:uid="{420E75E7-8B77-4BE9-9BFB-B34C64269902}" name="WA 2025" dataDxfId="58" dataCellStyle="Moneda"/>
    <tableColumn id="32" xr3:uid="{D681AA2D-0C6A-4EA1-A92C-CD79F6E2030B}" name="WA 2026" dataDxfId="57" dataCellStyle="Moneda"/>
    <tableColumn id="42" xr3:uid="{92008774-8F8F-4123-84DB-71B6410B1B06}" name="Ent. en Tienda 2025" dataDxfId="56" dataCellStyle="Moneda"/>
    <tableColumn id="28" xr3:uid="{2D4A54CE-DC1D-4D6E-AC34-E580F07642EB}" name="Ent. en Tienda 2026" dataDxfId="55" dataCellStyle="Moneda"/>
    <tableColumn id="30" xr3:uid="{79674B7B-7AB2-464C-A71B-31617A736BC6}" name="Meli Drop 2025" dataDxfId="54" dataCellStyle="Moneda"/>
    <tableColumn id="16" xr3:uid="{2EA4D7C6-64EB-42EB-9C2E-DD12185EECA9}" name="Meli Drop 2026" dataDxfId="53" dataCellStyle="Moneda"/>
    <tableColumn id="29" xr3:uid="{32115D6F-3472-4CEB-A7EF-78FFBC0F9FF8}" name="Meli Full 2025" dataDxfId="52" dataCellStyle="Moneda"/>
    <tableColumn id="17" xr3:uid="{949C530A-63A6-4BB3-9CB0-7D396806B0AF}" name="Meli Full 2026" dataDxfId="51" dataCellStyle="Moneda"/>
    <tableColumn id="24" xr3:uid="{37F7896A-6452-40C1-875B-FF02CBBB8643}" name="Amazon Drop 2025" dataDxfId="50" dataCellStyle="Moneda"/>
    <tableColumn id="14" xr3:uid="{263552CB-D471-401C-91DD-190625C15308}" name="Amazon Drop 2026" dataDxfId="49" dataCellStyle="Moneda"/>
    <tableColumn id="23" xr3:uid="{2EC4550B-683A-40B2-B4B9-42C1865B727B}" name="Amazon Full 2025" dataDxfId="48" dataCellStyle="Moneda"/>
    <tableColumn id="13" xr3:uid="{22725825-BFC9-4AB3-98A9-4CF5A2159F38}" name="Amazon Full 2026" dataDxfId="47" dataCellStyle="Moneda"/>
    <tableColumn id="15" xr3:uid="{CDC2951B-68B8-45DA-AA6A-A58284F37359}" name="TikTok 2025" dataDxfId="46" dataCellStyle="Moneda"/>
    <tableColumn id="12" xr3:uid="{CBF9ECB7-523E-4529-B808-296A9231BBBD}" name="TikTok 2026" dataDxfId="45" dataCellStyle="Moneda"/>
    <tableColumn id="9" xr3:uid="{B60199C4-0742-4811-8330-FB41237D8121}" name="Shein 2025" dataDxfId="44" dataCellStyle="Moneda"/>
    <tableColumn id="11" xr3:uid="{F0E9C4D0-CCD7-431F-A393-C73F76A8C411}" name="Shein 2026" dataDxfId="43" dataCellStyle="Moneda"/>
    <tableColumn id="22" xr3:uid="{B1BFA772-615D-44D1-A01D-577FAEFB3E88}" name="Venta Total 2026" dataDxfId="42">
      <calculatedColumnFormula>+SUM([2]!Tabla2[[#This Row],[Web + APP 2026]:[Shein]])</calculatedColumnFormula>
    </tableColumn>
    <tableColumn id="25" xr3:uid="{C8D0CB73-49FB-4084-B4DE-519B02817DD2}" name="Alcance vs Meta" dataDxfId="41" dataCellStyle="Porcentaje"/>
    <tableColumn id="26" xr3:uid="{EA62C6E8-90E2-4E3F-BB4A-8760AFBB0012}" name="Deuda" dataDxfId="40">
      <calculatedColumnFormula>+AF4-G4</calculatedColumnFormula>
    </tableColumn>
    <tableColumn id="27" xr3:uid="{48485A36-BBDD-42E7-864E-4B3DF65238B8}" name="Crecimiento" dataDxfId="39" dataCellStyle="Porcentaje">
      <calculatedColumnFormula>+#REF!/C4-1</calculatedColumnFormula>
    </tableColumn>
    <tableColumn id="8" xr3:uid="{FAA7AB4E-9AED-4BF9-8244-55602AEB2DBC}" name="Share vs Global 2025" dataDxfId="38" dataCellStyle="Porcentaje">
      <calculatedColumnFormula>+C4/B4</calculatedColumnFormula>
    </tableColumn>
    <tableColumn id="45" xr3:uid="{11073E7D-BDEC-4656-85C1-F36D29DF978B}" name="Share vs Global 2026" dataDxfId="37" dataCellStyle="Porcentaje">
      <calculatedColumnFormula>+#REF!/#REF!</calculatedColumnFormula>
    </tableColumn>
    <tableColumn id="3" xr3:uid="{3C57A50B-2F54-4AA1-A5CE-FF8472E4F0E6}" name="Global YoY" dataDxfId="36" dataCellStyle="Porcentaje">
      <calculatedColumnFormula>+#REF!/B4-1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AD1ED-5F39-4089-B374-4EA69C7B2D6A}">
  <sheetPr>
    <tabColor theme="3"/>
  </sheetPr>
  <dimension ref="A1:AL371"/>
  <sheetViews>
    <sheetView topLeftCell="AB1" zoomScale="85" zoomScaleNormal="85" workbookViewId="0">
      <selection activeCell="AH2" sqref="AH2"/>
    </sheetView>
  </sheetViews>
  <sheetFormatPr baseColWidth="10" defaultColWidth="11.44140625" defaultRowHeight="14.4" x14ac:dyDescent="0.3"/>
  <cols>
    <col min="1" max="1" width="32.21875" bestFit="1" customWidth="1"/>
    <col min="2" max="2" width="15" bestFit="1" customWidth="1"/>
    <col min="3" max="3" width="15.21875" bestFit="1" customWidth="1"/>
    <col min="4" max="4" width="19.6640625" bestFit="1" customWidth="1"/>
    <col min="5" max="5" width="16.77734375" bestFit="1" customWidth="1"/>
    <col min="6" max="6" width="32.44140625" bestFit="1" customWidth="1"/>
    <col min="7" max="7" width="20.44140625" bestFit="1" customWidth="1"/>
    <col min="8" max="9" width="20.44140625" customWidth="1"/>
    <col min="10" max="11" width="20.109375" bestFit="1" customWidth="1"/>
    <col min="12" max="12" width="16.44140625" bestFit="1" customWidth="1"/>
    <col min="13" max="13" width="14.109375" style="6" bestFit="1" customWidth="1"/>
    <col min="14" max="14" width="12.6640625" bestFit="1" customWidth="1"/>
    <col min="15" max="15" width="11.77734375" bestFit="1" customWidth="1"/>
    <col min="16" max="16" width="11.88671875" bestFit="1" customWidth="1"/>
    <col min="17" max="17" width="10.109375" bestFit="1" customWidth="1"/>
    <col min="18" max="18" width="20.77734375" bestFit="1" customWidth="1"/>
    <col min="19" max="19" width="18.77734375" bestFit="1" customWidth="1"/>
    <col min="20" max="20" width="17.109375" bestFit="1" customWidth="1"/>
    <col min="21" max="21" width="14.77734375" bestFit="1" customWidth="1"/>
    <col min="22" max="22" width="16.21875" bestFit="1" customWidth="1"/>
    <col min="23" max="23" width="16.44140625" customWidth="1"/>
    <col min="24" max="24" width="20.33203125" bestFit="1" customWidth="1"/>
    <col min="25" max="25" width="17.88671875" bestFit="1" customWidth="1"/>
    <col min="26" max="26" width="19.44140625" bestFit="1" customWidth="1"/>
    <col min="27" max="27" width="17" bestFit="1" customWidth="1"/>
    <col min="28" max="28" width="14.44140625" bestFit="1" customWidth="1"/>
    <col min="29" max="29" width="12.109375" bestFit="1" customWidth="1"/>
    <col min="30" max="30" width="13.77734375" bestFit="1" customWidth="1"/>
    <col min="31" max="31" width="13.44140625" bestFit="1" customWidth="1"/>
    <col min="32" max="32" width="20.44140625" bestFit="1" customWidth="1"/>
    <col min="33" max="33" width="22.33203125" bestFit="1" customWidth="1"/>
    <col min="34" max="34" width="12.6640625" bestFit="1" customWidth="1"/>
    <col min="35" max="35" width="17.21875" bestFit="1" customWidth="1"/>
    <col min="36" max="36" width="18.6640625" bestFit="1" customWidth="1"/>
    <col min="37" max="37" width="19.77734375" bestFit="1" customWidth="1"/>
    <col min="38" max="38" width="16.44140625" customWidth="1"/>
  </cols>
  <sheetData>
    <row r="1" spans="1:38" x14ac:dyDescent="0.3">
      <c r="C1" s="2">
        <f>+SUM(C3:C389)</f>
        <v>1429589408.5274577</v>
      </c>
      <c r="E1" s="22"/>
      <c r="F1" s="22"/>
      <c r="G1" s="1">
        <f>+H1-H2</f>
        <v>-6553314.0449922681</v>
      </c>
      <c r="H1" s="1">
        <f>+K2+O2+Q2+S2</f>
        <v>241316360</v>
      </c>
      <c r="I1" s="1"/>
      <c r="J1" s="2">
        <f>+SUM(J3:J389)</f>
        <v>1055614783</v>
      </c>
      <c r="K1" s="23"/>
      <c r="L1" s="2">
        <f>+SUM(L3:L389)</f>
        <v>11651867.148148136</v>
      </c>
      <c r="M1"/>
      <c r="N1" s="2">
        <f>+SUM(N3:N389)</f>
        <v>15094810</v>
      </c>
      <c r="P1" s="2">
        <f>+SUM(P3:P389)</f>
        <v>1776830</v>
      </c>
      <c r="R1" s="2">
        <f>+SUM(R3:R389)</f>
        <v>38370811</v>
      </c>
      <c r="T1" s="2">
        <f>+SUM(T3:T389)</f>
        <v>229449233</v>
      </c>
      <c r="U1" s="19"/>
      <c r="V1" s="2">
        <f>+SUM(V3:V389)</f>
        <v>56838215</v>
      </c>
      <c r="X1" s="2">
        <f>+SUM(X3:X389)</f>
        <v>13236238</v>
      </c>
      <c r="Y1" s="19"/>
      <c r="Z1" s="2">
        <f>+SUM(Z3:Z389)</f>
        <v>6683046</v>
      </c>
      <c r="AB1" s="2">
        <f>+SUM(AB3:AB389)</f>
        <v>801237.44827586249</v>
      </c>
      <c r="AD1" s="2">
        <f>+SUM(AD3:AD389)</f>
        <v>72337.931034482768</v>
      </c>
      <c r="AE1" s="19">
        <f>+AD1+AB1+Z1+X1+V1+T1</f>
        <v>307080307.37931037</v>
      </c>
      <c r="AF1" s="19">
        <f>+AC2+AA2+Y2+W2+U2</f>
        <v>47779921</v>
      </c>
    </row>
    <row r="2" spans="1:38" x14ac:dyDescent="0.3">
      <c r="B2" s="2">
        <f>+SUBTOTAL(9,B4:B87)</f>
        <v>2941335939</v>
      </c>
      <c r="C2" s="2">
        <f>+SUBTOTAL(9,C4:C87)</f>
        <v>241523658.62068966</v>
      </c>
      <c r="E2" s="2">
        <f>+SUBTOTAL(9,E4:E87)</f>
        <v>2904278931</v>
      </c>
      <c r="F2" s="2"/>
      <c r="G2" s="2">
        <f t="shared" ref="G2:AH2" si="0">+SUBTOTAL(9,G4:G87)</f>
        <v>301004334.04499227</v>
      </c>
      <c r="H2" s="2">
        <f t="shared" si="0"/>
        <v>247869674.04499227</v>
      </c>
      <c r="I2" s="2">
        <f t="shared" si="0"/>
        <v>53134659.999999993</v>
      </c>
      <c r="J2" s="2">
        <f t="shared" si="0"/>
        <v>188748926</v>
      </c>
      <c r="K2" s="2">
        <f t="shared" si="0"/>
        <v>232726913</v>
      </c>
      <c r="L2" s="2">
        <f t="shared" si="0"/>
        <v>1833533.6206896547</v>
      </c>
      <c r="M2" s="2">
        <f t="shared" si="0"/>
        <v>2177754</v>
      </c>
      <c r="N2" s="2">
        <f t="shared" si="0"/>
        <v>4168673</v>
      </c>
      <c r="O2" s="2">
        <f t="shared" si="0"/>
        <v>2232510</v>
      </c>
      <c r="P2" s="2">
        <f t="shared" si="0"/>
        <v>307505</v>
      </c>
      <c r="Q2" s="2">
        <f t="shared" si="0"/>
        <v>213516</v>
      </c>
      <c r="R2" s="2">
        <f t="shared" si="0"/>
        <v>5094246</v>
      </c>
      <c r="S2" s="2">
        <f t="shared" si="0"/>
        <v>6143421</v>
      </c>
      <c r="T2" s="2">
        <f t="shared" si="0"/>
        <v>30781097</v>
      </c>
      <c r="U2" s="2">
        <f t="shared" si="0"/>
        <v>38231305</v>
      </c>
      <c r="V2" s="2">
        <f t="shared" si="0"/>
        <v>7122833</v>
      </c>
      <c r="W2" s="2">
        <f t="shared" si="0"/>
        <v>6697702</v>
      </c>
      <c r="X2" s="2">
        <f t="shared" si="0"/>
        <v>2774866</v>
      </c>
      <c r="Y2" s="2">
        <f t="shared" si="0"/>
        <v>2039516</v>
      </c>
      <c r="Z2" s="2">
        <f t="shared" si="0"/>
        <v>691979</v>
      </c>
      <c r="AA2" s="2">
        <f t="shared" si="0"/>
        <v>546058</v>
      </c>
      <c r="AB2" s="2">
        <f t="shared" si="0"/>
        <v>0</v>
      </c>
      <c r="AC2" s="2">
        <f t="shared" si="0"/>
        <v>265340</v>
      </c>
      <c r="AD2" s="2">
        <f t="shared" si="0"/>
        <v>0</v>
      </c>
      <c r="AE2" s="2">
        <f t="shared" si="0"/>
        <v>21743</v>
      </c>
      <c r="AF2" s="2">
        <f t="shared" si="0"/>
        <v>291295778</v>
      </c>
      <c r="AG2" s="13">
        <f>+AF2/G2</f>
        <v>0.96774612539784532</v>
      </c>
      <c r="AH2" s="2">
        <f t="shared" si="0"/>
        <v>-9708556.0449922271</v>
      </c>
      <c r="AI2" s="15">
        <f>+AF2/C2-1</f>
        <v>0.20607554416636642</v>
      </c>
      <c r="AJ2" s="15">
        <f>+C2/B2</f>
        <v>8.2113591792851534E-2</v>
      </c>
      <c r="AK2" s="18">
        <f>+AF2/E2</f>
        <v>0.10029882973385795</v>
      </c>
      <c r="AL2" s="15">
        <f>+E2/B2-1</f>
        <v>-1.2598699627829224E-2</v>
      </c>
    </row>
    <row r="3" spans="1:38" x14ac:dyDescent="0.3">
      <c r="A3" s="20">
        <v>2025</v>
      </c>
      <c r="B3" s="8" t="s">
        <v>0</v>
      </c>
      <c r="C3" s="9" t="s">
        <v>1</v>
      </c>
      <c r="D3" s="10" t="s">
        <v>2</v>
      </c>
      <c r="E3" s="16" t="s">
        <v>3</v>
      </c>
      <c r="F3" s="16" t="s">
        <v>4</v>
      </c>
      <c r="G3" s="10" t="s">
        <v>5</v>
      </c>
      <c r="H3" s="10" t="s">
        <v>34</v>
      </c>
      <c r="I3" s="10" t="s">
        <v>35</v>
      </c>
      <c r="J3" s="9" t="s">
        <v>6</v>
      </c>
      <c r="K3" s="9" t="s">
        <v>7</v>
      </c>
      <c r="L3" s="9" t="s">
        <v>11</v>
      </c>
      <c r="M3" s="9" t="s">
        <v>12</v>
      </c>
      <c r="N3" s="9" t="s">
        <v>13</v>
      </c>
      <c r="O3" s="9" t="s">
        <v>14</v>
      </c>
      <c r="P3" s="9" t="s">
        <v>15</v>
      </c>
      <c r="Q3" s="9" t="s">
        <v>16</v>
      </c>
      <c r="R3" s="9" t="s">
        <v>17</v>
      </c>
      <c r="S3" s="9" t="s">
        <v>18</v>
      </c>
      <c r="T3" s="9" t="s">
        <v>19</v>
      </c>
      <c r="U3" s="9" t="s">
        <v>20</v>
      </c>
      <c r="V3" s="9" t="s">
        <v>21</v>
      </c>
      <c r="W3" s="9" t="s">
        <v>22</v>
      </c>
      <c r="X3" s="9" t="s">
        <v>23</v>
      </c>
      <c r="Y3" s="9" t="s">
        <v>24</v>
      </c>
      <c r="Z3" s="9" t="s">
        <v>25</v>
      </c>
      <c r="AA3" s="9" t="s">
        <v>26</v>
      </c>
      <c r="AB3" s="9" t="s">
        <v>27</v>
      </c>
      <c r="AC3" s="9" t="s">
        <v>36</v>
      </c>
      <c r="AD3" s="9" t="s">
        <v>28</v>
      </c>
      <c r="AE3" s="9" t="s">
        <v>29</v>
      </c>
      <c r="AF3" s="11" t="s">
        <v>8</v>
      </c>
      <c r="AG3" s="11" t="s">
        <v>30</v>
      </c>
      <c r="AH3" s="11" t="s">
        <v>9</v>
      </c>
      <c r="AI3" s="12" t="s">
        <v>10</v>
      </c>
      <c r="AJ3" s="9" t="s">
        <v>33</v>
      </c>
      <c r="AK3" s="9" t="s">
        <v>32</v>
      </c>
      <c r="AL3" s="9" t="s">
        <v>31</v>
      </c>
    </row>
    <row r="4" spans="1:38" x14ac:dyDescent="0.3">
      <c r="A4" s="63">
        <v>45659</v>
      </c>
      <c r="B4" s="3">
        <v>35585285</v>
      </c>
      <c r="C4" s="3">
        <f>+J4+L4+N4+P4+R4+T4+V4+X4+Z4+AB4+AD4</f>
        <v>3530236.3103448274</v>
      </c>
      <c r="D4" s="4">
        <f>+Tabla22[[#This Row],[Share diario]]</f>
        <v>-3.3795058862703904E-4</v>
      </c>
      <c r="E4" s="3">
        <f>+Tabla22[[#This Row],[Global 2026]]</f>
        <v>1767787</v>
      </c>
      <c r="F4" s="7">
        <v>46023</v>
      </c>
      <c r="G4" s="3">
        <f>+Tabla2[[#This Row],[Meta Digital]]+Tabla2[[#This Row],[Meta MKPlace]]</f>
        <v>-37186.988150562807</v>
      </c>
      <c r="H4" s="3">
        <v>-29650.690024179836</v>
      </c>
      <c r="I4" s="3">
        <v>-7536.2981263829706</v>
      </c>
      <c r="J4" s="3">
        <v>2533552</v>
      </c>
      <c r="K4" s="3">
        <v>1117875</v>
      </c>
      <c r="L4" s="3">
        <v>48254.310344827572</v>
      </c>
      <c r="M4" s="3">
        <v>17319</v>
      </c>
      <c r="N4" s="3">
        <v>21696</v>
      </c>
      <c r="O4" s="3">
        <v>0</v>
      </c>
      <c r="P4" s="3">
        <v>5984</v>
      </c>
      <c r="Q4" s="3">
        <v>1884</v>
      </c>
      <c r="R4" s="3">
        <v>47691</v>
      </c>
      <c r="S4" s="3">
        <v>0</v>
      </c>
      <c r="T4" s="3">
        <v>671816</v>
      </c>
      <c r="U4" s="3">
        <v>511381</v>
      </c>
      <c r="V4" s="3">
        <v>116771</v>
      </c>
      <c r="W4" s="3">
        <v>78269</v>
      </c>
      <c r="X4" s="3">
        <v>84472</v>
      </c>
      <c r="Y4" s="3">
        <v>31357</v>
      </c>
      <c r="Z4" s="3">
        <v>0</v>
      </c>
      <c r="AA4" s="3">
        <v>7591</v>
      </c>
      <c r="AB4" s="3">
        <v>0</v>
      </c>
      <c r="AC4" s="3">
        <v>2016</v>
      </c>
      <c r="AD4" s="3">
        <v>0</v>
      </c>
      <c r="AE4" s="3">
        <v>0</v>
      </c>
      <c r="AF4" s="5">
        <f t="shared" ref="AF4:AF67" si="1">+AE4+AC4+AA4+Y4+W4+U4+S4+Q4+O4+M4+K4</f>
        <v>1767692</v>
      </c>
      <c r="AG4" s="4">
        <f t="shared" ref="AG4:AG35" si="2">+AF4/G4</f>
        <v>-47.53522906568724</v>
      </c>
      <c r="AH4" s="5">
        <f t="shared" ref="AH4:AH35" si="3">+AF4-G4</f>
        <v>1804878.9881505629</v>
      </c>
      <c r="AI4" s="17">
        <f t="shared" ref="AI4:AI67" si="4">+AF4/C4-1</f>
        <v>-0.49927091429544135</v>
      </c>
      <c r="AJ4" s="17">
        <f t="shared" ref="AJ4:AJ67" si="5">+C4/B4</f>
        <v>9.9204946942109004E-2</v>
      </c>
      <c r="AK4" s="14">
        <f t="shared" ref="AK4:AK67" si="6">+AF4/E4</f>
        <v>0.99994626049405277</v>
      </c>
      <c r="AL4" s="14">
        <f t="shared" ref="AL4:AL67" si="7">+E4/B4-1</f>
        <v>-0.95032252797750527</v>
      </c>
    </row>
    <row r="5" spans="1:38" x14ac:dyDescent="0.3">
      <c r="A5" s="7">
        <v>45660</v>
      </c>
      <c r="B5" s="3">
        <v>45059441</v>
      </c>
      <c r="C5" s="3">
        <f t="shared" ref="C5:C68" si="8">+J5+L5+N5+P5+R5+T5+V5+X5+Z5+AB5+AD5</f>
        <v>2122251.3448275859</v>
      </c>
      <c r="D5" s="4">
        <f>+Tabla22[[#This Row],[Share diario]]</f>
        <v>4.0988265333891535E-2</v>
      </c>
      <c r="E5" s="3">
        <f>+Tabla22[[#This Row],[Global 2026]]</f>
        <v>37878399</v>
      </c>
      <c r="F5" s="7">
        <v>46024</v>
      </c>
      <c r="G5" s="3">
        <f>+Tabla2[[#This Row],[Meta Digital]]+Tabla2[[#This Row],[Meta MKPlace]]</f>
        <v>4510215.9563500071</v>
      </c>
      <c r="H5" s="3">
        <v>3596177.6394042261</v>
      </c>
      <c r="I5" s="3">
        <v>914038.31694578123</v>
      </c>
      <c r="J5" s="3">
        <v>1249824</v>
      </c>
      <c r="K5" s="3">
        <v>1824628</v>
      </c>
      <c r="L5" s="3">
        <v>33610.344827586181</v>
      </c>
      <c r="M5" s="3">
        <f>20000+12072</f>
        <v>32072</v>
      </c>
      <c r="N5" s="3">
        <v>21922</v>
      </c>
      <c r="O5" s="3">
        <v>15461</v>
      </c>
      <c r="P5" s="3">
        <v>4267</v>
      </c>
      <c r="Q5" s="3">
        <v>5339</v>
      </c>
      <c r="R5" s="3">
        <v>40797</v>
      </c>
      <c r="S5" s="3">
        <v>100874</v>
      </c>
      <c r="T5" s="3">
        <v>650641</v>
      </c>
      <c r="U5" s="3">
        <v>906403</v>
      </c>
      <c r="V5" s="3">
        <v>73651</v>
      </c>
      <c r="W5" s="3">
        <v>134485</v>
      </c>
      <c r="X5" s="3">
        <v>47539</v>
      </c>
      <c r="Y5" s="3">
        <v>28403</v>
      </c>
      <c r="Z5" s="3">
        <v>0</v>
      </c>
      <c r="AA5" s="3">
        <v>8334</v>
      </c>
      <c r="AB5" s="3">
        <v>0</v>
      </c>
      <c r="AC5" s="3">
        <v>1412</v>
      </c>
      <c r="AD5" s="3">
        <v>0</v>
      </c>
      <c r="AE5" s="3">
        <v>0</v>
      </c>
      <c r="AF5" s="5">
        <f t="shared" si="1"/>
        <v>3057411</v>
      </c>
      <c r="AG5" s="4">
        <f t="shared" si="2"/>
        <v>0.67788572201191843</v>
      </c>
      <c r="AH5" s="5">
        <f t="shared" si="3"/>
        <v>-1452804.9563500071</v>
      </c>
      <c r="AI5" s="17">
        <f t="shared" si="4"/>
        <v>0.44064509957862108</v>
      </c>
      <c r="AJ5" s="17">
        <f t="shared" si="5"/>
        <v>4.7098927499513048E-2</v>
      </c>
      <c r="AK5" s="14">
        <f t="shared" si="6"/>
        <v>8.0716479067660704E-2</v>
      </c>
      <c r="AL5" s="14">
        <f t="shared" si="7"/>
        <v>-0.15936819988512507</v>
      </c>
    </row>
    <row r="6" spans="1:38" x14ac:dyDescent="0.3">
      <c r="A6" s="63">
        <v>45661</v>
      </c>
      <c r="B6" s="3">
        <v>52763562</v>
      </c>
      <c r="C6" s="3">
        <f t="shared" si="8"/>
        <v>1311866.9655172415</v>
      </c>
      <c r="D6" s="4">
        <f>+Tabla22[[#This Row],[Share diario]]</f>
        <v>2.4640673762291128E-2</v>
      </c>
      <c r="E6" s="3">
        <f>+Tabla22[[#This Row],[Global 2026]]</f>
        <v>45280774</v>
      </c>
      <c r="F6" s="7">
        <v>46025</v>
      </c>
      <c r="G6" s="3">
        <f>+Tabla2[[#This Row],[Meta Digital]]+Tabla2[[#This Row],[Meta MKPlace]]</f>
        <v>2711379.9296601992</v>
      </c>
      <c r="H6" s="3">
        <v>2161892.9047611072</v>
      </c>
      <c r="I6" s="3">
        <v>549487.02489909215</v>
      </c>
      <c r="J6" s="3">
        <v>805491</v>
      </c>
      <c r="K6" s="3">
        <v>1844500</v>
      </c>
      <c r="L6" s="3">
        <v>33443.965517241355</v>
      </c>
      <c r="M6" s="3">
        <f>18860+11525</f>
        <v>30385</v>
      </c>
      <c r="N6" s="3">
        <v>-972</v>
      </c>
      <c r="O6" s="3">
        <v>4998</v>
      </c>
      <c r="P6" s="3">
        <v>125</v>
      </c>
      <c r="Q6" s="3">
        <v>903</v>
      </c>
      <c r="R6" s="3">
        <v>76993</v>
      </c>
      <c r="S6" s="3">
        <v>60781</v>
      </c>
      <c r="T6" s="3">
        <v>272764</v>
      </c>
      <c r="U6" s="3">
        <v>517553</v>
      </c>
      <c r="V6" s="3">
        <v>79911</v>
      </c>
      <c r="W6" s="3">
        <v>118746</v>
      </c>
      <c r="X6" s="3">
        <v>44111</v>
      </c>
      <c r="Y6" s="3">
        <v>27889</v>
      </c>
      <c r="Z6" s="3">
        <v>0</v>
      </c>
      <c r="AA6" s="3">
        <v>13091</v>
      </c>
      <c r="AB6" s="3">
        <v>0</v>
      </c>
      <c r="AC6" s="3">
        <v>688</v>
      </c>
      <c r="AD6" s="3">
        <v>0</v>
      </c>
      <c r="AE6" s="3">
        <v>0</v>
      </c>
      <c r="AF6" s="5">
        <f t="shared" si="1"/>
        <v>2619534</v>
      </c>
      <c r="AG6" s="4">
        <f t="shared" si="2"/>
        <v>0.96612576177337506</v>
      </c>
      <c r="AH6" s="5">
        <f t="shared" si="3"/>
        <v>-91845.92966019921</v>
      </c>
      <c r="AI6" s="17">
        <f t="shared" si="4"/>
        <v>0.99679850842739448</v>
      </c>
      <c r="AJ6" s="17">
        <f t="shared" si="5"/>
        <v>2.4863123636672625E-2</v>
      </c>
      <c r="AK6" s="14">
        <f t="shared" si="6"/>
        <v>5.7850910410674521E-2</v>
      </c>
      <c r="AL6" s="14">
        <f t="shared" si="7"/>
        <v>-0.1418173397770226</v>
      </c>
    </row>
    <row r="7" spans="1:38" x14ac:dyDescent="0.3">
      <c r="A7" s="7">
        <v>45662</v>
      </c>
      <c r="B7" s="3">
        <v>49768856</v>
      </c>
      <c r="C7" s="3">
        <f t="shared" si="8"/>
        <v>1824121.6896551724</v>
      </c>
      <c r="D7" s="4">
        <f>+Tabla22[[#This Row],[Share diario]]</f>
        <v>1.5231601099286058E-2</v>
      </c>
      <c r="E7" s="3">
        <f>+Tabla22[[#This Row],[Global 2026]]</f>
        <v>49319936</v>
      </c>
      <c r="F7" s="7">
        <v>46026</v>
      </c>
      <c r="G7" s="3">
        <f>+Tabla2[[#This Row],[Meta Digital]]+Tabla2[[#This Row],[Meta MKPlace]]</f>
        <v>1676036.0498094768</v>
      </c>
      <c r="H7" s="3">
        <v>1336371.3452953978</v>
      </c>
      <c r="I7" s="3">
        <v>339664.70451407909</v>
      </c>
      <c r="J7" s="3">
        <v>1228466</v>
      </c>
      <c r="K7" s="3">
        <v>1894237</v>
      </c>
      <c r="L7" s="3">
        <v>26220.689655172398</v>
      </c>
      <c r="M7" s="3">
        <f>20047+15747</f>
        <v>35794</v>
      </c>
      <c r="N7" s="3">
        <v>6650</v>
      </c>
      <c r="O7" s="3">
        <v>2820</v>
      </c>
      <c r="P7" s="3">
        <v>4220</v>
      </c>
      <c r="Q7" s="3">
        <v>1256</v>
      </c>
      <c r="R7" s="3">
        <v>118329</v>
      </c>
      <c r="S7" s="3">
        <v>34216</v>
      </c>
      <c r="T7" s="3">
        <v>311434</v>
      </c>
      <c r="U7" s="3">
        <v>181111</v>
      </c>
      <c r="V7" s="3">
        <v>74826</v>
      </c>
      <c r="W7" s="3">
        <v>111132</v>
      </c>
      <c r="X7" s="3">
        <v>53976</v>
      </c>
      <c r="Y7" s="3">
        <v>24171</v>
      </c>
      <c r="Z7" s="3">
        <v>0</v>
      </c>
      <c r="AA7" s="3">
        <v>11093</v>
      </c>
      <c r="AB7" s="3">
        <v>0</v>
      </c>
      <c r="AC7" s="3">
        <v>0</v>
      </c>
      <c r="AD7" s="3">
        <v>0</v>
      </c>
      <c r="AE7" s="3">
        <v>0</v>
      </c>
      <c r="AF7" s="5">
        <f t="shared" si="1"/>
        <v>2295830</v>
      </c>
      <c r="AG7" s="4">
        <f t="shared" si="2"/>
        <v>1.3697975054062699</v>
      </c>
      <c r="AH7" s="5">
        <f t="shared" si="3"/>
        <v>619793.95019052317</v>
      </c>
      <c r="AI7" s="17">
        <f t="shared" si="4"/>
        <v>0.25859475988907188</v>
      </c>
      <c r="AJ7" s="17">
        <f t="shared" si="5"/>
        <v>3.6651870994486441E-2</v>
      </c>
      <c r="AK7" s="14">
        <f t="shared" si="6"/>
        <v>4.6549735993169174E-2</v>
      </c>
      <c r="AL7" s="14">
        <f t="shared" si="7"/>
        <v>-9.0200988345000566E-3</v>
      </c>
    </row>
    <row r="8" spans="1:38" x14ac:dyDescent="0.3">
      <c r="A8" s="63">
        <v>45663</v>
      </c>
      <c r="B8" s="3">
        <v>22835293</v>
      </c>
      <c r="C8" s="3">
        <f t="shared" si="8"/>
        <v>3136399</v>
      </c>
      <c r="D8" s="4">
        <f>+Tabla22[[#This Row],[Share diario]]</f>
        <v>2.1179200836441904E-2</v>
      </c>
      <c r="E8" s="3">
        <f>+Tabla22[[#This Row],[Global 2026]]</f>
        <v>42820052</v>
      </c>
      <c r="F8" s="7">
        <v>46027</v>
      </c>
      <c r="G8" s="3">
        <f>+Tabla2[[#This Row],[Meta Digital]]+Tabla2[[#This Row],[Meta MKPlace]]</f>
        <v>2330490.6606105575</v>
      </c>
      <c r="H8" s="3">
        <v>1858194.4819579031</v>
      </c>
      <c r="I8" s="3">
        <v>472296.17865265446</v>
      </c>
      <c r="J8" s="3">
        <v>2147376</v>
      </c>
      <c r="K8" s="3">
        <v>2243868</v>
      </c>
      <c r="L8" s="3">
        <v>18699.999999999996</v>
      </c>
      <c r="M8" s="3">
        <f>16759+12375</f>
        <v>29134</v>
      </c>
      <c r="N8" s="3">
        <v>36331</v>
      </c>
      <c r="O8" s="3">
        <v>10063</v>
      </c>
      <c r="P8" s="3">
        <v>-500</v>
      </c>
      <c r="Q8" s="3">
        <v>4612</v>
      </c>
      <c r="R8" s="3">
        <v>58951</v>
      </c>
      <c r="S8" s="3">
        <v>91070</v>
      </c>
      <c r="T8" s="3">
        <v>714238</v>
      </c>
      <c r="U8" s="3">
        <v>1061982</v>
      </c>
      <c r="V8" s="3">
        <v>83712</v>
      </c>
      <c r="W8" s="3">
        <v>81808</v>
      </c>
      <c r="X8" s="3">
        <v>77591</v>
      </c>
      <c r="Y8" s="3">
        <v>39071</v>
      </c>
      <c r="Z8" s="3">
        <v>0</v>
      </c>
      <c r="AA8" s="3">
        <v>9717</v>
      </c>
      <c r="AB8" s="3">
        <v>0</v>
      </c>
      <c r="AC8" s="3">
        <v>11108</v>
      </c>
      <c r="AD8" s="3">
        <v>0</v>
      </c>
      <c r="AE8" s="3">
        <v>0</v>
      </c>
      <c r="AF8" s="5">
        <f t="shared" si="1"/>
        <v>3582433</v>
      </c>
      <c r="AG8" s="4">
        <f t="shared" si="2"/>
        <v>1.5372011828021874</v>
      </c>
      <c r="AH8" s="5">
        <f t="shared" si="3"/>
        <v>1251942.3393894425</v>
      </c>
      <c r="AI8" s="17">
        <f t="shared" si="4"/>
        <v>0.14221213563707935</v>
      </c>
      <c r="AJ8" s="17">
        <f t="shared" si="5"/>
        <v>0.13734875221439025</v>
      </c>
      <c r="AK8" s="14">
        <f t="shared" si="6"/>
        <v>8.3662509330908796E-2</v>
      </c>
      <c r="AL8" s="14">
        <f t="shared" si="7"/>
        <v>0.87516980841892411</v>
      </c>
    </row>
    <row r="9" spans="1:38" x14ac:dyDescent="0.3">
      <c r="A9" s="7">
        <v>45664</v>
      </c>
      <c r="B9" s="3">
        <v>23697613</v>
      </c>
      <c r="C9" s="3">
        <f t="shared" si="8"/>
        <v>2922246.1379310344</v>
      </c>
      <c r="D9" s="4">
        <f>+Tabla22[[#This Row],[Share diario]]</f>
        <v>3.6415566297428682E-2</v>
      </c>
      <c r="E9" s="3">
        <f>+Tabla22[[#This Row],[Global 2026]]</f>
        <v>22329279</v>
      </c>
      <c r="F9" s="7">
        <v>46028</v>
      </c>
      <c r="G9" s="3">
        <f>+Tabla2[[#This Row],[Meta Digital]]+Tabla2[[#This Row],[Meta MKPlace]]</f>
        <v>4007050.9653498139</v>
      </c>
      <c r="H9" s="3">
        <v>3194983.8369171545</v>
      </c>
      <c r="I9" s="3">
        <v>812067.12843265967</v>
      </c>
      <c r="J9" s="3">
        <v>2444768</v>
      </c>
      <c r="K9" s="3">
        <v>2374462</v>
      </c>
      <c r="L9" s="3">
        <v>20049.137931034478</v>
      </c>
      <c r="M9" s="3">
        <f>12777+8956</f>
        <v>21733</v>
      </c>
      <c r="N9" s="3">
        <v>54064</v>
      </c>
      <c r="O9" s="3">
        <v>67853</v>
      </c>
      <c r="P9" s="3">
        <v>-344</v>
      </c>
      <c r="Q9" s="3">
        <v>-114</v>
      </c>
      <c r="R9" s="3">
        <v>55989</v>
      </c>
      <c r="S9" s="3">
        <v>66697</v>
      </c>
      <c r="T9" s="3">
        <v>209116</v>
      </c>
      <c r="U9" s="3">
        <v>650825</v>
      </c>
      <c r="V9" s="3">
        <v>80417</v>
      </c>
      <c r="W9" s="3">
        <v>87785</v>
      </c>
      <c r="X9" s="3">
        <v>58187</v>
      </c>
      <c r="Y9" s="3">
        <v>32894</v>
      </c>
      <c r="Z9" s="3">
        <v>0</v>
      </c>
      <c r="AA9" s="3">
        <v>14047</v>
      </c>
      <c r="AB9" s="3">
        <v>0</v>
      </c>
      <c r="AC9" s="3">
        <v>11280</v>
      </c>
      <c r="AD9" s="3">
        <v>0</v>
      </c>
      <c r="AE9" s="3">
        <v>1120</v>
      </c>
      <c r="AF9" s="5">
        <f t="shared" si="1"/>
        <v>3328582</v>
      </c>
      <c r="AG9" s="4">
        <f t="shared" si="2"/>
        <v>0.83068122386844068</v>
      </c>
      <c r="AH9" s="5">
        <f t="shared" si="3"/>
        <v>-678468.96534981392</v>
      </c>
      <c r="AI9" s="17">
        <f t="shared" si="4"/>
        <v>0.13904915701476583</v>
      </c>
      <c r="AJ9" s="17">
        <f t="shared" si="5"/>
        <v>0.12331394465472259</v>
      </c>
      <c r="AK9" s="14">
        <f t="shared" si="6"/>
        <v>0.14906804648730484</v>
      </c>
      <c r="AL9" s="14">
        <f t="shared" si="7"/>
        <v>-5.7741427374984999E-2</v>
      </c>
    </row>
    <row r="10" spans="1:38" x14ac:dyDescent="0.3">
      <c r="A10" s="63">
        <v>45665</v>
      </c>
      <c r="B10" s="3">
        <v>26871838</v>
      </c>
      <c r="C10" s="3">
        <f t="shared" si="8"/>
        <v>3244805</v>
      </c>
      <c r="D10" s="4">
        <f>+Tabla22[[#This Row],[Share diario]]</f>
        <v>3.39291167906993E-2</v>
      </c>
      <c r="E10" s="3">
        <f>+Tabla22[[#This Row],[Global 2026]]</f>
        <v>23046004</v>
      </c>
      <c r="F10" s="7">
        <v>46029</v>
      </c>
      <c r="G10" s="3">
        <f>+Tabla2[[#This Row],[Meta Digital]]+Tabla2[[#This Row],[Meta MKPlace]]</f>
        <v>3733450.1152392654</v>
      </c>
      <c r="H10" s="3">
        <v>2976830.8108066712</v>
      </c>
      <c r="I10" s="3">
        <v>756619.30443259433</v>
      </c>
      <c r="J10" s="3">
        <v>2443314</v>
      </c>
      <c r="K10" s="3">
        <v>2461726</v>
      </c>
      <c r="L10" s="3">
        <v>26274.999999999985</v>
      </c>
      <c r="M10" s="3">
        <f>14222+10727</f>
        <v>24949</v>
      </c>
      <c r="N10" s="3">
        <v>56169</v>
      </c>
      <c r="O10" s="3">
        <v>16759</v>
      </c>
      <c r="P10" s="3">
        <v>3661</v>
      </c>
      <c r="Q10" s="3">
        <v>5667</v>
      </c>
      <c r="R10" s="3">
        <v>70092</v>
      </c>
      <c r="S10" s="3">
        <v>41847</v>
      </c>
      <c r="T10" s="3">
        <v>538812</v>
      </c>
      <c r="U10" s="3">
        <v>438746</v>
      </c>
      <c r="V10" s="3">
        <v>68361</v>
      </c>
      <c r="W10" s="3">
        <v>113224</v>
      </c>
      <c r="X10" s="3">
        <v>38121</v>
      </c>
      <c r="Y10" s="3">
        <v>5778</v>
      </c>
      <c r="Z10" s="3">
        <v>0</v>
      </c>
      <c r="AA10" s="3">
        <v>10555</v>
      </c>
      <c r="AB10" s="3">
        <v>0</v>
      </c>
      <c r="AC10" s="3">
        <v>14781</v>
      </c>
      <c r="AD10" s="3">
        <v>0</v>
      </c>
      <c r="AE10" s="3">
        <v>0</v>
      </c>
      <c r="AF10" s="5">
        <f t="shared" si="1"/>
        <v>3134032</v>
      </c>
      <c r="AG10" s="4">
        <f t="shared" si="2"/>
        <v>0.83944659852490078</v>
      </c>
      <c r="AH10" s="5">
        <f t="shared" si="3"/>
        <v>-599418.11523926537</v>
      </c>
      <c r="AI10" s="17">
        <f t="shared" si="4"/>
        <v>-3.413856918982805E-2</v>
      </c>
      <c r="AJ10" s="17">
        <f t="shared" si="5"/>
        <v>0.12075113730590367</v>
      </c>
      <c r="AK10" s="14">
        <f t="shared" si="6"/>
        <v>0.13599025670567444</v>
      </c>
      <c r="AL10" s="14">
        <f t="shared" si="7"/>
        <v>-0.14237336500763365</v>
      </c>
    </row>
    <row r="11" spans="1:38" x14ac:dyDescent="0.3">
      <c r="A11" s="7">
        <v>45666</v>
      </c>
      <c r="B11" s="3">
        <v>28051817</v>
      </c>
      <c r="C11" s="3">
        <f t="shared" si="8"/>
        <v>2520450.3103448274</v>
      </c>
      <c r="D11" s="4">
        <f>+Tabla22[[#This Row],[Share diario]]</f>
        <v>3.7674228183253493E-2</v>
      </c>
      <c r="E11" s="3">
        <f>+Tabla22[[#This Row],[Global 2026]]</f>
        <v>26562197</v>
      </c>
      <c r="F11" s="7">
        <v>46030</v>
      </c>
      <c r="G11" s="3">
        <f>+Tabla2[[#This Row],[Meta Digital]]+Tabla2[[#This Row],[Meta MKPlace]]</f>
        <v>4145550.0424601282</v>
      </c>
      <c r="H11" s="3">
        <v>3305414.7539735753</v>
      </c>
      <c r="I11" s="3">
        <v>840135.28848655289</v>
      </c>
      <c r="J11" s="3">
        <v>2184366</v>
      </c>
      <c r="K11" s="3">
        <v>2651325</v>
      </c>
      <c r="L11" s="3">
        <v>24654.31034482758</v>
      </c>
      <c r="M11" s="3">
        <f>16483+7384</f>
        <v>23867</v>
      </c>
      <c r="N11" s="3">
        <v>59780</v>
      </c>
      <c r="O11" s="3">
        <v>32696</v>
      </c>
      <c r="P11" s="3">
        <v>2734</v>
      </c>
      <c r="Q11" s="3">
        <v>1757</v>
      </c>
      <c r="R11" s="3">
        <v>31913</v>
      </c>
      <c r="S11" s="3">
        <v>21864</v>
      </c>
      <c r="T11" s="3">
        <v>73729</v>
      </c>
      <c r="U11" s="3">
        <v>443664</v>
      </c>
      <c r="V11" s="3">
        <v>68117</v>
      </c>
      <c r="W11" s="3">
        <v>108455</v>
      </c>
      <c r="X11" s="3">
        <v>75157</v>
      </c>
      <c r="Y11" s="3">
        <v>25645</v>
      </c>
      <c r="Z11" s="3">
        <v>0</v>
      </c>
      <c r="AA11" s="3">
        <v>3530</v>
      </c>
      <c r="AB11" s="3">
        <v>0</v>
      </c>
      <c r="AC11" s="3">
        <v>21246</v>
      </c>
      <c r="AD11" s="3">
        <v>0</v>
      </c>
      <c r="AE11" s="3">
        <v>947</v>
      </c>
      <c r="AF11" s="5">
        <f t="shared" si="1"/>
        <v>3334996</v>
      </c>
      <c r="AG11" s="4">
        <f t="shared" si="2"/>
        <v>0.80447611676179054</v>
      </c>
      <c r="AH11" s="5">
        <f t="shared" si="3"/>
        <v>-810554.0424601282</v>
      </c>
      <c r="AI11" s="17">
        <f t="shared" si="4"/>
        <v>0.32317466696803598</v>
      </c>
      <c r="AJ11" s="17">
        <f t="shared" si="5"/>
        <v>8.9849805819880668E-2</v>
      </c>
      <c r="AK11" s="14">
        <f t="shared" si="6"/>
        <v>0.12555422279264022</v>
      </c>
      <c r="AL11" s="14">
        <f t="shared" si="7"/>
        <v>-5.3102442526272053E-2</v>
      </c>
    </row>
    <row r="12" spans="1:38" x14ac:dyDescent="0.3">
      <c r="A12" s="63">
        <v>45667</v>
      </c>
      <c r="B12" s="3">
        <v>28699623</v>
      </c>
      <c r="C12" s="3">
        <f t="shared" si="8"/>
        <v>2278857.5862068962</v>
      </c>
      <c r="D12" s="4">
        <f>+Tabla22[[#This Row],[Share diario]]</f>
        <v>2.9264014360333858E-2</v>
      </c>
      <c r="E12" s="3">
        <f>+Tabla22[[#This Row],[Global 2026]]</f>
        <v>26952477</v>
      </c>
      <c r="F12" s="7">
        <v>46031</v>
      </c>
      <c r="G12" s="3">
        <f>+Tabla2[[#This Row],[Meta Digital]]+Tabla2[[#This Row],[Meta MKPlace]]</f>
        <v>3220117.3540686239</v>
      </c>
      <c r="H12" s="3">
        <v>2567529.833833179</v>
      </c>
      <c r="I12" s="3">
        <v>652587.520235445</v>
      </c>
      <c r="J12" s="3">
        <v>2007643</v>
      </c>
      <c r="K12" s="3">
        <v>1967914</v>
      </c>
      <c r="L12" s="3">
        <v>26027.586206896543</v>
      </c>
      <c r="M12" s="3">
        <f>14542+13435</f>
        <v>27977</v>
      </c>
      <c r="N12" s="3">
        <v>69118</v>
      </c>
      <c r="O12" s="3">
        <v>732</v>
      </c>
      <c r="P12" s="3">
        <v>2178</v>
      </c>
      <c r="Q12" s="3">
        <v>3382</v>
      </c>
      <c r="R12" s="3">
        <v>45932</v>
      </c>
      <c r="S12" s="3">
        <v>81797</v>
      </c>
      <c r="T12" s="3">
        <v>27229</v>
      </c>
      <c r="U12" s="3">
        <v>357183</v>
      </c>
      <c r="V12" s="3">
        <v>63746</v>
      </c>
      <c r="W12" s="3">
        <v>88348</v>
      </c>
      <c r="X12" s="3">
        <v>36984</v>
      </c>
      <c r="Y12" s="3">
        <v>22372</v>
      </c>
      <c r="Z12" s="3">
        <v>0</v>
      </c>
      <c r="AA12" s="3">
        <v>11805</v>
      </c>
      <c r="AB12" s="3">
        <v>0</v>
      </c>
      <c r="AC12" s="3">
        <v>15175</v>
      </c>
      <c r="AD12" s="3">
        <v>0</v>
      </c>
      <c r="AE12" s="3">
        <v>689</v>
      </c>
      <c r="AF12" s="5">
        <f t="shared" si="1"/>
        <v>2577374</v>
      </c>
      <c r="AG12" s="4">
        <f t="shared" si="2"/>
        <v>0.80039753729580176</v>
      </c>
      <c r="AH12" s="5">
        <f t="shared" si="3"/>
        <v>-642743.35406862386</v>
      </c>
      <c r="AI12" s="17">
        <f t="shared" si="4"/>
        <v>0.13099388728805006</v>
      </c>
      <c r="AJ12" s="17">
        <f t="shared" si="5"/>
        <v>7.940374639091588E-2</v>
      </c>
      <c r="AK12" s="14">
        <f t="shared" si="6"/>
        <v>9.5626609754643335E-2</v>
      </c>
      <c r="AL12" s="14">
        <f t="shared" si="7"/>
        <v>-6.0876966920436537E-2</v>
      </c>
    </row>
    <row r="13" spans="1:38" x14ac:dyDescent="0.3">
      <c r="A13" s="7">
        <v>45668</v>
      </c>
      <c r="B13" s="3">
        <v>40105570</v>
      </c>
      <c r="C13" s="3">
        <f t="shared" si="8"/>
        <v>2287848.7931034481</v>
      </c>
      <c r="D13" s="4">
        <f>+Tabla22[[#This Row],[Share diario]]</f>
        <v>2.645897078557783E-2</v>
      </c>
      <c r="E13" s="3">
        <f>+Tabla22[[#This Row],[Global 2026]]</f>
        <v>35436338</v>
      </c>
      <c r="F13" s="7">
        <v>46032</v>
      </c>
      <c r="G13" s="3">
        <f>+Tabla2[[#This Row],[Meta Digital]]+Tabla2[[#This Row],[Meta MKPlace]]</f>
        <v>2911459.4446386099</v>
      </c>
      <c r="H13" s="3">
        <v>2321424.3961202241</v>
      </c>
      <c r="I13" s="3">
        <v>590035.04851838562</v>
      </c>
      <c r="J13" s="3">
        <v>1623013</v>
      </c>
      <c r="K13" s="3">
        <v>1571666</v>
      </c>
      <c r="L13" s="3">
        <v>27638.793103448261</v>
      </c>
      <c r="M13" s="3">
        <f>14575+13419</f>
        <v>27994</v>
      </c>
      <c r="N13" s="3">
        <v>37575</v>
      </c>
      <c r="O13" s="3">
        <v>71315</v>
      </c>
      <c r="P13" s="3">
        <v>943</v>
      </c>
      <c r="Q13" s="3">
        <v>-96</v>
      </c>
      <c r="R13" s="3">
        <v>46764</v>
      </c>
      <c r="S13" s="3">
        <v>34126</v>
      </c>
      <c r="T13" s="3">
        <v>466722</v>
      </c>
      <c r="U13" s="3">
        <v>488987</v>
      </c>
      <c r="V13" s="3">
        <v>44669</v>
      </c>
      <c r="W13" s="3">
        <v>120073</v>
      </c>
      <c r="X13" s="3">
        <v>40524</v>
      </c>
      <c r="Y13" s="3">
        <v>23228</v>
      </c>
      <c r="Z13" s="3">
        <v>0</v>
      </c>
      <c r="AA13" s="3">
        <v>6392</v>
      </c>
      <c r="AB13" s="3">
        <v>0</v>
      </c>
      <c r="AC13" s="3">
        <v>-1487</v>
      </c>
      <c r="AD13" s="3">
        <v>0</v>
      </c>
      <c r="AE13" s="3">
        <v>689</v>
      </c>
      <c r="AF13" s="5">
        <f t="shared" si="1"/>
        <v>2342887</v>
      </c>
      <c r="AG13" s="4">
        <f t="shared" si="2"/>
        <v>0.80471222235788864</v>
      </c>
      <c r="AH13" s="5">
        <f t="shared" si="3"/>
        <v>-568572.44463860989</v>
      </c>
      <c r="AI13" s="17">
        <f t="shared" si="4"/>
        <v>2.4056750193658161E-2</v>
      </c>
      <c r="AJ13" s="17">
        <f t="shared" si="5"/>
        <v>5.7045662063983836E-2</v>
      </c>
      <c r="AK13" s="14">
        <f t="shared" si="6"/>
        <v>6.6115381335396448E-2</v>
      </c>
      <c r="AL13" s="14">
        <f t="shared" si="7"/>
        <v>-0.11642352920055743</v>
      </c>
    </row>
    <row r="14" spans="1:38" x14ac:dyDescent="0.3">
      <c r="A14" s="63">
        <v>45669</v>
      </c>
      <c r="B14" s="3">
        <v>41530429</v>
      </c>
      <c r="C14" s="3">
        <f t="shared" si="8"/>
        <v>2885246.068965517</v>
      </c>
      <c r="D14" s="4">
        <f>+Tabla22[[#This Row],[Share diario]]</f>
        <v>2.656336435630505E-2</v>
      </c>
      <c r="E14" s="3">
        <f>+Tabla22[[#This Row],[Global 2026]]</f>
        <v>37766104</v>
      </c>
      <c r="F14" s="7">
        <v>46033</v>
      </c>
      <c r="G14" s="3">
        <f>+Tabla2[[#This Row],[Meta Digital]]+Tabla2[[#This Row],[Meta MKPlace]]</f>
        <v>2922946.5750306575</v>
      </c>
      <c r="H14" s="3">
        <v>2330583.5498850546</v>
      </c>
      <c r="I14" s="3">
        <v>592363.02514560265</v>
      </c>
      <c r="J14" s="3">
        <v>2046304</v>
      </c>
      <c r="K14" s="3">
        <v>1877762</v>
      </c>
      <c r="L14" s="3">
        <v>27737.068965517228</v>
      </c>
      <c r="M14" s="3">
        <f>16709+13239</f>
        <v>29948</v>
      </c>
      <c r="N14" s="3">
        <v>14675</v>
      </c>
      <c r="O14" s="3">
        <v>-1145</v>
      </c>
      <c r="P14" s="3">
        <v>-1465</v>
      </c>
      <c r="Q14" s="3">
        <v>2935</v>
      </c>
      <c r="R14" s="3">
        <v>85731</v>
      </c>
      <c r="S14" s="3">
        <v>32600</v>
      </c>
      <c r="T14" s="3">
        <v>581035</v>
      </c>
      <c r="U14" s="3">
        <v>182133</v>
      </c>
      <c r="V14" s="3">
        <v>51721</v>
      </c>
      <c r="W14" s="3">
        <v>111049</v>
      </c>
      <c r="X14" s="3">
        <v>79508</v>
      </c>
      <c r="Y14" s="3">
        <v>31695</v>
      </c>
      <c r="Z14" s="3">
        <v>0</v>
      </c>
      <c r="AA14" s="3">
        <v>9041</v>
      </c>
      <c r="AB14" s="3">
        <v>0</v>
      </c>
      <c r="AC14" s="3">
        <v>1612</v>
      </c>
      <c r="AD14" s="3">
        <v>0</v>
      </c>
      <c r="AE14" s="3">
        <v>947</v>
      </c>
      <c r="AF14" s="5">
        <f t="shared" si="1"/>
        <v>2278577</v>
      </c>
      <c r="AG14" s="4">
        <f t="shared" si="2"/>
        <v>0.77954794639929437</v>
      </c>
      <c r="AH14" s="5">
        <f t="shared" si="3"/>
        <v>-644369.57503065746</v>
      </c>
      <c r="AI14" s="17">
        <f t="shared" si="4"/>
        <v>-0.21026597193598584</v>
      </c>
      <c r="AJ14" s="17">
        <f t="shared" si="5"/>
        <v>6.94730620038988E-2</v>
      </c>
      <c r="AK14" s="14">
        <f t="shared" si="6"/>
        <v>6.0333917419705244E-2</v>
      </c>
      <c r="AL14" s="14">
        <f t="shared" si="7"/>
        <v>-9.0640166515014831E-2</v>
      </c>
    </row>
    <row r="15" spans="1:38" x14ac:dyDescent="0.3">
      <c r="A15" s="7">
        <v>45670</v>
      </c>
      <c r="B15" s="3">
        <v>25137619</v>
      </c>
      <c r="C15" s="3">
        <f t="shared" si="8"/>
        <v>4228309.2413793104</v>
      </c>
      <c r="D15" s="4">
        <f>+Tabla22[[#This Row],[Share diario]]</f>
        <v>3.3499522703842613E-2</v>
      </c>
      <c r="E15" s="3">
        <f>+Tabla22[[#This Row],[Global 2026]]</f>
        <v>22002628</v>
      </c>
      <c r="F15" s="7">
        <v>46034</v>
      </c>
      <c r="G15" s="3">
        <f>+Tabla2[[#This Row],[Meta Digital]]+Tabla2[[#This Row],[Meta MKPlace]]</f>
        <v>3686178.9733768031</v>
      </c>
      <c r="H15" s="3">
        <v>2939139.6170811127</v>
      </c>
      <c r="I15" s="3">
        <v>747039.35629569029</v>
      </c>
      <c r="J15" s="3">
        <v>2797894</v>
      </c>
      <c r="K15" s="3">
        <v>2815225</v>
      </c>
      <c r="L15" s="3">
        <v>21892.241379310333</v>
      </c>
      <c r="M15" s="3">
        <f>15551+12840</f>
        <v>28391</v>
      </c>
      <c r="N15" s="3">
        <v>62339</v>
      </c>
      <c r="O15" s="3">
        <v>25098</v>
      </c>
      <c r="P15" s="3">
        <v>7660</v>
      </c>
      <c r="Q15" s="3">
        <v>689</v>
      </c>
      <c r="R15" s="3">
        <v>57950</v>
      </c>
      <c r="S15" s="3">
        <v>78900</v>
      </c>
      <c r="T15" s="3">
        <v>1124689</v>
      </c>
      <c r="U15" s="3">
        <v>1028542</v>
      </c>
      <c r="V15" s="3">
        <v>34111</v>
      </c>
      <c r="W15" s="3">
        <v>130772</v>
      </c>
      <c r="X15" s="3">
        <v>121774</v>
      </c>
      <c r="Y15" s="3">
        <v>38266</v>
      </c>
      <c r="Z15" s="3">
        <v>0</v>
      </c>
      <c r="AA15" s="3">
        <v>9160</v>
      </c>
      <c r="AB15" s="3">
        <v>0</v>
      </c>
      <c r="AC15" s="3">
        <v>15529</v>
      </c>
      <c r="AD15" s="3">
        <v>0</v>
      </c>
      <c r="AE15" s="3">
        <v>0</v>
      </c>
      <c r="AF15" s="5">
        <f t="shared" si="1"/>
        <v>4170572</v>
      </c>
      <c r="AG15" s="4">
        <f t="shared" si="2"/>
        <v>1.1314078969365555</v>
      </c>
      <c r="AH15" s="5">
        <f t="shared" si="3"/>
        <v>484393.0266231969</v>
      </c>
      <c r="AI15" s="17">
        <f t="shared" si="4"/>
        <v>-1.3654924009407599E-2</v>
      </c>
      <c r="AJ15" s="17">
        <f t="shared" si="5"/>
        <v>0.16820643360770607</v>
      </c>
      <c r="AK15" s="14">
        <f t="shared" si="6"/>
        <v>0.18954881207826629</v>
      </c>
      <c r="AL15" s="14">
        <f t="shared" si="7"/>
        <v>-0.124713124182525</v>
      </c>
    </row>
    <row r="16" spans="1:38" x14ac:dyDescent="0.3">
      <c r="A16" s="63">
        <v>45671</v>
      </c>
      <c r="B16" s="3">
        <v>26929672</v>
      </c>
      <c r="C16" s="3">
        <f t="shared" si="8"/>
        <v>4051721.7586206896</v>
      </c>
      <c r="D16" s="4">
        <f>+Tabla22[[#This Row],[Share diario]]</f>
        <v>4.9093331398676845E-2</v>
      </c>
      <c r="E16" s="3">
        <f>+Tabla22[[#This Row],[Global 2026]]</f>
        <v>24135120</v>
      </c>
      <c r="F16" s="7">
        <v>46035</v>
      </c>
      <c r="G16" s="3">
        <f>+Tabla2[[#This Row],[Meta Digital]]+Tabla2[[#This Row],[Meta MKPlace]]</f>
        <v>5402071.1738099987</v>
      </c>
      <c r="H16" s="3">
        <v>4307289.883619505</v>
      </c>
      <c r="I16" s="3">
        <v>1094781.2901904937</v>
      </c>
      <c r="J16" s="3">
        <v>3014987</v>
      </c>
      <c r="K16" s="3">
        <v>3308864</v>
      </c>
      <c r="L16" s="3">
        <v>25132.758620689645</v>
      </c>
      <c r="M16" s="3">
        <f>16835+12441</f>
        <v>29276</v>
      </c>
      <c r="N16" s="3">
        <v>88823</v>
      </c>
      <c r="O16" s="3">
        <v>24647</v>
      </c>
      <c r="P16" s="3">
        <v>264</v>
      </c>
      <c r="Q16" s="3">
        <v>3108</v>
      </c>
      <c r="R16" s="3">
        <v>76057</v>
      </c>
      <c r="S16" s="3">
        <v>43565</v>
      </c>
      <c r="T16" s="3">
        <v>657218</v>
      </c>
      <c r="U16" s="3">
        <v>536006</v>
      </c>
      <c r="V16" s="3">
        <v>100302</v>
      </c>
      <c r="W16" s="3">
        <v>110255</v>
      </c>
      <c r="X16" s="3">
        <v>88938</v>
      </c>
      <c r="Y16" s="3">
        <v>39605</v>
      </c>
      <c r="Z16" s="3">
        <v>0</v>
      </c>
      <c r="AA16" s="3">
        <v>8501</v>
      </c>
      <c r="AB16" s="3">
        <v>0</v>
      </c>
      <c r="AC16" s="3">
        <v>11906</v>
      </c>
      <c r="AD16" s="3">
        <v>0</v>
      </c>
      <c r="AE16" s="3">
        <v>0</v>
      </c>
      <c r="AF16" s="5">
        <f t="shared" si="1"/>
        <v>4115733</v>
      </c>
      <c r="AG16" s="4">
        <f t="shared" si="2"/>
        <v>0.76188055795222631</v>
      </c>
      <c r="AH16" s="5">
        <f t="shared" si="3"/>
        <v>-1286338.1738099987</v>
      </c>
      <c r="AI16" s="17">
        <f t="shared" si="4"/>
        <v>1.5798528426369973E-2</v>
      </c>
      <c r="AJ16" s="17">
        <f t="shared" si="5"/>
        <v>0.15045566684290435</v>
      </c>
      <c r="AK16" s="14">
        <f t="shared" si="6"/>
        <v>0.17052879786800315</v>
      </c>
      <c r="AL16" s="14">
        <f t="shared" si="7"/>
        <v>-0.10377222566988564</v>
      </c>
    </row>
    <row r="17" spans="1:38" x14ac:dyDescent="0.3">
      <c r="A17" s="7">
        <v>45672</v>
      </c>
      <c r="B17" s="3">
        <v>30377124</v>
      </c>
      <c r="C17" s="3">
        <f t="shared" si="8"/>
        <v>4027205.8620689656</v>
      </c>
      <c r="D17" s="4">
        <f>+Tabla22[[#This Row],[Share diario]]</f>
        <v>4.7043039587688316E-2</v>
      </c>
      <c r="E17" s="3">
        <f>+Tabla22[[#This Row],[Global 2026]]</f>
        <v>26317522</v>
      </c>
      <c r="F17" s="7">
        <v>46036</v>
      </c>
      <c r="G17" s="3">
        <f>+Tabla2[[#This Row],[Meta Digital]]+Tabla2[[#This Row],[Meta MKPlace]]</f>
        <v>5176463.7038239976</v>
      </c>
      <c r="H17" s="3">
        <v>4127403.9210185478</v>
      </c>
      <c r="I17" s="3">
        <v>1049059.7828054496</v>
      </c>
      <c r="J17" s="3">
        <v>3145541</v>
      </c>
      <c r="K17" s="3">
        <v>3212173</v>
      </c>
      <c r="L17" s="3">
        <v>28275.8620689655</v>
      </c>
      <c r="M17" s="3">
        <f>15827+12102</f>
        <v>27929</v>
      </c>
      <c r="N17" s="3">
        <v>68859</v>
      </c>
      <c r="O17" s="3">
        <v>49002</v>
      </c>
      <c r="P17" s="3">
        <v>5179</v>
      </c>
      <c r="Q17" s="3">
        <v>2343</v>
      </c>
      <c r="R17" s="3">
        <v>64024</v>
      </c>
      <c r="S17" s="3">
        <v>31865</v>
      </c>
      <c r="T17" s="3">
        <v>635340</v>
      </c>
      <c r="U17" s="3">
        <v>514044</v>
      </c>
      <c r="V17" s="3">
        <v>1022</v>
      </c>
      <c r="W17" s="3">
        <v>119118</v>
      </c>
      <c r="X17" s="3">
        <v>78965</v>
      </c>
      <c r="Y17" s="3">
        <v>41245</v>
      </c>
      <c r="Z17" s="3">
        <v>0</v>
      </c>
      <c r="AA17" s="3">
        <v>5948</v>
      </c>
      <c r="AB17" s="3">
        <v>0</v>
      </c>
      <c r="AC17" s="3">
        <v>15693</v>
      </c>
      <c r="AD17" s="3">
        <v>0</v>
      </c>
      <c r="AE17" s="3">
        <v>0</v>
      </c>
      <c r="AF17" s="5">
        <f t="shared" si="1"/>
        <v>4019360</v>
      </c>
      <c r="AG17" s="4">
        <f t="shared" si="2"/>
        <v>0.77646830538593115</v>
      </c>
      <c r="AH17" s="5">
        <f t="shared" si="3"/>
        <v>-1157103.7038239976</v>
      </c>
      <c r="AI17" s="17">
        <f t="shared" si="4"/>
        <v>-1.9482148014491329E-3</v>
      </c>
      <c r="AJ17" s="17">
        <f t="shared" si="5"/>
        <v>0.13257363870486771</v>
      </c>
      <c r="AK17" s="14">
        <f t="shared" si="6"/>
        <v>0.15272562515574226</v>
      </c>
      <c r="AL17" s="14">
        <f t="shared" si="7"/>
        <v>-0.13364010365168211</v>
      </c>
    </row>
    <row r="18" spans="1:38" x14ac:dyDescent="0.3">
      <c r="A18" s="63">
        <v>45673</v>
      </c>
      <c r="B18" s="3">
        <v>34401698</v>
      </c>
      <c r="C18" s="3">
        <f t="shared" si="8"/>
        <v>3965940.8275862071</v>
      </c>
      <c r="D18" s="4">
        <f>+Tabla22[[#This Row],[Share diario]]</f>
        <v>4.6758394599528262E-2</v>
      </c>
      <c r="E18" s="3">
        <f>+Tabla22[[#This Row],[Global 2026]]</f>
        <v>30903967</v>
      </c>
      <c r="F18" s="7">
        <v>46037</v>
      </c>
      <c r="G18" s="3">
        <f>+Tabla2[[#This Row],[Meta Digital]]+Tabla2[[#This Row],[Meta MKPlace]]</f>
        <v>5145142.291291981</v>
      </c>
      <c r="H18" s="3">
        <v>4102430.091722501</v>
      </c>
      <c r="I18" s="3">
        <v>1042712.1995694803</v>
      </c>
      <c r="J18" s="3">
        <v>2652789</v>
      </c>
      <c r="K18" s="3">
        <v>2833552</v>
      </c>
      <c r="L18" s="3">
        <v>24219.827586206891</v>
      </c>
      <c r="M18" s="3">
        <f>21233+15198</f>
        <v>36431</v>
      </c>
      <c r="N18" s="3">
        <v>86898</v>
      </c>
      <c r="O18" s="3">
        <v>39316</v>
      </c>
      <c r="P18" s="3">
        <v>9752</v>
      </c>
      <c r="Q18" s="3">
        <v>1033</v>
      </c>
      <c r="R18" s="3">
        <v>63370</v>
      </c>
      <c r="S18" s="3">
        <v>49218</v>
      </c>
      <c r="T18" s="3">
        <v>467016</v>
      </c>
      <c r="U18" s="3">
        <v>512619</v>
      </c>
      <c r="V18" s="3">
        <v>578857</v>
      </c>
      <c r="W18" s="3">
        <v>120851</v>
      </c>
      <c r="X18" s="3">
        <v>83039</v>
      </c>
      <c r="Y18" s="3">
        <v>38749</v>
      </c>
      <c r="Z18" s="3">
        <v>0</v>
      </c>
      <c r="AA18" s="3">
        <v>11568</v>
      </c>
      <c r="AB18" s="3">
        <v>0</v>
      </c>
      <c r="AC18" s="3">
        <v>6953</v>
      </c>
      <c r="AD18" s="3">
        <v>0</v>
      </c>
      <c r="AE18" s="3">
        <v>947</v>
      </c>
      <c r="AF18" s="5">
        <f t="shared" si="1"/>
        <v>3651237</v>
      </c>
      <c r="AG18" s="4">
        <f t="shared" si="2"/>
        <v>0.70964742922263269</v>
      </c>
      <c r="AH18" s="5">
        <f t="shared" si="3"/>
        <v>-1493905.291291981</v>
      </c>
      <c r="AI18" s="17">
        <f t="shared" si="4"/>
        <v>-7.9351619519181127E-2</v>
      </c>
      <c r="AJ18" s="17">
        <f t="shared" si="5"/>
        <v>0.11528328710943882</v>
      </c>
      <c r="AK18" s="14">
        <f t="shared" si="6"/>
        <v>0.11814784166705847</v>
      </c>
      <c r="AL18" s="14">
        <f t="shared" si="7"/>
        <v>-0.10167320810734404</v>
      </c>
    </row>
    <row r="19" spans="1:38" x14ac:dyDescent="0.3">
      <c r="A19" s="7">
        <v>45674</v>
      </c>
      <c r="B19" s="3">
        <v>33022574</v>
      </c>
      <c r="C19" s="3">
        <f t="shared" si="8"/>
        <v>2433095.3103448274</v>
      </c>
      <c r="D19" s="4">
        <f>+Tabla22[[#This Row],[Share diario]]</f>
        <v>4.6047068991746487E-2</v>
      </c>
      <c r="E19" s="3">
        <f>+Tabla22[[#This Row],[Global 2026]]</f>
        <v>32703579</v>
      </c>
      <c r="F19" s="7">
        <v>46038</v>
      </c>
      <c r="G19" s="3">
        <f>+Tabla2[[#This Row],[Meta Digital]]+Tabla2[[#This Row],[Meta MKPlace]]</f>
        <v>5066870.3253953187</v>
      </c>
      <c r="H19" s="3">
        <v>4040020.6868793718</v>
      </c>
      <c r="I19" s="3">
        <v>1026849.6385159467</v>
      </c>
      <c r="J19" s="3">
        <v>1736223</v>
      </c>
      <c r="K19" s="3">
        <v>2640237</v>
      </c>
      <c r="L19" s="3">
        <v>19429.310344827587</v>
      </c>
      <c r="M19" s="3">
        <f>19101+16772</f>
        <v>35873</v>
      </c>
      <c r="N19" s="3">
        <v>37364</v>
      </c>
      <c r="O19" s="3">
        <v>-6459</v>
      </c>
      <c r="P19" s="3">
        <v>4728</v>
      </c>
      <c r="Q19" s="3">
        <v>3002</v>
      </c>
      <c r="R19" s="3">
        <v>83214</v>
      </c>
      <c r="S19" s="3">
        <v>52074</v>
      </c>
      <c r="T19" s="3">
        <v>307736</v>
      </c>
      <c r="U19" s="3">
        <v>435351</v>
      </c>
      <c r="V19" s="3">
        <v>197102</v>
      </c>
      <c r="W19" s="3">
        <v>150561</v>
      </c>
      <c r="X19" s="3">
        <v>47299</v>
      </c>
      <c r="Y19" s="3">
        <v>53754</v>
      </c>
      <c r="Z19" s="3">
        <v>0</v>
      </c>
      <c r="AA19" s="3">
        <v>6324</v>
      </c>
      <c r="AB19" s="3">
        <v>0</v>
      </c>
      <c r="AC19" s="3">
        <v>8858</v>
      </c>
      <c r="AD19" s="3">
        <v>0</v>
      </c>
      <c r="AE19" s="3">
        <v>947</v>
      </c>
      <c r="AF19" s="5">
        <f t="shared" si="1"/>
        <v>3380522</v>
      </c>
      <c r="AG19" s="4">
        <f t="shared" si="2"/>
        <v>0.66718147157954955</v>
      </c>
      <c r="AH19" s="5">
        <f t="shared" si="3"/>
        <v>-1686348.3253953187</v>
      </c>
      <c r="AI19" s="17">
        <f t="shared" si="4"/>
        <v>0.38939152347505024</v>
      </c>
      <c r="AJ19" s="17">
        <f t="shared" si="5"/>
        <v>7.3679759498603212E-2</v>
      </c>
      <c r="AK19" s="14">
        <f t="shared" si="6"/>
        <v>0.10336856403392423</v>
      </c>
      <c r="AL19" s="14">
        <f t="shared" si="7"/>
        <v>-9.6599071895485666E-3</v>
      </c>
    </row>
    <row r="20" spans="1:38" x14ac:dyDescent="0.3">
      <c r="A20" s="63">
        <v>45675</v>
      </c>
      <c r="B20" s="3">
        <v>45210881</v>
      </c>
      <c r="C20" s="3">
        <f t="shared" si="8"/>
        <v>3363106</v>
      </c>
      <c r="D20" s="4">
        <f>+Tabla22[[#This Row],[Share diario]]</f>
        <v>2.8249767833054683E-2</v>
      </c>
      <c r="E20" s="3">
        <f>+Tabla22[[#This Row],[Global 2026]]</f>
        <v>45086574</v>
      </c>
      <c r="F20" s="7">
        <v>46039</v>
      </c>
      <c r="G20" s="3">
        <f>+Tabla2[[#This Row],[Meta Digital]]+Tabla2[[#This Row],[Meta MKPlace]]</f>
        <v>3108512.951351326</v>
      </c>
      <c r="H20" s="3">
        <v>2478543.1286742063</v>
      </c>
      <c r="I20" s="3">
        <v>629969.8226771194</v>
      </c>
      <c r="J20" s="3">
        <v>2580220</v>
      </c>
      <c r="K20" s="3">
        <v>2128824</v>
      </c>
      <c r="L20" s="3">
        <v>28299.999999999993</v>
      </c>
      <c r="M20" s="3">
        <f>23452+18396</f>
        <v>41848</v>
      </c>
      <c r="N20" s="3">
        <v>17517</v>
      </c>
      <c r="O20" s="3">
        <v>39673</v>
      </c>
      <c r="P20" s="3">
        <v>6155</v>
      </c>
      <c r="Q20" s="3">
        <v>3597</v>
      </c>
      <c r="R20" s="3">
        <v>63991</v>
      </c>
      <c r="S20" s="3">
        <v>57603</v>
      </c>
      <c r="T20" s="3">
        <v>488099</v>
      </c>
      <c r="U20" s="3">
        <v>457229</v>
      </c>
      <c r="V20" s="3">
        <v>140441</v>
      </c>
      <c r="W20" s="3">
        <v>118233</v>
      </c>
      <c r="X20" s="3">
        <v>38383</v>
      </c>
      <c r="Y20" s="3">
        <v>37402</v>
      </c>
      <c r="Z20" s="3">
        <v>0</v>
      </c>
      <c r="AA20" s="3">
        <v>6671</v>
      </c>
      <c r="AB20" s="3">
        <v>0</v>
      </c>
      <c r="AC20" s="3">
        <v>930</v>
      </c>
      <c r="AD20" s="3">
        <v>0</v>
      </c>
      <c r="AE20" s="3">
        <v>0</v>
      </c>
      <c r="AF20" s="5">
        <f t="shared" si="1"/>
        <v>2892010</v>
      </c>
      <c r="AG20" s="4">
        <f t="shared" si="2"/>
        <v>0.93035160067220946</v>
      </c>
      <c r="AH20" s="5">
        <f t="shared" si="3"/>
        <v>-216502.95135132596</v>
      </c>
      <c r="AI20" s="17">
        <f t="shared" si="4"/>
        <v>-0.14007765440637321</v>
      </c>
      <c r="AJ20" s="17">
        <f t="shared" si="5"/>
        <v>7.4387092788570072E-2</v>
      </c>
      <c r="AK20" s="14">
        <f t="shared" si="6"/>
        <v>6.4143485375491166E-2</v>
      </c>
      <c r="AL20" s="14">
        <f t="shared" si="7"/>
        <v>-2.7494929815679026E-3</v>
      </c>
    </row>
    <row r="21" spans="1:38" x14ac:dyDescent="0.3">
      <c r="A21" s="7">
        <v>45676</v>
      </c>
      <c r="B21" s="3">
        <v>42397530</v>
      </c>
      <c r="C21" s="3">
        <f t="shared" si="8"/>
        <v>2564263.8275862066</v>
      </c>
      <c r="D21" s="4">
        <f>+Tabla22[[#This Row],[Share diario]]</f>
        <v>3.9047777246542986E-2</v>
      </c>
      <c r="E21" s="3">
        <f>+Tabla22[[#This Row],[Global 2026]]</f>
        <v>44463837</v>
      </c>
      <c r="F21" s="7">
        <v>46040</v>
      </c>
      <c r="G21" s="3">
        <f>+Tabla2[[#This Row],[Meta Digital]]+Tabla2[[#This Row],[Meta MKPlace]]</f>
        <v>4296690.932459088</v>
      </c>
      <c r="H21" s="3">
        <v>3425925.4998611794</v>
      </c>
      <c r="I21" s="3">
        <v>870765.43259790854</v>
      </c>
      <c r="J21" s="3">
        <v>2028149</v>
      </c>
      <c r="K21" s="3">
        <v>2552466</v>
      </c>
      <c r="L21" s="3">
        <v>25069.827586206891</v>
      </c>
      <c r="M21" s="3">
        <f>20869+16163</f>
        <v>37032</v>
      </c>
      <c r="N21" s="3">
        <v>22533</v>
      </c>
      <c r="O21" s="3">
        <v>-1059</v>
      </c>
      <c r="P21" s="3">
        <v>9941</v>
      </c>
      <c r="Q21" s="3">
        <v>2557</v>
      </c>
      <c r="R21" s="3">
        <v>65234</v>
      </c>
      <c r="S21" s="3">
        <v>43820</v>
      </c>
      <c r="T21" s="3">
        <v>193047</v>
      </c>
      <c r="U21" s="3">
        <v>167676</v>
      </c>
      <c r="V21" s="3">
        <v>170098</v>
      </c>
      <c r="W21" s="3">
        <v>113618</v>
      </c>
      <c r="X21" s="3">
        <v>50192</v>
      </c>
      <c r="Y21" s="3">
        <v>53156</v>
      </c>
      <c r="Z21" s="3">
        <v>0</v>
      </c>
      <c r="AA21" s="3">
        <v>3354</v>
      </c>
      <c r="AB21" s="3">
        <v>0</v>
      </c>
      <c r="AC21" s="3">
        <v>586</v>
      </c>
      <c r="AD21" s="3">
        <v>0</v>
      </c>
      <c r="AE21" s="3">
        <v>0</v>
      </c>
      <c r="AF21" s="5">
        <f t="shared" si="1"/>
        <v>2973206</v>
      </c>
      <c r="AG21" s="4">
        <f t="shared" si="2"/>
        <v>0.69197576617370771</v>
      </c>
      <c r="AH21" s="5">
        <f t="shared" si="3"/>
        <v>-1323484.932459088</v>
      </c>
      <c r="AI21" s="17">
        <f t="shared" si="4"/>
        <v>0.15947741726666975</v>
      </c>
      <c r="AJ21" s="17">
        <f t="shared" si="5"/>
        <v>6.0481443791329512E-2</v>
      </c>
      <c r="AK21" s="14">
        <f t="shared" si="6"/>
        <v>6.6867958336569111E-2</v>
      </c>
      <c r="AL21" s="14">
        <f t="shared" si="7"/>
        <v>4.8736494791087992E-2</v>
      </c>
    </row>
    <row r="22" spans="1:38" x14ac:dyDescent="0.3">
      <c r="A22" s="63">
        <v>45677</v>
      </c>
      <c r="B22" s="3">
        <v>24310022</v>
      </c>
      <c r="C22" s="3">
        <f t="shared" si="8"/>
        <v>3939989.6896551726</v>
      </c>
      <c r="D22" s="4">
        <f>+Tabla22[[#This Row],[Share diario]]</f>
        <v>2.9772716869748951E-2</v>
      </c>
      <c r="E22" s="3">
        <f>+Tabla22[[#This Row],[Global 2026]]</f>
        <v>25877600</v>
      </c>
      <c r="F22" s="7">
        <v>46041</v>
      </c>
      <c r="G22" s="3">
        <f>+Tabla2[[#This Row],[Meta Digital]]+Tabla2[[#This Row],[Meta MKPlace]]</f>
        <v>3276093.3305172333</v>
      </c>
      <c r="H22" s="3">
        <v>2612161.7443218315</v>
      </c>
      <c r="I22" s="3">
        <v>663931.58619540161</v>
      </c>
      <c r="J22" s="3">
        <v>3051836</v>
      </c>
      <c r="K22" s="3">
        <v>3650682</v>
      </c>
      <c r="L22" s="3">
        <v>24870.689655172406</v>
      </c>
      <c r="M22" s="3">
        <f>16838+12441</f>
        <v>29279</v>
      </c>
      <c r="N22" s="3">
        <v>62489</v>
      </c>
      <c r="O22" s="3">
        <v>39416</v>
      </c>
      <c r="P22" s="3">
        <v>2112</v>
      </c>
      <c r="Q22" s="3">
        <v>1876</v>
      </c>
      <c r="R22" s="3">
        <v>23575</v>
      </c>
      <c r="S22" s="3">
        <v>66465</v>
      </c>
      <c r="T22" s="3">
        <v>601975</v>
      </c>
      <c r="U22" s="3">
        <v>827888</v>
      </c>
      <c r="V22" s="3">
        <v>119622</v>
      </c>
      <c r="W22" s="3">
        <v>129619</v>
      </c>
      <c r="X22" s="3">
        <v>47661</v>
      </c>
      <c r="Y22" s="3">
        <v>40872</v>
      </c>
      <c r="Z22" s="3">
        <v>5849</v>
      </c>
      <c r="AA22" s="3">
        <v>7344</v>
      </c>
      <c r="AB22" s="3">
        <v>0</v>
      </c>
      <c r="AC22" s="3">
        <v>6161</v>
      </c>
      <c r="AD22" s="3">
        <v>0</v>
      </c>
      <c r="AE22" s="3">
        <v>861</v>
      </c>
      <c r="AF22" s="5">
        <f t="shared" si="1"/>
        <v>4800463</v>
      </c>
      <c r="AG22" s="4">
        <f t="shared" si="2"/>
        <v>1.4653010508837052</v>
      </c>
      <c r="AH22" s="5">
        <f t="shared" si="3"/>
        <v>1524369.6694827667</v>
      </c>
      <c r="AI22" s="17">
        <f t="shared" si="4"/>
        <v>0.21839481270828798</v>
      </c>
      <c r="AJ22" s="17">
        <f t="shared" si="5"/>
        <v>0.16207265010517771</v>
      </c>
      <c r="AK22" s="14">
        <f t="shared" si="6"/>
        <v>0.18550649982996878</v>
      </c>
      <c r="AL22" s="14">
        <f t="shared" si="7"/>
        <v>6.4482788209734965E-2</v>
      </c>
    </row>
    <row r="23" spans="1:38" x14ac:dyDescent="0.3">
      <c r="A23" s="7">
        <v>45678</v>
      </c>
      <c r="B23" s="3">
        <v>25280575</v>
      </c>
      <c r="C23" s="3">
        <f t="shared" si="8"/>
        <v>4126281</v>
      </c>
      <c r="D23" s="4">
        <f>+Tabla22[[#This Row],[Share diario]]</f>
        <v>4.5745759947896744E-2</v>
      </c>
      <c r="E23" s="3">
        <f>+Tabla22[[#This Row],[Global 2026]]</f>
        <v>26671750</v>
      </c>
      <c r="F23" s="7">
        <v>46042</v>
      </c>
      <c r="G23" s="3">
        <f>+Tabla2[[#This Row],[Meta Digital]]+Tabla2[[#This Row],[Meta MKPlace]]</f>
        <v>5033715.2541500861</v>
      </c>
      <c r="H23" s="3">
        <v>4013584.8073119884</v>
      </c>
      <c r="I23" s="3">
        <v>1020130.4468380974</v>
      </c>
      <c r="J23" s="3">
        <v>2969811</v>
      </c>
      <c r="K23" s="3">
        <v>3539014</v>
      </c>
      <c r="L23" s="3">
        <v>20874.999999999993</v>
      </c>
      <c r="M23" s="3">
        <f>16964+18297</f>
        <v>35261</v>
      </c>
      <c r="N23" s="3">
        <v>56684</v>
      </c>
      <c r="O23" s="3">
        <v>50393</v>
      </c>
      <c r="P23" s="3">
        <v>6612</v>
      </c>
      <c r="Q23" s="3">
        <v>1403</v>
      </c>
      <c r="R23" s="3">
        <v>40784</v>
      </c>
      <c r="S23" s="3">
        <v>82775</v>
      </c>
      <c r="T23" s="3">
        <v>884541</v>
      </c>
      <c r="U23" s="3">
        <v>541048</v>
      </c>
      <c r="V23" s="3">
        <v>85285</v>
      </c>
      <c r="W23" s="3">
        <v>103829</v>
      </c>
      <c r="X23" s="3">
        <v>44091</v>
      </c>
      <c r="Y23" s="3">
        <v>59350</v>
      </c>
      <c r="Z23" s="3">
        <v>17598</v>
      </c>
      <c r="AA23" s="3">
        <v>5233</v>
      </c>
      <c r="AB23" s="3">
        <v>0</v>
      </c>
      <c r="AC23" s="3">
        <v>8443</v>
      </c>
      <c r="AD23" s="3">
        <v>0</v>
      </c>
      <c r="AE23" s="3">
        <v>0</v>
      </c>
      <c r="AF23" s="5">
        <f t="shared" si="1"/>
        <v>4426749</v>
      </c>
      <c r="AG23" s="4">
        <f t="shared" si="2"/>
        <v>0.87941982740289726</v>
      </c>
      <c r="AH23" s="5">
        <f t="shared" si="3"/>
        <v>-606966.25415008608</v>
      </c>
      <c r="AI23" s="17">
        <f t="shared" si="4"/>
        <v>7.2818113938435181E-2</v>
      </c>
      <c r="AJ23" s="17">
        <f t="shared" si="5"/>
        <v>0.16321942835556549</v>
      </c>
      <c r="AK23" s="14">
        <f t="shared" si="6"/>
        <v>0.16597144919249768</v>
      </c>
      <c r="AL23" s="14">
        <f t="shared" si="7"/>
        <v>5.5029404987821717E-2</v>
      </c>
    </row>
    <row r="24" spans="1:38" x14ac:dyDescent="0.3">
      <c r="A24" s="63">
        <v>45679</v>
      </c>
      <c r="B24" s="3">
        <v>27320349</v>
      </c>
      <c r="C24" s="3">
        <f t="shared" si="8"/>
        <v>3467828.0689655175</v>
      </c>
      <c r="D24" s="4">
        <f>+Tabla22[[#This Row],[Share diario]]</f>
        <v>4.7908719304310551E-2</v>
      </c>
      <c r="E24" s="3">
        <f>+Tabla22[[#This Row],[Global 2026]]</f>
        <v>28758026</v>
      </c>
      <c r="F24" s="7">
        <v>46043</v>
      </c>
      <c r="G24" s="3">
        <f>+Tabla2[[#This Row],[Meta Digital]]+Tabla2[[#This Row],[Meta MKPlace]]</f>
        <v>5271720.295904506</v>
      </c>
      <c r="H24" s="3">
        <v>4203355.8554183803</v>
      </c>
      <c r="I24" s="3">
        <v>1068364.4404861252</v>
      </c>
      <c r="J24" s="3">
        <v>2805417</v>
      </c>
      <c r="K24" s="3">
        <v>3499850</v>
      </c>
      <c r="L24" s="3">
        <v>19287.068965517239</v>
      </c>
      <c r="M24" s="3">
        <f>13419+17382</f>
        <v>30801</v>
      </c>
      <c r="N24" s="3">
        <v>90551</v>
      </c>
      <c r="O24" s="3">
        <v>35803</v>
      </c>
      <c r="P24" s="3">
        <v>1592</v>
      </c>
      <c r="Q24" s="3">
        <v>5841</v>
      </c>
      <c r="R24" s="3">
        <v>36254</v>
      </c>
      <c r="S24" s="3">
        <v>48687</v>
      </c>
      <c r="T24" s="3">
        <v>374553</v>
      </c>
      <c r="U24" s="3">
        <v>482866</v>
      </c>
      <c r="V24" s="3">
        <v>69855</v>
      </c>
      <c r="W24" s="3">
        <v>118197</v>
      </c>
      <c r="X24" s="3">
        <v>52088</v>
      </c>
      <c r="Y24" s="3">
        <v>45226</v>
      </c>
      <c r="Z24" s="3">
        <v>18231</v>
      </c>
      <c r="AA24" s="3">
        <v>2767</v>
      </c>
      <c r="AB24" s="3">
        <v>0</v>
      </c>
      <c r="AC24" s="3">
        <v>9702</v>
      </c>
      <c r="AD24" s="3">
        <v>0</v>
      </c>
      <c r="AE24" s="3">
        <v>0</v>
      </c>
      <c r="AF24" s="5">
        <f t="shared" si="1"/>
        <v>4279740</v>
      </c>
      <c r="AG24" s="4">
        <f t="shared" si="2"/>
        <v>0.81182986952567349</v>
      </c>
      <c r="AH24" s="5">
        <f t="shared" si="3"/>
        <v>-991980.295904506</v>
      </c>
      <c r="AI24" s="17">
        <f t="shared" si="4"/>
        <v>0.23412692754306086</v>
      </c>
      <c r="AJ24" s="17">
        <f t="shared" si="5"/>
        <v>0.12693205599114116</v>
      </c>
      <c r="AK24" s="14">
        <f t="shared" si="6"/>
        <v>0.14881897665715998</v>
      </c>
      <c r="AL24" s="14">
        <f t="shared" si="7"/>
        <v>5.2622936844620938E-2</v>
      </c>
    </row>
    <row r="25" spans="1:38" x14ac:dyDescent="0.3">
      <c r="A25" s="7">
        <v>45680</v>
      </c>
      <c r="B25" s="3">
        <v>28863545</v>
      </c>
      <c r="C25" s="3">
        <f t="shared" si="8"/>
        <v>2314941.4137931038</v>
      </c>
      <c r="D25" s="4">
        <f>+Tabla22[[#This Row],[Share diario]]</f>
        <v>4.0263666374558173E-2</v>
      </c>
      <c r="E25" s="3">
        <f>+Tabla22[[#This Row],[Global 2026]]</f>
        <v>30590251</v>
      </c>
      <c r="F25" s="7">
        <v>46044</v>
      </c>
      <c r="G25" s="3">
        <f>+Tabla2[[#This Row],[Meta Digital]]+Tabla2[[#This Row],[Meta MKPlace]]</f>
        <v>4430483.4338409938</v>
      </c>
      <c r="H25" s="3">
        <v>3532603.6736883461</v>
      </c>
      <c r="I25" s="3">
        <v>897879.76015264727</v>
      </c>
      <c r="J25" s="3">
        <v>1788443</v>
      </c>
      <c r="K25" s="3">
        <v>2626517</v>
      </c>
      <c r="L25" s="3">
        <v>22197.413793103442</v>
      </c>
      <c r="M25" s="3">
        <f>13884+15409</f>
        <v>29293</v>
      </c>
      <c r="N25" s="3">
        <v>61174</v>
      </c>
      <c r="O25" s="3">
        <v>89330</v>
      </c>
      <c r="P25" s="3">
        <v>1316</v>
      </c>
      <c r="Q25" s="3">
        <v>878</v>
      </c>
      <c r="R25" s="3">
        <v>49423</v>
      </c>
      <c r="S25" s="3">
        <v>73394</v>
      </c>
      <c r="T25" s="3">
        <v>276672</v>
      </c>
      <c r="U25" s="3">
        <v>421869</v>
      </c>
      <c r="V25" s="3">
        <v>49661</v>
      </c>
      <c r="W25" s="3">
        <v>87416</v>
      </c>
      <c r="X25" s="3">
        <v>52812</v>
      </c>
      <c r="Y25" s="3">
        <v>44135</v>
      </c>
      <c r="Z25" s="3">
        <v>13243</v>
      </c>
      <c r="AA25" s="3">
        <v>5521</v>
      </c>
      <c r="AB25" s="3">
        <v>0</v>
      </c>
      <c r="AC25" s="3">
        <v>12903</v>
      </c>
      <c r="AD25" s="3">
        <v>0</v>
      </c>
      <c r="AE25" s="3">
        <v>0</v>
      </c>
      <c r="AF25" s="5">
        <f t="shared" si="1"/>
        <v>3391256</v>
      </c>
      <c r="AG25" s="4">
        <f t="shared" si="2"/>
        <v>0.76543701170324907</v>
      </c>
      <c r="AH25" s="5">
        <f t="shared" si="3"/>
        <v>-1039227.4338409938</v>
      </c>
      <c r="AI25" s="17">
        <f t="shared" si="4"/>
        <v>0.46494247318480575</v>
      </c>
      <c r="AJ25" s="17">
        <f t="shared" si="5"/>
        <v>8.0202948521850101E-2</v>
      </c>
      <c r="AK25" s="14">
        <f t="shared" si="6"/>
        <v>0.11086067910982489</v>
      </c>
      <c r="AL25" s="14">
        <f t="shared" si="7"/>
        <v>5.9823074400597642E-2</v>
      </c>
    </row>
    <row r="26" spans="1:38" x14ac:dyDescent="0.3">
      <c r="A26" s="63">
        <v>45681</v>
      </c>
      <c r="B26" s="3">
        <v>31893984</v>
      </c>
      <c r="C26" s="3">
        <f t="shared" si="8"/>
        <v>1982979.2068965517</v>
      </c>
      <c r="D26" s="4">
        <f>+Tabla22[[#This Row],[Share diario]]</f>
        <v>2.6877926733379923E-2</v>
      </c>
      <c r="E26" s="3">
        <f>+Tabla22[[#This Row],[Global 2026]]</f>
        <v>31338795</v>
      </c>
      <c r="F26" s="7">
        <v>46045</v>
      </c>
      <c r="G26" s="3">
        <f>+Tabla2[[#This Row],[Meta Digital]]+Tabla2[[#This Row],[Meta MKPlace]]</f>
        <v>2957560.0001364369</v>
      </c>
      <c r="H26" s="3">
        <v>2358182.2339820648</v>
      </c>
      <c r="I26" s="3">
        <v>599377.76615437225</v>
      </c>
      <c r="J26" s="3">
        <v>1462778</v>
      </c>
      <c r="K26" s="3">
        <v>2207677</v>
      </c>
      <c r="L26" s="3">
        <v>19311.206896551714</v>
      </c>
      <c r="M26" s="3">
        <f>14447+12553</f>
        <v>27000</v>
      </c>
      <c r="N26" s="3">
        <v>70610</v>
      </c>
      <c r="O26" s="3">
        <v>50125</v>
      </c>
      <c r="P26" s="3">
        <v>2246</v>
      </c>
      <c r="Q26" s="3">
        <v>1962</v>
      </c>
      <c r="R26" s="3">
        <v>52560</v>
      </c>
      <c r="S26" s="3">
        <v>62478</v>
      </c>
      <c r="T26" s="3">
        <v>296224</v>
      </c>
      <c r="U26" s="3">
        <v>395456</v>
      </c>
      <c r="V26" s="3">
        <v>49215</v>
      </c>
      <c r="W26" s="3">
        <v>87113</v>
      </c>
      <c r="X26" s="3">
        <v>15576</v>
      </c>
      <c r="Y26" s="3">
        <v>29785</v>
      </c>
      <c r="Z26" s="3">
        <v>14459</v>
      </c>
      <c r="AA26" s="3">
        <v>3177</v>
      </c>
      <c r="AB26" s="3">
        <v>0</v>
      </c>
      <c r="AC26" s="3">
        <v>1034</v>
      </c>
      <c r="AD26" s="3">
        <v>0</v>
      </c>
      <c r="AE26" s="3">
        <v>947</v>
      </c>
      <c r="AF26" s="5">
        <f t="shared" si="1"/>
        <v>2866754</v>
      </c>
      <c r="AG26" s="4">
        <f t="shared" si="2"/>
        <v>0.96929698801300801</v>
      </c>
      <c r="AH26" s="5">
        <f t="shared" si="3"/>
        <v>-90806.000136436895</v>
      </c>
      <c r="AI26" s="17">
        <f t="shared" si="4"/>
        <v>0.4456803127485105</v>
      </c>
      <c r="AJ26" s="17">
        <f t="shared" si="5"/>
        <v>6.2174082952338339E-2</v>
      </c>
      <c r="AK26" s="14">
        <f t="shared" si="6"/>
        <v>9.1476203855317351E-2</v>
      </c>
      <c r="AL26" s="14">
        <f t="shared" si="7"/>
        <v>-1.7407326723434702E-2</v>
      </c>
    </row>
    <row r="27" spans="1:38" x14ac:dyDescent="0.3">
      <c r="A27" s="7">
        <v>45682</v>
      </c>
      <c r="B27" s="3">
        <v>39679161</v>
      </c>
      <c r="C27" s="3">
        <f t="shared" si="8"/>
        <v>1581235.4827586208</v>
      </c>
      <c r="D27" s="4">
        <f>+Tabla22[[#This Row],[Share diario]]</f>
        <v>2.3023636589338259E-2</v>
      </c>
      <c r="E27" s="3">
        <f>+Tabla22[[#This Row],[Global 2026]]</f>
        <v>40446079</v>
      </c>
      <c r="F27" s="7">
        <v>46046</v>
      </c>
      <c r="G27" s="3">
        <f>+Tabla2[[#This Row],[Meta Digital]]+Tabla2[[#This Row],[Meta MKPlace]]</f>
        <v>2533446.3967318689</v>
      </c>
      <c r="H27" s="3">
        <v>2020019.3007896256</v>
      </c>
      <c r="I27" s="3">
        <v>513427.09594224318</v>
      </c>
      <c r="J27" s="3">
        <v>1103959</v>
      </c>
      <c r="K27" s="3">
        <v>1954073</v>
      </c>
      <c r="L27" s="3">
        <v>21284.482758620688</v>
      </c>
      <c r="M27" s="3">
        <f>17029+13804</f>
        <v>30833</v>
      </c>
      <c r="N27" s="3">
        <v>11116</v>
      </c>
      <c r="O27" s="3">
        <v>29064</v>
      </c>
      <c r="P27" s="3">
        <v>430</v>
      </c>
      <c r="Q27" s="3">
        <v>1720</v>
      </c>
      <c r="R27" s="3">
        <v>56626</v>
      </c>
      <c r="S27" s="3">
        <v>60413</v>
      </c>
      <c r="T27" s="3">
        <v>295266</v>
      </c>
      <c r="U27" s="3">
        <v>400858</v>
      </c>
      <c r="V27" s="3">
        <v>41484</v>
      </c>
      <c r="W27" s="3">
        <v>71989</v>
      </c>
      <c r="X27" s="3">
        <v>39494</v>
      </c>
      <c r="Y27" s="3">
        <v>36844</v>
      </c>
      <c r="Z27" s="3">
        <v>11576</v>
      </c>
      <c r="AA27" s="3">
        <v>3208</v>
      </c>
      <c r="AB27" s="3">
        <v>0</v>
      </c>
      <c r="AC27" s="3">
        <v>0</v>
      </c>
      <c r="AD27" s="3">
        <v>0</v>
      </c>
      <c r="AE27" s="3">
        <v>0</v>
      </c>
      <c r="AF27" s="5">
        <f t="shared" si="1"/>
        <v>2589002</v>
      </c>
      <c r="AG27" s="4">
        <f t="shared" si="2"/>
        <v>1.0219288647037481</v>
      </c>
      <c r="AH27" s="5">
        <f t="shared" si="3"/>
        <v>55555.603268131148</v>
      </c>
      <c r="AI27" s="17">
        <f t="shared" si="4"/>
        <v>0.63732854987748655</v>
      </c>
      <c r="AJ27" s="17">
        <f t="shared" si="5"/>
        <v>3.9850527150980357E-2</v>
      </c>
      <c r="AK27" s="14">
        <f t="shared" si="6"/>
        <v>6.4011198712241049E-2</v>
      </c>
      <c r="AL27" s="14">
        <f t="shared" si="7"/>
        <v>1.9327979238270787E-2</v>
      </c>
    </row>
    <row r="28" spans="1:38" x14ac:dyDescent="0.3">
      <c r="A28" s="63">
        <v>45683</v>
      </c>
      <c r="B28" s="3">
        <v>37710035</v>
      </c>
      <c r="C28" s="3">
        <f t="shared" si="8"/>
        <v>1989044.2068965517</v>
      </c>
      <c r="D28" s="4">
        <f>+Tabla22[[#This Row],[Share diario]]</f>
        <v>1.835913911279885E-2</v>
      </c>
      <c r="E28" s="3">
        <f>+Tabla22[[#This Row],[Global 2026]]</f>
        <v>40762958</v>
      </c>
      <c r="F28" s="7">
        <v>46047</v>
      </c>
      <c r="G28" s="3">
        <f>+Tabla2[[#This Row],[Meta Digital]]+Tabla2[[#This Row],[Meta MKPlace]]</f>
        <v>2020180.2027207988</v>
      </c>
      <c r="H28" s="3">
        <v>1610771.4005053844</v>
      </c>
      <c r="I28" s="3">
        <v>409408.80221541435</v>
      </c>
      <c r="J28" s="3">
        <v>1640079</v>
      </c>
      <c r="K28" s="3">
        <v>2194390</v>
      </c>
      <c r="L28" s="3">
        <v>18636.206896551717</v>
      </c>
      <c r="M28" s="3">
        <f>16696+14416</f>
        <v>31112</v>
      </c>
      <c r="N28" s="3">
        <v>20959</v>
      </c>
      <c r="O28" s="3">
        <v>5527</v>
      </c>
      <c r="P28" s="3">
        <v>6107</v>
      </c>
      <c r="Q28" s="3">
        <v>1670</v>
      </c>
      <c r="R28" s="3">
        <v>42996</v>
      </c>
      <c r="S28" s="3">
        <v>80142</v>
      </c>
      <c r="T28" s="3">
        <v>181222</v>
      </c>
      <c r="U28" s="3">
        <v>329347</v>
      </c>
      <c r="V28" s="3">
        <v>38455</v>
      </c>
      <c r="W28" s="3">
        <v>91250</v>
      </c>
      <c r="X28" s="3">
        <v>33258</v>
      </c>
      <c r="Y28" s="3">
        <v>31562</v>
      </c>
      <c r="Z28" s="3">
        <v>7332</v>
      </c>
      <c r="AA28" s="3">
        <v>3487</v>
      </c>
      <c r="AB28" s="3">
        <v>0</v>
      </c>
      <c r="AC28" s="3">
        <v>1118</v>
      </c>
      <c r="AD28" s="3">
        <v>0</v>
      </c>
      <c r="AE28" s="3">
        <v>0</v>
      </c>
      <c r="AF28" s="5">
        <f t="shared" si="1"/>
        <v>2769605</v>
      </c>
      <c r="AG28" s="4">
        <f t="shared" si="2"/>
        <v>1.3709692809927889</v>
      </c>
      <c r="AH28" s="5">
        <f t="shared" si="3"/>
        <v>749424.79727920122</v>
      </c>
      <c r="AI28" s="17">
        <f t="shared" si="4"/>
        <v>0.39243008797744872</v>
      </c>
      <c r="AJ28" s="17">
        <f t="shared" si="5"/>
        <v>5.274575340215281E-2</v>
      </c>
      <c r="AK28" s="14">
        <f t="shared" si="6"/>
        <v>6.7944161461491584E-2</v>
      </c>
      <c r="AL28" s="14">
        <f t="shared" si="7"/>
        <v>8.0957840532367653E-2</v>
      </c>
    </row>
    <row r="29" spans="1:38" x14ac:dyDescent="0.3">
      <c r="A29" s="7">
        <v>45684</v>
      </c>
      <c r="B29" s="3">
        <v>22777244</v>
      </c>
      <c r="C29" s="3">
        <f t="shared" si="8"/>
        <v>3133160.5517241377</v>
      </c>
      <c r="D29" s="4">
        <f>+Tabla22[[#This Row],[Share diario]]</f>
        <v>2.309405505637447E-2</v>
      </c>
      <c r="E29" s="3">
        <f>+Tabla22[[#This Row],[Global 2026]]</f>
        <v>22718693</v>
      </c>
      <c r="F29" s="7">
        <v>46048</v>
      </c>
      <c r="G29" s="3">
        <f>+Tabla2[[#This Row],[Meta Digital]]+Tabla2[[#This Row],[Meta MKPlace]]</f>
        <v>2541195.0167591185</v>
      </c>
      <c r="H29" s="3">
        <v>2026197.589001968</v>
      </c>
      <c r="I29" s="3">
        <v>514997.42775715067</v>
      </c>
      <c r="J29" s="3">
        <v>2287434</v>
      </c>
      <c r="K29" s="3">
        <v>3117837</v>
      </c>
      <c r="L29" s="3">
        <v>20571.551724137928</v>
      </c>
      <c r="M29" s="3">
        <f>12809+10481</f>
        <v>23290</v>
      </c>
      <c r="N29" s="3">
        <v>48184</v>
      </c>
      <c r="O29" s="3">
        <v>4291</v>
      </c>
      <c r="P29" s="3">
        <v>6325</v>
      </c>
      <c r="Q29" s="3">
        <v>1531</v>
      </c>
      <c r="R29" s="3">
        <v>38707</v>
      </c>
      <c r="S29" s="3">
        <v>43342</v>
      </c>
      <c r="T29" s="3">
        <v>428538</v>
      </c>
      <c r="U29" s="3">
        <v>517922</v>
      </c>
      <c r="V29" s="3">
        <v>34661</v>
      </c>
      <c r="W29" s="3">
        <v>78533</v>
      </c>
      <c r="X29" s="3">
        <v>41258</v>
      </c>
      <c r="Y29" s="3">
        <v>42966</v>
      </c>
      <c r="Z29" s="3">
        <v>227482</v>
      </c>
      <c r="AA29" s="3">
        <v>8314</v>
      </c>
      <c r="AB29" s="3">
        <v>0</v>
      </c>
      <c r="AC29" s="3">
        <v>10462</v>
      </c>
      <c r="AD29" s="3">
        <v>0</v>
      </c>
      <c r="AE29" s="3">
        <v>1378</v>
      </c>
      <c r="AF29" s="5">
        <f t="shared" si="1"/>
        <v>3849866</v>
      </c>
      <c r="AG29" s="4">
        <f t="shared" si="2"/>
        <v>1.5149825080760149</v>
      </c>
      <c r="AH29" s="5">
        <f t="shared" si="3"/>
        <v>1308670.9832408815</v>
      </c>
      <c r="AI29" s="17">
        <f t="shared" si="4"/>
        <v>0.22874839525266855</v>
      </c>
      <c r="AJ29" s="17">
        <f t="shared" si="5"/>
        <v>0.13755661359750712</v>
      </c>
      <c r="AK29" s="14">
        <f t="shared" si="6"/>
        <v>0.16945807577927127</v>
      </c>
      <c r="AL29" s="14">
        <f t="shared" si="7"/>
        <v>-2.5705919469449778E-3</v>
      </c>
    </row>
    <row r="30" spans="1:38" x14ac:dyDescent="0.3">
      <c r="A30" s="63">
        <v>45685</v>
      </c>
      <c r="B30" s="3">
        <v>24302957</v>
      </c>
      <c r="C30" s="3">
        <f t="shared" si="8"/>
        <v>3137849.8620689656</v>
      </c>
      <c r="D30" s="4">
        <f>+Tabla22[[#This Row],[Share diario]]</f>
        <v>3.6377965874813303E-2</v>
      </c>
      <c r="E30" s="3">
        <f>+Tabla22[[#This Row],[Global 2026]]</f>
        <v>24708209</v>
      </c>
      <c r="F30" s="7">
        <v>46049</v>
      </c>
      <c r="G30" s="3">
        <f>+Tabla2[[#This Row],[Meta Digital]]+Tabla2[[#This Row],[Meta MKPlace]]</f>
        <v>4002913.5366329867</v>
      </c>
      <c r="H30" s="3">
        <v>3191684.89762465</v>
      </c>
      <c r="I30" s="3">
        <v>811228.6390083367</v>
      </c>
      <c r="J30" s="3">
        <v>2625912</v>
      </c>
      <c r="K30" s="3">
        <v>3426615</v>
      </c>
      <c r="L30" s="3">
        <v>24700.8620689655</v>
      </c>
      <c r="M30" s="3">
        <f>16341+11476</f>
        <v>27817</v>
      </c>
      <c r="N30" s="3">
        <v>92321</v>
      </c>
      <c r="O30" s="3">
        <v>57382</v>
      </c>
      <c r="P30" s="3">
        <v>6877</v>
      </c>
      <c r="Q30" s="3">
        <v>5403</v>
      </c>
      <c r="R30" s="3">
        <v>49308</v>
      </c>
      <c r="S30" s="3">
        <v>52302</v>
      </c>
      <c r="T30" s="3">
        <v>276028</v>
      </c>
      <c r="U30" s="3">
        <v>411232</v>
      </c>
      <c r="V30" s="3">
        <v>43571</v>
      </c>
      <c r="W30" s="3">
        <v>82440</v>
      </c>
      <c r="X30" s="3">
        <v>14912</v>
      </c>
      <c r="Y30" s="3">
        <v>37763</v>
      </c>
      <c r="Z30" s="3">
        <v>4220</v>
      </c>
      <c r="AA30" s="3">
        <v>5270</v>
      </c>
      <c r="AB30" s="3">
        <v>0</v>
      </c>
      <c r="AC30" s="3">
        <v>1490</v>
      </c>
      <c r="AD30" s="3">
        <v>0</v>
      </c>
      <c r="AE30" s="3">
        <v>0</v>
      </c>
      <c r="AF30" s="5">
        <f t="shared" si="1"/>
        <v>4107714</v>
      </c>
      <c r="AG30" s="4">
        <f t="shared" si="2"/>
        <v>1.0261810459826133</v>
      </c>
      <c r="AH30" s="5">
        <f t="shared" si="3"/>
        <v>104800.46336701326</v>
      </c>
      <c r="AI30" s="17">
        <f t="shared" si="4"/>
        <v>0.30908557788406954</v>
      </c>
      <c r="AJ30" s="17">
        <f t="shared" si="5"/>
        <v>0.12911391243744394</v>
      </c>
      <c r="AK30" s="14">
        <f t="shared" si="6"/>
        <v>0.1662489579880112</v>
      </c>
      <c r="AL30" s="14">
        <f t="shared" si="7"/>
        <v>1.667500790130183E-2</v>
      </c>
    </row>
    <row r="31" spans="1:38" x14ac:dyDescent="0.3">
      <c r="A31" s="7">
        <v>45686</v>
      </c>
      <c r="B31" s="3">
        <v>26923427</v>
      </c>
      <c r="C31" s="3">
        <f t="shared" si="8"/>
        <v>2877999.6206896552</v>
      </c>
      <c r="D31" s="4">
        <f>+Tabla22[[#This Row],[Share diario]]</f>
        <v>3.6432411719156226E-2</v>
      </c>
      <c r="E31" s="3">
        <f>+Tabla22[[#This Row],[Global 2026]]</f>
        <v>25710859</v>
      </c>
      <c r="F31" s="7">
        <v>46050</v>
      </c>
      <c r="G31" s="3">
        <f>+Tabla2[[#This Row],[Meta Digital]]+Tabla2[[#This Row],[Meta MKPlace]]</f>
        <v>4008904.5809943923</v>
      </c>
      <c r="H31" s="3">
        <v>3196461.7996572084</v>
      </c>
      <c r="I31" s="3">
        <v>812442.78133718378</v>
      </c>
      <c r="J31" s="3">
        <v>2418581</v>
      </c>
      <c r="K31" s="3">
        <v>2794957</v>
      </c>
      <c r="L31" s="3">
        <v>20333.620689655167</v>
      </c>
      <c r="M31" s="3">
        <f>128+1268</f>
        <v>1396</v>
      </c>
      <c r="N31" s="3">
        <v>55131</v>
      </c>
      <c r="O31" s="3">
        <v>24203</v>
      </c>
      <c r="P31" s="3">
        <v>6277</v>
      </c>
      <c r="Q31" s="3">
        <v>1791</v>
      </c>
      <c r="R31" s="3">
        <v>82493</v>
      </c>
      <c r="S31" s="3">
        <v>86934</v>
      </c>
      <c r="T31" s="3">
        <v>224454</v>
      </c>
      <c r="U31" s="3">
        <v>411456</v>
      </c>
      <c r="V31" s="3">
        <v>43095</v>
      </c>
      <c r="W31" s="3">
        <v>58025</v>
      </c>
      <c r="X31" s="3">
        <v>21531</v>
      </c>
      <c r="Y31" s="3">
        <v>39072</v>
      </c>
      <c r="Z31" s="3">
        <v>6104</v>
      </c>
      <c r="AA31" s="3">
        <v>4163</v>
      </c>
      <c r="AB31" s="3">
        <v>0</v>
      </c>
      <c r="AC31" s="3">
        <v>4865</v>
      </c>
      <c r="AD31" s="3">
        <v>0</v>
      </c>
      <c r="AE31" s="3">
        <v>0</v>
      </c>
      <c r="AF31" s="5">
        <f t="shared" si="1"/>
        <v>3426862</v>
      </c>
      <c r="AG31" s="4">
        <f t="shared" si="2"/>
        <v>0.85481256307427023</v>
      </c>
      <c r="AH31" s="5">
        <f t="shared" si="3"/>
        <v>-582042.58099439228</v>
      </c>
      <c r="AI31" s="17">
        <f t="shared" si="4"/>
        <v>0.19070967743172274</v>
      </c>
      <c r="AJ31" s="17">
        <f t="shared" si="5"/>
        <v>0.10689573881845187</v>
      </c>
      <c r="AK31" s="14">
        <f t="shared" si="6"/>
        <v>0.1332846172117392</v>
      </c>
      <c r="AL31" s="14">
        <f t="shared" si="7"/>
        <v>-4.5037654381814063E-2</v>
      </c>
    </row>
    <row r="32" spans="1:38" x14ac:dyDescent="0.3">
      <c r="A32" s="63">
        <v>45687</v>
      </c>
      <c r="B32" s="3">
        <v>30741390</v>
      </c>
      <c r="C32" s="3">
        <f t="shared" si="8"/>
        <v>2556179.1034482759</v>
      </c>
      <c r="D32" s="4">
        <f>+Tabla22[[#This Row],[Share diario]]</f>
        <v>3.3415386878773629E-2</v>
      </c>
      <c r="E32" s="3">
        <f>+Tabla22[[#This Row],[Global 2026]]</f>
        <v>28535339</v>
      </c>
      <c r="F32" s="7">
        <v>46051</v>
      </c>
      <c r="G32" s="3">
        <f>+Tabla2[[#This Row],[Meta Digital]]+Tabla2[[#This Row],[Meta MKPlace]]</f>
        <v>3676920.9397021495</v>
      </c>
      <c r="H32" s="3">
        <v>2931757.8123054975</v>
      </c>
      <c r="I32" s="3">
        <v>745163.12739665189</v>
      </c>
      <c r="J32" s="3">
        <v>2124088</v>
      </c>
      <c r="K32" s="3">
        <v>2450518</v>
      </c>
      <c r="L32" s="3">
        <v>20593.103448275851</v>
      </c>
      <c r="M32" s="3">
        <f>369+128</f>
        <v>497</v>
      </c>
      <c r="N32" s="3">
        <v>61017</v>
      </c>
      <c r="O32" s="3">
        <v>6335</v>
      </c>
      <c r="P32" s="3">
        <v>4303</v>
      </c>
      <c r="Q32" s="3">
        <v>6576</v>
      </c>
      <c r="R32" s="3">
        <v>68703</v>
      </c>
      <c r="S32" s="3">
        <v>61831</v>
      </c>
      <c r="T32" s="3">
        <v>188379</v>
      </c>
      <c r="U32" s="3">
        <v>318201</v>
      </c>
      <c r="V32" s="3">
        <v>64182</v>
      </c>
      <c r="W32" s="3">
        <v>69719</v>
      </c>
      <c r="X32" s="3">
        <v>18890</v>
      </c>
      <c r="Y32" s="3">
        <v>44859</v>
      </c>
      <c r="Z32" s="3">
        <v>6024</v>
      </c>
      <c r="AA32" s="3">
        <v>6441</v>
      </c>
      <c r="AB32" s="3">
        <v>0</v>
      </c>
      <c r="AC32" s="3">
        <v>10362</v>
      </c>
      <c r="AD32" s="3">
        <v>0</v>
      </c>
      <c r="AE32" s="3">
        <v>0</v>
      </c>
      <c r="AF32" s="5">
        <f t="shared" si="1"/>
        <v>2975339</v>
      </c>
      <c r="AG32" s="4">
        <f t="shared" si="2"/>
        <v>0.8091930854083087</v>
      </c>
      <c r="AH32" s="5">
        <f t="shared" si="3"/>
        <v>-701581.93970214948</v>
      </c>
      <c r="AI32" s="17">
        <f t="shared" si="4"/>
        <v>0.16397907955130342</v>
      </c>
      <c r="AJ32" s="17">
        <f t="shared" si="5"/>
        <v>8.3151058018140225E-2</v>
      </c>
      <c r="AK32" s="14">
        <f t="shared" si="6"/>
        <v>0.10426857028052129</v>
      </c>
      <c r="AL32" s="14">
        <f t="shared" si="7"/>
        <v>-7.1761589179929697E-2</v>
      </c>
    </row>
    <row r="33" spans="1:38" x14ac:dyDescent="0.3">
      <c r="A33" s="7">
        <v>45688</v>
      </c>
      <c r="B33" s="3">
        <v>36726305</v>
      </c>
      <c r="C33" s="3">
        <f t="shared" si="8"/>
        <v>2351622.2068965519</v>
      </c>
      <c r="D33" s="4">
        <f>+Tabla22[[#This Row],[Share diario]]</f>
        <v>2.9678848134348498E-2</v>
      </c>
      <c r="E33" s="3">
        <f>+Tabla22[[#This Row],[Global 2026]]</f>
        <v>32375122</v>
      </c>
      <c r="F33" s="7">
        <v>46052</v>
      </c>
      <c r="G33" s="3">
        <f>+Tabla2[[#This Row],[Meta Digital]]+Tabla2[[#This Row],[Meta MKPlace]]</f>
        <v>3265764.3189146011</v>
      </c>
      <c r="H33" s="3">
        <v>2603926.0055186297</v>
      </c>
      <c r="I33" s="3">
        <v>661838.31339597155</v>
      </c>
      <c r="J33" s="3">
        <v>1896380</v>
      </c>
      <c r="K33" s="3">
        <v>1981506</v>
      </c>
      <c r="L33" s="3">
        <v>18311.206896551721</v>
      </c>
      <c r="M33" s="3">
        <f>13851+10016</f>
        <v>23867</v>
      </c>
      <c r="N33" s="3">
        <v>57647</v>
      </c>
      <c r="O33" s="3">
        <v>19840</v>
      </c>
      <c r="P33" s="3">
        <v>630</v>
      </c>
      <c r="Q33" s="3">
        <v>1512</v>
      </c>
      <c r="R33" s="3">
        <v>46392</v>
      </c>
      <c r="S33" s="3">
        <v>79127</v>
      </c>
      <c r="T33" s="3">
        <v>251795</v>
      </c>
      <c r="U33" s="3">
        <v>341849</v>
      </c>
      <c r="V33" s="3">
        <v>49925</v>
      </c>
      <c r="W33" s="3">
        <v>52697</v>
      </c>
      <c r="X33" s="3">
        <v>25033</v>
      </c>
      <c r="Y33" s="3">
        <v>28869</v>
      </c>
      <c r="Z33" s="3">
        <v>5509</v>
      </c>
      <c r="AA33" s="3">
        <v>3232</v>
      </c>
      <c r="AB33" s="3">
        <v>0</v>
      </c>
      <c r="AC33" s="3">
        <v>4079</v>
      </c>
      <c r="AD33" s="3">
        <v>0</v>
      </c>
      <c r="AE33" s="3">
        <v>0</v>
      </c>
      <c r="AF33" s="5">
        <f t="shared" si="1"/>
        <v>2536578</v>
      </c>
      <c r="AG33" s="4">
        <f t="shared" si="2"/>
        <v>0.77671802135527312</v>
      </c>
      <c r="AH33" s="5">
        <f t="shared" si="3"/>
        <v>-729186.31891460111</v>
      </c>
      <c r="AI33" s="17">
        <f t="shared" si="4"/>
        <v>7.8650300444107257E-2</v>
      </c>
      <c r="AJ33" s="17">
        <f t="shared" si="5"/>
        <v>6.4031004668086047E-2</v>
      </c>
      <c r="AK33" s="14">
        <f t="shared" si="6"/>
        <v>7.8349604365969647E-2</v>
      </c>
      <c r="AL33" s="14">
        <f t="shared" si="7"/>
        <v>-0.11847592617879743</v>
      </c>
    </row>
    <row r="34" spans="1:38" x14ac:dyDescent="0.3">
      <c r="A34" s="63">
        <v>45689</v>
      </c>
      <c r="B34" s="3">
        <v>37793760</v>
      </c>
      <c r="C34" s="3">
        <f t="shared" si="8"/>
        <v>1774200.1034482759</v>
      </c>
      <c r="D34" s="4">
        <f>+Tabla22[[#This Row],[Share diario]]</f>
        <v>2.7303813826540225E-2</v>
      </c>
      <c r="E34" s="3">
        <f>+Tabla22[[#This Row],[Global 2026]]</f>
        <v>38921712</v>
      </c>
      <c r="F34" s="7">
        <v>46053</v>
      </c>
      <c r="G34" s="3">
        <f>+Tabla2[[#This Row],[Meta Digital]]+Tabla2[[#This Row],[Meta MKPlace]]</f>
        <v>3004423.2364195017</v>
      </c>
      <c r="H34" s="3">
        <v>2395548.1880876548</v>
      </c>
      <c r="I34" s="3">
        <v>608875.04833184707</v>
      </c>
      <c r="J34" s="3">
        <v>1345714</v>
      </c>
      <c r="K34" s="3">
        <v>1742488</v>
      </c>
      <c r="L34" s="3">
        <v>19268.103448275851</v>
      </c>
      <c r="M34" s="3">
        <f>18139+12919</f>
        <v>31058</v>
      </c>
      <c r="N34" s="3">
        <v>24746</v>
      </c>
      <c r="O34" s="3">
        <v>21274</v>
      </c>
      <c r="P34" s="3">
        <v>1652</v>
      </c>
      <c r="Q34" s="3">
        <v>662</v>
      </c>
      <c r="R34" s="3">
        <v>52485</v>
      </c>
      <c r="S34" s="3">
        <v>34276</v>
      </c>
      <c r="T34" s="3">
        <v>259164</v>
      </c>
      <c r="U34" s="3">
        <v>350135</v>
      </c>
      <c r="V34" s="3">
        <v>40620</v>
      </c>
      <c r="W34" s="3">
        <v>69841</v>
      </c>
      <c r="X34" s="3">
        <v>24306</v>
      </c>
      <c r="Y34" s="3">
        <v>46260</v>
      </c>
      <c r="Z34" s="3">
        <v>6245</v>
      </c>
      <c r="AA34" s="3">
        <v>4173</v>
      </c>
      <c r="AB34" s="3">
        <v>0</v>
      </c>
      <c r="AC34" s="3">
        <v>418</v>
      </c>
      <c r="AD34" s="3">
        <v>0</v>
      </c>
      <c r="AE34" s="3">
        <v>0</v>
      </c>
      <c r="AF34" s="5">
        <f t="shared" si="1"/>
        <v>2300585</v>
      </c>
      <c r="AG34" s="4">
        <f t="shared" si="2"/>
        <v>0.76573266113522154</v>
      </c>
      <c r="AH34" s="5">
        <f t="shared" si="3"/>
        <v>-703838.23641950171</v>
      </c>
      <c r="AI34" s="17">
        <f t="shared" si="4"/>
        <v>0.29668857279889682</v>
      </c>
      <c r="AJ34" s="17">
        <f t="shared" si="5"/>
        <v>4.6944260201903065E-2</v>
      </c>
      <c r="AK34" s="14">
        <f t="shared" si="6"/>
        <v>5.9108011487264488E-2</v>
      </c>
      <c r="AL34" s="14">
        <f t="shared" si="7"/>
        <v>2.9844926781563919E-2</v>
      </c>
    </row>
    <row r="35" spans="1:38" x14ac:dyDescent="0.3">
      <c r="A35" s="7">
        <v>45690</v>
      </c>
      <c r="B35" s="3">
        <v>31352601</v>
      </c>
      <c r="C35" s="3">
        <f t="shared" si="8"/>
        <v>1727235.7931034483</v>
      </c>
      <c r="D35" s="4">
        <f>+Tabla22[[#This Row],[Share diario]]</f>
        <v>2.2985735780986245E-2</v>
      </c>
      <c r="E35" s="3">
        <f>+Tabla22[[#This Row],[Global 2026]]</f>
        <v>37738958</v>
      </c>
      <c r="F35" s="7">
        <v>46054</v>
      </c>
      <c r="G35" s="3">
        <f>+Tabla2[[#This Row],[Meta Digital]]+Tabla2[[#This Row],[Meta MKPlace]]</f>
        <v>2153502.7384631829</v>
      </c>
      <c r="H35" s="3">
        <v>1831702.4375293753</v>
      </c>
      <c r="I35" s="3">
        <v>321800.30093380745</v>
      </c>
      <c r="J35" s="3">
        <v>1308491</v>
      </c>
      <c r="K35" s="3">
        <v>2180837</v>
      </c>
      <c r="L35" s="3">
        <v>20338.793103448264</v>
      </c>
      <c r="M35" s="3">
        <f>18122+13547</f>
        <v>31669</v>
      </c>
      <c r="N35" s="3">
        <v>36076</v>
      </c>
      <c r="O35" s="3">
        <v>-2281</v>
      </c>
      <c r="P35" s="3">
        <v>6773</v>
      </c>
      <c r="Q35" s="3">
        <v>715</v>
      </c>
      <c r="R35" s="3">
        <v>66898</v>
      </c>
      <c r="S35" s="3">
        <v>55760</v>
      </c>
      <c r="T35" s="3">
        <v>214500</v>
      </c>
      <c r="U35" s="3">
        <v>327974</v>
      </c>
      <c r="V35" s="3">
        <v>45990</v>
      </c>
      <c r="W35" s="3">
        <v>76980</v>
      </c>
      <c r="X35" s="3">
        <v>25758</v>
      </c>
      <c r="Y35" s="3">
        <v>25893</v>
      </c>
      <c r="Z35" s="3">
        <v>2411</v>
      </c>
      <c r="AA35" s="3">
        <v>4383</v>
      </c>
      <c r="AB35" s="3">
        <v>0</v>
      </c>
      <c r="AC35" s="3">
        <v>774</v>
      </c>
      <c r="AD35" s="3">
        <v>0</v>
      </c>
      <c r="AE35" s="3">
        <v>0</v>
      </c>
      <c r="AF35" s="5">
        <f t="shared" si="1"/>
        <v>2702704</v>
      </c>
      <c r="AG35" s="4">
        <f t="shared" si="2"/>
        <v>1.2550269622265477</v>
      </c>
      <c r="AH35" s="5">
        <f t="shared" si="3"/>
        <v>549201.26153681707</v>
      </c>
      <c r="AI35" s="17">
        <f t="shared" si="4"/>
        <v>0.5647568275225805</v>
      </c>
      <c r="AJ35" s="17">
        <f t="shared" si="5"/>
        <v>5.5090669928898349E-2</v>
      </c>
      <c r="AK35" s="14">
        <f t="shared" si="6"/>
        <v>7.1615755792727498E-2</v>
      </c>
      <c r="AL35" s="14">
        <f t="shared" si="7"/>
        <v>0.2036946472160317</v>
      </c>
    </row>
    <row r="36" spans="1:38" x14ac:dyDescent="0.3">
      <c r="A36" s="63">
        <v>45691</v>
      </c>
      <c r="B36" s="3">
        <v>36434352</v>
      </c>
      <c r="C36" s="3">
        <f t="shared" si="8"/>
        <v>2412188.7931034481</v>
      </c>
      <c r="D36" s="4">
        <f>+Tabla22[[#This Row],[Share diario]]</f>
        <v>2.2377287372813828E-2</v>
      </c>
      <c r="E36" s="3">
        <f>+Tabla22[[#This Row],[Global 2026]]</f>
        <v>33698919</v>
      </c>
      <c r="F36" s="7">
        <v>46055</v>
      </c>
      <c r="G36" s="3">
        <f>+Tabla2[[#This Row],[Meta Digital]]+Tabla2[[#This Row],[Meta MKPlace]]</f>
        <v>2096498.0236392729</v>
      </c>
      <c r="H36" s="3">
        <v>1783216.0004198793</v>
      </c>
      <c r="I36" s="3">
        <v>313282.02321939357</v>
      </c>
      <c r="J36" s="3">
        <v>2010759</v>
      </c>
      <c r="K36" s="3">
        <v>2671764</v>
      </c>
      <c r="L36" s="3">
        <v>23738.793103448268</v>
      </c>
      <c r="M36" s="3">
        <f>17032+13323</f>
        <v>30355</v>
      </c>
      <c r="N36" s="3">
        <v>37153</v>
      </c>
      <c r="O36" s="3">
        <v>15499</v>
      </c>
      <c r="P36" s="3">
        <v>756</v>
      </c>
      <c r="Q36" s="3">
        <v>3214</v>
      </c>
      <c r="R36" s="3">
        <v>54921</v>
      </c>
      <c r="S36" s="3">
        <v>64407</v>
      </c>
      <c r="T36" s="3">
        <v>213227</v>
      </c>
      <c r="U36" s="3">
        <v>374619</v>
      </c>
      <c r="V36" s="3">
        <v>32459</v>
      </c>
      <c r="W36" s="3">
        <v>115869</v>
      </c>
      <c r="X36" s="3">
        <v>34007</v>
      </c>
      <c r="Y36" s="3">
        <v>34782</v>
      </c>
      <c r="Z36" s="3">
        <v>5168</v>
      </c>
      <c r="AA36" s="3">
        <v>5635</v>
      </c>
      <c r="AB36" s="3">
        <v>0</v>
      </c>
      <c r="AC36" s="3">
        <v>-148</v>
      </c>
      <c r="AD36" s="3">
        <v>0</v>
      </c>
      <c r="AE36" s="3">
        <v>0</v>
      </c>
      <c r="AF36" s="5">
        <f t="shared" si="1"/>
        <v>3315996</v>
      </c>
      <c r="AG36" s="4">
        <f t="shared" ref="AG36:AG67" si="9">+AF36/G36</f>
        <v>1.581683341749029</v>
      </c>
      <c r="AH36" s="5">
        <f t="shared" ref="AH36:AH67" si="10">+AF36-G36</f>
        <v>1219497.9763607271</v>
      </c>
      <c r="AI36" s="17">
        <f t="shared" si="4"/>
        <v>0.3746834449610974</v>
      </c>
      <c r="AJ36" s="17">
        <f t="shared" si="5"/>
        <v>6.6206441467751315E-2</v>
      </c>
      <c r="AK36" s="14">
        <f t="shared" si="6"/>
        <v>9.8400663831382837E-2</v>
      </c>
      <c r="AL36" s="14">
        <f t="shared" si="7"/>
        <v>-7.5078404029252366E-2</v>
      </c>
    </row>
    <row r="37" spans="1:38" x14ac:dyDescent="0.3">
      <c r="A37" s="7">
        <v>45692</v>
      </c>
      <c r="B37" s="3">
        <v>22395022</v>
      </c>
      <c r="C37" s="3">
        <f t="shared" si="8"/>
        <v>2754754.9310344825</v>
      </c>
      <c r="D37" s="4">
        <f>+Tabla22[[#This Row],[Share diario]]</f>
        <v>3.1251229297286756E-2</v>
      </c>
      <c r="E37" s="3">
        <f>+Tabla22[[#This Row],[Global 2026]]</f>
        <v>22551540</v>
      </c>
      <c r="F37" s="7">
        <v>46056</v>
      </c>
      <c r="G37" s="3">
        <f>+Tabla2[[#This Row],[Meta Digital]]+Tabla2[[#This Row],[Meta MKPlace]]</f>
        <v>2927885.7337130788</v>
      </c>
      <c r="H37" s="3">
        <v>2490368.5235510641</v>
      </c>
      <c r="I37" s="3">
        <v>437517.21016201458</v>
      </c>
      <c r="J37" s="3">
        <v>2354728</v>
      </c>
      <c r="K37" s="3">
        <v>3181814</v>
      </c>
      <c r="L37" s="3">
        <v>23787.931034482746</v>
      </c>
      <c r="M37" s="3">
        <f>13064+9710</f>
        <v>22774</v>
      </c>
      <c r="N37" s="3">
        <v>132035</v>
      </c>
      <c r="O37" s="3">
        <v>13358</v>
      </c>
      <c r="P37" s="3">
        <v>2563</v>
      </c>
      <c r="Q37" s="3">
        <v>6483</v>
      </c>
      <c r="R37" s="3">
        <v>50149</v>
      </c>
      <c r="S37" s="3">
        <v>67690</v>
      </c>
      <c r="T37" s="3">
        <v>79913</v>
      </c>
      <c r="U37" s="3">
        <v>395638</v>
      </c>
      <c r="V37" s="3">
        <v>56003</v>
      </c>
      <c r="W37" s="3">
        <v>87196</v>
      </c>
      <c r="X37" s="3">
        <v>51486</v>
      </c>
      <c r="Y37" s="3">
        <v>25879</v>
      </c>
      <c r="Z37" s="3">
        <v>4090</v>
      </c>
      <c r="AA37" s="3">
        <v>4357</v>
      </c>
      <c r="AB37" s="3">
        <v>0</v>
      </c>
      <c r="AC37" s="3">
        <v>4453</v>
      </c>
      <c r="AD37" s="3">
        <v>0</v>
      </c>
      <c r="AE37" s="3">
        <v>0</v>
      </c>
      <c r="AF37" s="5">
        <f t="shared" si="1"/>
        <v>3809642</v>
      </c>
      <c r="AG37" s="4">
        <f t="shared" si="9"/>
        <v>1.3011580186118459</v>
      </c>
      <c r="AH37" s="5">
        <f t="shared" si="10"/>
        <v>881756.26628692122</v>
      </c>
      <c r="AI37" s="17">
        <f t="shared" si="4"/>
        <v>0.38293318112670716</v>
      </c>
      <c r="AJ37" s="17">
        <f t="shared" si="5"/>
        <v>0.12300746706274647</v>
      </c>
      <c r="AK37" s="14">
        <f t="shared" si="6"/>
        <v>0.16893045885114719</v>
      </c>
      <c r="AL37" s="14">
        <f t="shared" si="7"/>
        <v>6.9889638867066672E-3</v>
      </c>
    </row>
    <row r="38" spans="1:38" x14ac:dyDescent="0.3">
      <c r="A38" s="63">
        <v>45693</v>
      </c>
      <c r="B38" s="3">
        <v>25539612</v>
      </c>
      <c r="C38" s="3">
        <f t="shared" si="8"/>
        <v>2807800.5862068967</v>
      </c>
      <c r="D38" s="4">
        <f>+Tabla22[[#This Row],[Share diario]]</f>
        <v>3.5689361568100937E-2</v>
      </c>
      <c r="E38" s="3">
        <f>+Tabla22[[#This Row],[Global 2026]]</f>
        <v>25170911</v>
      </c>
      <c r="F38" s="7">
        <v>46057</v>
      </c>
      <c r="G38" s="3">
        <f>+Tabla2[[#This Row],[Meta Digital]]+Tabla2[[#This Row],[Meta MKPlace]]</f>
        <v>3343688.390192152</v>
      </c>
      <c r="H38" s="3">
        <v>2844037.3282387387</v>
      </c>
      <c r="I38" s="3">
        <v>499651.06195341313</v>
      </c>
      <c r="J38" s="3">
        <v>2362602</v>
      </c>
      <c r="K38" s="3">
        <v>3050065</v>
      </c>
      <c r="L38" s="3">
        <v>24452.586206896543</v>
      </c>
      <c r="M38" s="3">
        <f>11845+11364</f>
        <v>23209</v>
      </c>
      <c r="N38" s="3">
        <v>110188</v>
      </c>
      <c r="O38" s="3">
        <v>39499</v>
      </c>
      <c r="P38" s="3">
        <v>-697</v>
      </c>
      <c r="Q38" s="3">
        <v>6199</v>
      </c>
      <c r="R38" s="3">
        <v>48254</v>
      </c>
      <c r="S38" s="3">
        <v>60063</v>
      </c>
      <c r="T38" s="3">
        <v>151535</v>
      </c>
      <c r="U38" s="3">
        <v>318098</v>
      </c>
      <c r="V38" s="3">
        <v>57305</v>
      </c>
      <c r="W38" s="3">
        <v>80270</v>
      </c>
      <c r="X38" s="3">
        <v>46066</v>
      </c>
      <c r="Y38" s="3">
        <v>22916</v>
      </c>
      <c r="Z38" s="3">
        <v>8095</v>
      </c>
      <c r="AA38" s="3">
        <v>4100</v>
      </c>
      <c r="AB38" s="3">
        <v>0</v>
      </c>
      <c r="AC38" s="3">
        <v>2376</v>
      </c>
      <c r="AD38" s="3">
        <v>0</v>
      </c>
      <c r="AE38" s="3">
        <v>0</v>
      </c>
      <c r="AF38" s="5">
        <f t="shared" si="1"/>
        <v>3606795</v>
      </c>
      <c r="AG38" s="4">
        <f t="shared" si="9"/>
        <v>1.0786875387609693</v>
      </c>
      <c r="AH38" s="5">
        <f t="shared" si="10"/>
        <v>263106.609807848</v>
      </c>
      <c r="AI38" s="17">
        <f t="shared" si="4"/>
        <v>0.28456237872379608</v>
      </c>
      <c r="AJ38" s="17">
        <f t="shared" si="5"/>
        <v>0.10993904630214808</v>
      </c>
      <c r="AK38" s="14">
        <f t="shared" si="6"/>
        <v>0.14329219153013573</v>
      </c>
      <c r="AL38" s="14">
        <f t="shared" si="7"/>
        <v>-1.4436437014000103E-2</v>
      </c>
    </row>
    <row r="39" spans="1:38" x14ac:dyDescent="0.3">
      <c r="A39" s="7">
        <v>45694</v>
      </c>
      <c r="B39" s="3">
        <v>29401665</v>
      </c>
      <c r="C39" s="3">
        <f t="shared" si="8"/>
        <v>2311807.3448275859</v>
      </c>
      <c r="D39" s="4">
        <f>+Tabla22[[#This Row],[Share diario]]</f>
        <v>3.637659713513345E-2</v>
      </c>
      <c r="E39" s="3">
        <f>+Tabla22[[#This Row],[Global 2026]]</f>
        <v>29563607</v>
      </c>
      <c r="F39" s="7">
        <v>46058</v>
      </c>
      <c r="G39" s="3">
        <f>+Tabla2[[#This Row],[Meta Digital]]+Tabla2[[#This Row],[Meta MKPlace]]</f>
        <v>3408074.5681972969</v>
      </c>
      <c r="H39" s="3">
        <v>2898802.2083054287</v>
      </c>
      <c r="I39" s="3">
        <v>509272.35989186831</v>
      </c>
      <c r="J39" s="3">
        <v>1988730</v>
      </c>
      <c r="K39" s="3">
        <v>2711541</v>
      </c>
      <c r="L39" s="3">
        <v>22460.344827586192</v>
      </c>
      <c r="M39" s="3">
        <f>13034+9391</f>
        <v>22425</v>
      </c>
      <c r="N39" s="3">
        <v>52855</v>
      </c>
      <c r="O39" s="3">
        <v>48724</v>
      </c>
      <c r="P39" s="3">
        <v>2503</v>
      </c>
      <c r="Q39" s="3">
        <v>4521</v>
      </c>
      <c r="R39" s="3">
        <v>40300</v>
      </c>
      <c r="S39" s="3">
        <v>63963</v>
      </c>
      <c r="T39" s="3">
        <v>119932</v>
      </c>
      <c r="U39" s="3">
        <v>334593</v>
      </c>
      <c r="V39" s="3">
        <v>56342</v>
      </c>
      <c r="W39" s="3">
        <v>91963</v>
      </c>
      <c r="X39" s="3">
        <v>22237</v>
      </c>
      <c r="Y39" s="3">
        <v>28657</v>
      </c>
      <c r="Z39" s="3">
        <v>6448</v>
      </c>
      <c r="AA39" s="3">
        <v>3153</v>
      </c>
      <c r="AB39" s="3">
        <v>0</v>
      </c>
      <c r="AC39" s="3">
        <v>5982</v>
      </c>
      <c r="AD39" s="3">
        <v>0</v>
      </c>
      <c r="AE39" s="3">
        <v>0</v>
      </c>
      <c r="AF39" s="5">
        <f t="shared" si="1"/>
        <v>3315522</v>
      </c>
      <c r="AG39" s="4">
        <f t="shared" si="9"/>
        <v>0.97284315048122538</v>
      </c>
      <c r="AH39" s="5">
        <f t="shared" si="10"/>
        <v>-92552.568197296932</v>
      </c>
      <c r="AI39" s="17">
        <f t="shared" si="4"/>
        <v>0.43416881489632564</v>
      </c>
      <c r="AJ39" s="17">
        <f t="shared" si="5"/>
        <v>7.8628449947565418E-2</v>
      </c>
      <c r="AK39" s="14">
        <f t="shared" si="6"/>
        <v>0.11214876452660191</v>
      </c>
      <c r="AL39" s="14">
        <f t="shared" si="7"/>
        <v>5.5079193644305136E-3</v>
      </c>
    </row>
    <row r="40" spans="1:38" x14ac:dyDescent="0.3">
      <c r="A40" s="63">
        <v>45695</v>
      </c>
      <c r="B40" s="3">
        <v>32016485</v>
      </c>
      <c r="C40" s="3">
        <f t="shared" si="8"/>
        <v>2129533.7931034481</v>
      </c>
      <c r="D40" s="4">
        <f>+Tabla22[[#This Row],[Share diario]]</f>
        <v>2.9950732559124452E-2</v>
      </c>
      <c r="E40" s="3">
        <f>+Tabla22[[#This Row],[Global 2026]]</f>
        <v>30256382</v>
      </c>
      <c r="F40" s="7">
        <v>46059</v>
      </c>
      <c r="G40" s="3">
        <f>+Tabla2[[#This Row],[Meta Digital]]+Tabla2[[#This Row],[Meta MKPlace]]</f>
        <v>2806043.939581275</v>
      </c>
      <c r="H40" s="3">
        <v>2386733.6837535328</v>
      </c>
      <c r="I40" s="3">
        <v>419310.25582774234</v>
      </c>
      <c r="J40" s="3">
        <v>1675481</v>
      </c>
      <c r="K40" s="3">
        <v>2349247</v>
      </c>
      <c r="L40" s="3">
        <v>23913.793103448268</v>
      </c>
      <c r="M40" s="3">
        <f>13643+8748</f>
        <v>22391</v>
      </c>
      <c r="N40" s="3">
        <v>91347</v>
      </c>
      <c r="O40" s="3">
        <v>29006</v>
      </c>
      <c r="P40" s="3">
        <v>4838</v>
      </c>
      <c r="Q40" s="3">
        <v>4581</v>
      </c>
      <c r="R40" s="3">
        <v>53316</v>
      </c>
      <c r="S40" s="3">
        <v>74959</v>
      </c>
      <c r="T40" s="3">
        <v>166819</v>
      </c>
      <c r="U40" s="3">
        <v>291618</v>
      </c>
      <c r="V40" s="3">
        <v>60494</v>
      </c>
      <c r="W40" s="3">
        <v>85249</v>
      </c>
      <c r="X40" s="3">
        <v>49141</v>
      </c>
      <c r="Y40" s="3">
        <v>20982</v>
      </c>
      <c r="Z40" s="3">
        <v>4184</v>
      </c>
      <c r="AA40" s="3">
        <v>3548</v>
      </c>
      <c r="AB40" s="3">
        <v>0</v>
      </c>
      <c r="AC40" s="3">
        <v>3560</v>
      </c>
      <c r="AD40" s="3">
        <v>0</v>
      </c>
      <c r="AE40" s="3">
        <v>0</v>
      </c>
      <c r="AF40" s="5">
        <f t="shared" si="1"/>
        <v>2885141</v>
      </c>
      <c r="AG40" s="4">
        <f t="shared" si="9"/>
        <v>1.0281881047203161</v>
      </c>
      <c r="AH40" s="5">
        <f t="shared" si="10"/>
        <v>79097.060418725014</v>
      </c>
      <c r="AI40" s="17">
        <f t="shared" si="4"/>
        <v>0.35482282992813063</v>
      </c>
      <c r="AJ40" s="17">
        <f t="shared" si="5"/>
        <v>6.6513666103679037E-2</v>
      </c>
      <c r="AK40" s="14">
        <f t="shared" si="6"/>
        <v>9.5356444137967317E-2</v>
      </c>
      <c r="AL40" s="14">
        <f t="shared" si="7"/>
        <v>-5.4974898087656987E-2</v>
      </c>
    </row>
    <row r="41" spans="1:38" x14ac:dyDescent="0.3">
      <c r="A41" s="7">
        <v>45696</v>
      </c>
      <c r="B41" s="3">
        <v>42648094</v>
      </c>
      <c r="C41" s="3">
        <f t="shared" si="8"/>
        <v>1975582.4827586208</v>
      </c>
      <c r="D41" s="4">
        <f>+Tabla22[[#This Row],[Share diario]]</f>
        <v>2.758927868949046E-2</v>
      </c>
      <c r="E41" s="3">
        <f>+Tabla22[[#This Row],[Global 2026]]</f>
        <v>41295456</v>
      </c>
      <c r="F41" s="7">
        <v>46060</v>
      </c>
      <c r="G41" s="3">
        <f>+Tabla2[[#This Row],[Meta Digital]]+Tabla2[[#This Row],[Meta MKPlace]]</f>
        <v>2584802.4956063596</v>
      </c>
      <c r="H41" s="3">
        <v>2198552.5939534931</v>
      </c>
      <c r="I41" s="3">
        <v>386249.90165286645</v>
      </c>
      <c r="J41" s="3">
        <v>1541898</v>
      </c>
      <c r="K41" s="3">
        <v>2093587</v>
      </c>
      <c r="L41" s="3">
        <v>17559.482758620688</v>
      </c>
      <c r="M41" s="3">
        <f>14334+12342</f>
        <v>26676</v>
      </c>
      <c r="N41" s="3">
        <v>13396</v>
      </c>
      <c r="O41" s="3">
        <v>31006</v>
      </c>
      <c r="P41" s="3">
        <v>921</v>
      </c>
      <c r="Q41" s="3">
        <v>2429</v>
      </c>
      <c r="R41" s="3">
        <v>40059</v>
      </c>
      <c r="S41" s="3">
        <v>69984</v>
      </c>
      <c r="T41" s="3">
        <v>260206</v>
      </c>
      <c r="U41" s="3">
        <v>282237</v>
      </c>
      <c r="V41" s="3">
        <v>70792</v>
      </c>
      <c r="W41" s="3">
        <v>81965</v>
      </c>
      <c r="X41" s="3">
        <v>28263</v>
      </c>
      <c r="Y41" s="3">
        <v>25885</v>
      </c>
      <c r="Z41" s="3">
        <v>2488</v>
      </c>
      <c r="AA41" s="3">
        <v>5353</v>
      </c>
      <c r="AB41" s="3">
        <v>0</v>
      </c>
      <c r="AC41" s="3">
        <v>-930</v>
      </c>
      <c r="AD41" s="3">
        <v>0</v>
      </c>
      <c r="AE41" s="3">
        <v>0</v>
      </c>
      <c r="AF41" s="5">
        <f t="shared" si="1"/>
        <v>2618192</v>
      </c>
      <c r="AG41" s="4">
        <f t="shared" si="9"/>
        <v>1.0129176230874102</v>
      </c>
      <c r="AH41" s="5">
        <f t="shared" si="10"/>
        <v>33389.50439364044</v>
      </c>
      <c r="AI41" s="17">
        <f t="shared" si="4"/>
        <v>0.32527597447820367</v>
      </c>
      <c r="AJ41" s="17">
        <f t="shared" si="5"/>
        <v>4.6322878643969896E-2</v>
      </c>
      <c r="AK41" s="14">
        <f t="shared" si="6"/>
        <v>6.3401455114092939E-2</v>
      </c>
      <c r="AL41" s="14">
        <f t="shared" si="7"/>
        <v>-3.1716259113478751E-2</v>
      </c>
    </row>
    <row r="42" spans="1:38" x14ac:dyDescent="0.3">
      <c r="A42" s="63">
        <v>45697</v>
      </c>
      <c r="B42" s="3">
        <v>41791699</v>
      </c>
      <c r="C42" s="3">
        <f t="shared" si="8"/>
        <v>2325398.2413793104</v>
      </c>
      <c r="D42" s="4">
        <f>+Tabla22[[#This Row],[Share diario]]</f>
        <v>2.5594754996337052E-2</v>
      </c>
      <c r="E42" s="3">
        <f>+Tabla22[[#This Row],[Global 2026]]</f>
        <v>41339084</v>
      </c>
      <c r="F42" s="7">
        <v>46061</v>
      </c>
      <c r="G42" s="3">
        <f>+Tabla2[[#This Row],[Meta Digital]]+Tabla2[[#This Row],[Meta MKPlace]]</f>
        <v>2397938.2474456131</v>
      </c>
      <c r="H42" s="3">
        <v>2039611.6774968943</v>
      </c>
      <c r="I42" s="3">
        <v>358326.56994871871</v>
      </c>
      <c r="J42" s="3">
        <v>1896294</v>
      </c>
      <c r="K42" s="3">
        <v>2397497</v>
      </c>
      <c r="L42" s="3">
        <v>21667.241379310333</v>
      </c>
      <c r="M42" s="3">
        <f>13709+11462</f>
        <v>25171</v>
      </c>
      <c r="N42" s="3">
        <v>30139</v>
      </c>
      <c r="O42" s="3">
        <v>5807</v>
      </c>
      <c r="P42" s="3">
        <v>3695</v>
      </c>
      <c r="Q42" s="3">
        <v>4467</v>
      </c>
      <c r="R42" s="3">
        <v>40975</v>
      </c>
      <c r="S42" s="3">
        <v>69643</v>
      </c>
      <c r="T42" s="3">
        <v>191313</v>
      </c>
      <c r="U42" s="3">
        <v>234501</v>
      </c>
      <c r="V42" s="3">
        <v>87339</v>
      </c>
      <c r="W42" s="3">
        <v>58072</v>
      </c>
      <c r="X42" s="3">
        <v>48851</v>
      </c>
      <c r="Y42" s="3">
        <v>17667</v>
      </c>
      <c r="Z42" s="3">
        <v>5125</v>
      </c>
      <c r="AA42" s="3">
        <v>2741</v>
      </c>
      <c r="AB42" s="3">
        <v>0</v>
      </c>
      <c r="AC42" s="3">
        <v>0</v>
      </c>
      <c r="AD42" s="3">
        <v>0</v>
      </c>
      <c r="AE42" s="3">
        <v>0</v>
      </c>
      <c r="AF42" s="5">
        <f t="shared" si="1"/>
        <v>2815566</v>
      </c>
      <c r="AG42" s="4">
        <f t="shared" si="9"/>
        <v>1.1741611790876023</v>
      </c>
      <c r="AH42" s="5">
        <f t="shared" si="10"/>
        <v>417627.75255438685</v>
      </c>
      <c r="AI42" s="17">
        <f t="shared" si="4"/>
        <v>0.21078873712828927</v>
      </c>
      <c r="AJ42" s="17">
        <f t="shared" si="5"/>
        <v>5.5642586853894366E-2</v>
      </c>
      <c r="AK42" s="14">
        <f t="shared" si="6"/>
        <v>6.8109056310971958E-2</v>
      </c>
      <c r="AL42" s="14">
        <f t="shared" si="7"/>
        <v>-1.0830260813277759E-2</v>
      </c>
    </row>
    <row r="43" spans="1:38" x14ac:dyDescent="0.3">
      <c r="A43" s="7">
        <v>45698</v>
      </c>
      <c r="B43" s="3">
        <v>26406954</v>
      </c>
      <c r="C43" s="3">
        <f t="shared" si="8"/>
        <v>4228681.6551724132</v>
      </c>
      <c r="D43" s="4">
        <f>+Tabla22[[#This Row],[Share diario]]</f>
        <v>3.0126810080796044E-2</v>
      </c>
      <c r="E43" s="3">
        <f>+Tabla22[[#This Row],[Global 2026]]</f>
        <v>22422064</v>
      </c>
      <c r="F43" s="7">
        <v>46062</v>
      </c>
      <c r="G43" s="3">
        <f>+Tabla2[[#This Row],[Meta Digital]]+Tabla2[[#This Row],[Meta MKPlace]]</f>
        <v>2822540.4062906527</v>
      </c>
      <c r="H43" s="3">
        <v>2400765.065159508</v>
      </c>
      <c r="I43" s="3">
        <v>421775.34113114461</v>
      </c>
      <c r="J43" s="3">
        <v>3630208</v>
      </c>
      <c r="K43" s="3">
        <v>2252123</v>
      </c>
      <c r="L43" s="3">
        <v>20464.655172413786</v>
      </c>
      <c r="M43" s="3">
        <f>6100+3966</f>
        <v>10066</v>
      </c>
      <c r="N43" s="3">
        <v>83992</v>
      </c>
      <c r="O43" s="3">
        <v>16050</v>
      </c>
      <c r="P43" s="3">
        <v>8959</v>
      </c>
      <c r="Q43" s="3">
        <v>1868</v>
      </c>
      <c r="R43" s="3">
        <v>63382</v>
      </c>
      <c r="S43" s="3">
        <v>58213</v>
      </c>
      <c r="T43" s="3">
        <v>281151</v>
      </c>
      <c r="U43" s="3">
        <v>451605</v>
      </c>
      <c r="V43" s="3">
        <v>78555</v>
      </c>
      <c r="W43" s="3">
        <v>67176</v>
      </c>
      <c r="X43" s="3">
        <v>59569</v>
      </c>
      <c r="Y43" s="3">
        <v>11686</v>
      </c>
      <c r="Z43" s="3">
        <v>2401</v>
      </c>
      <c r="AA43" s="3">
        <v>3093</v>
      </c>
      <c r="AB43" s="3">
        <v>0</v>
      </c>
      <c r="AC43" s="3">
        <v>586</v>
      </c>
      <c r="AD43" s="3">
        <v>0</v>
      </c>
      <c r="AE43" s="3">
        <v>0</v>
      </c>
      <c r="AF43" s="5">
        <f t="shared" si="1"/>
        <v>2872466</v>
      </c>
      <c r="AG43" s="4">
        <f t="shared" si="9"/>
        <v>1.0176881767921115</v>
      </c>
      <c r="AH43" s="5">
        <f t="shared" si="10"/>
        <v>49925.593709347304</v>
      </c>
      <c r="AI43" s="17">
        <f t="shared" si="4"/>
        <v>-0.32071831501279491</v>
      </c>
      <c r="AJ43" s="17">
        <f t="shared" si="5"/>
        <v>0.16013515436776288</v>
      </c>
      <c r="AK43" s="14">
        <f t="shared" si="6"/>
        <v>0.12810890201722733</v>
      </c>
      <c r="AL43" s="14">
        <f t="shared" si="7"/>
        <v>-0.15090305379408775</v>
      </c>
    </row>
    <row r="44" spans="1:38" x14ac:dyDescent="0.3">
      <c r="A44" s="63">
        <v>45699</v>
      </c>
      <c r="B44" s="3">
        <v>28764494</v>
      </c>
      <c r="C44" s="3">
        <f t="shared" si="8"/>
        <v>3584756.2413793104</v>
      </c>
      <c r="D44" s="4">
        <f>+Tabla22[[#This Row],[Share diario]]</f>
        <v>5.4784890970744092E-2</v>
      </c>
      <c r="E44" s="3">
        <f>+Tabla22[[#This Row],[Global 2026]]</f>
        <v>27571599</v>
      </c>
      <c r="F44" s="7">
        <v>46063</v>
      </c>
      <c r="G44" s="3">
        <f>+Tabla2[[#This Row],[Meta Digital]]+Tabla2[[#This Row],[Meta MKPlace]]</f>
        <v>5132722.9137253296</v>
      </c>
      <c r="H44" s="3">
        <v>4365734.4401349127</v>
      </c>
      <c r="I44" s="3">
        <v>766988.4735904173</v>
      </c>
      <c r="J44" s="3">
        <v>2855454</v>
      </c>
      <c r="K44" s="3">
        <v>4002151</v>
      </c>
      <c r="L44" s="3">
        <v>16592.241379310341</v>
      </c>
      <c r="M44" s="3">
        <f>10914+11047</f>
        <v>21961</v>
      </c>
      <c r="N44" s="3">
        <v>62364</v>
      </c>
      <c r="O44" s="3">
        <v>55589</v>
      </c>
      <c r="P44" s="3">
        <v>4603</v>
      </c>
      <c r="Q44" s="3">
        <v>3319</v>
      </c>
      <c r="R44" s="3">
        <v>42383</v>
      </c>
      <c r="S44" s="3">
        <v>62975</v>
      </c>
      <c r="T44" s="3">
        <v>448251</v>
      </c>
      <c r="U44" s="3">
        <v>557077</v>
      </c>
      <c r="V44" s="3">
        <v>107546</v>
      </c>
      <c r="W44" s="3">
        <v>78209</v>
      </c>
      <c r="X44" s="3">
        <v>43052</v>
      </c>
      <c r="Y44" s="3">
        <v>21078</v>
      </c>
      <c r="Z44" s="3">
        <v>4511</v>
      </c>
      <c r="AA44" s="3">
        <v>953</v>
      </c>
      <c r="AB44" s="3">
        <v>0</v>
      </c>
      <c r="AC44" s="3">
        <v>844</v>
      </c>
      <c r="AD44" s="3">
        <v>0</v>
      </c>
      <c r="AE44" s="3">
        <v>0</v>
      </c>
      <c r="AF44" s="5">
        <f t="shared" si="1"/>
        <v>4804156</v>
      </c>
      <c r="AG44" s="4">
        <f t="shared" si="9"/>
        <v>0.93598584625585102</v>
      </c>
      <c r="AH44" s="5">
        <f t="shared" si="10"/>
        <v>-328566.91372532956</v>
      </c>
      <c r="AI44" s="17">
        <f t="shared" si="4"/>
        <v>0.34016253170717681</v>
      </c>
      <c r="AJ44" s="17">
        <f t="shared" si="5"/>
        <v>0.12462434560396962</v>
      </c>
      <c r="AK44" s="14">
        <f t="shared" si="6"/>
        <v>0.17424292294400481</v>
      </c>
      <c r="AL44" s="14">
        <f t="shared" si="7"/>
        <v>-4.1471092799337916E-2</v>
      </c>
    </row>
    <row r="45" spans="1:38" x14ac:dyDescent="0.3">
      <c r="A45" s="7">
        <v>45700</v>
      </c>
      <c r="B45" s="3">
        <v>34103254</v>
      </c>
      <c r="C45" s="3">
        <f t="shared" si="8"/>
        <v>3527108.7586206896</v>
      </c>
      <c r="D45" s="4">
        <f>+Tabla22[[#This Row],[Share diario]]</f>
        <v>4.6442483935966235E-2</v>
      </c>
      <c r="E45" s="3">
        <f>+Tabla22[[#This Row],[Global 2026]]</f>
        <v>29524043</v>
      </c>
      <c r="F45" s="7">
        <v>46064</v>
      </c>
      <c r="G45" s="3">
        <f>+Tabla2[[#This Row],[Meta Digital]]+Tabla2[[#This Row],[Meta MKPlace]]</f>
        <v>4351133.9941472337</v>
      </c>
      <c r="H45" s="3">
        <v>3700939.2190437065</v>
      </c>
      <c r="I45" s="3">
        <v>650194.77510352724</v>
      </c>
      <c r="J45" s="3">
        <v>2929364</v>
      </c>
      <c r="K45" s="3">
        <v>3104553</v>
      </c>
      <c r="L45" s="3">
        <v>19632.758620689645</v>
      </c>
      <c r="M45" s="3">
        <f>12075+10720</f>
        <v>22795</v>
      </c>
      <c r="N45" s="3">
        <v>23666</v>
      </c>
      <c r="O45" s="3">
        <v>17436</v>
      </c>
      <c r="P45" s="3">
        <v>8628</v>
      </c>
      <c r="Q45" s="3">
        <v>696</v>
      </c>
      <c r="R45" s="3">
        <v>92989</v>
      </c>
      <c r="S45" s="3">
        <v>83559</v>
      </c>
      <c r="T45" s="3">
        <v>286849</v>
      </c>
      <c r="U45" s="3">
        <v>555761</v>
      </c>
      <c r="V45" s="3">
        <v>127459</v>
      </c>
      <c r="W45" s="3">
        <v>71762</v>
      </c>
      <c r="X45" s="3">
        <v>36103</v>
      </c>
      <c r="Y45" s="3">
        <v>24671</v>
      </c>
      <c r="Z45" s="3">
        <v>2418</v>
      </c>
      <c r="AA45" s="3">
        <v>4503</v>
      </c>
      <c r="AB45" s="3">
        <v>0</v>
      </c>
      <c r="AC45" s="3">
        <v>-435</v>
      </c>
      <c r="AD45" s="3">
        <v>0</v>
      </c>
      <c r="AE45" s="3">
        <v>0</v>
      </c>
      <c r="AF45" s="5">
        <f t="shared" si="1"/>
        <v>3885301</v>
      </c>
      <c r="AG45" s="4">
        <f t="shared" si="9"/>
        <v>0.89293986469416209</v>
      </c>
      <c r="AH45" s="5">
        <f t="shared" si="10"/>
        <v>-465832.99414723366</v>
      </c>
      <c r="AI45" s="17">
        <f t="shared" si="4"/>
        <v>0.10155406762092167</v>
      </c>
      <c r="AJ45" s="17">
        <f t="shared" si="5"/>
        <v>0.10342440514974581</v>
      </c>
      <c r="AK45" s="14">
        <f t="shared" si="6"/>
        <v>0.13159786415430977</v>
      </c>
      <c r="AL45" s="14">
        <f t="shared" si="7"/>
        <v>-0.13427489939816295</v>
      </c>
    </row>
    <row r="46" spans="1:38" x14ac:dyDescent="0.3">
      <c r="A46" s="63">
        <v>45701</v>
      </c>
      <c r="B46" s="3">
        <v>39504620</v>
      </c>
      <c r="C46" s="3">
        <f t="shared" si="8"/>
        <v>2181176.4482758623</v>
      </c>
      <c r="D46" s="4">
        <f>+Tabla22[[#This Row],[Share diario]]</f>
        <v>4.5695629167694457E-2</v>
      </c>
      <c r="E46" s="3">
        <f>+Tabla22[[#This Row],[Global 2026]]</f>
        <v>33200957</v>
      </c>
      <c r="F46" s="7">
        <v>46065</v>
      </c>
      <c r="G46" s="3">
        <f>+Tabla2[[#This Row],[Meta Digital]]+Tabla2[[#This Row],[Meta MKPlace]]</f>
        <v>4281162.1731869495</v>
      </c>
      <c r="H46" s="3">
        <v>3641423.3648392274</v>
      </c>
      <c r="I46" s="3">
        <v>639738.8083477224</v>
      </c>
      <c r="J46" s="3">
        <v>1665220</v>
      </c>
      <c r="K46" s="3">
        <v>2317644</v>
      </c>
      <c r="L46" s="3">
        <v>18078.448275862062</v>
      </c>
      <c r="M46" s="3">
        <f>13963+11447</f>
        <v>25410</v>
      </c>
      <c r="N46" s="3">
        <v>39150</v>
      </c>
      <c r="O46" s="3">
        <v>26530</v>
      </c>
      <c r="P46" s="3">
        <v>4561</v>
      </c>
      <c r="Q46" s="3">
        <v>5396</v>
      </c>
      <c r="R46" s="3">
        <v>81122</v>
      </c>
      <c r="S46" s="3">
        <v>99852</v>
      </c>
      <c r="T46" s="3">
        <v>288539</v>
      </c>
      <c r="U46" s="3">
        <v>459284</v>
      </c>
      <c r="V46" s="3">
        <v>74526</v>
      </c>
      <c r="W46" s="3">
        <v>89138</v>
      </c>
      <c r="X46" s="3">
        <v>6407</v>
      </c>
      <c r="Y46" s="3">
        <v>11692</v>
      </c>
      <c r="Z46" s="3">
        <v>3573</v>
      </c>
      <c r="AA46" s="3">
        <v>1959</v>
      </c>
      <c r="AB46" s="3">
        <v>0</v>
      </c>
      <c r="AC46" s="3">
        <v>3313</v>
      </c>
      <c r="AD46" s="3">
        <v>0</v>
      </c>
      <c r="AE46" s="3">
        <v>0</v>
      </c>
      <c r="AF46" s="5">
        <f t="shared" si="1"/>
        <v>3040218</v>
      </c>
      <c r="AG46" s="4">
        <f t="shared" si="9"/>
        <v>0.71013848039697702</v>
      </c>
      <c r="AH46" s="5">
        <f t="shared" si="10"/>
        <v>-1240944.1731869495</v>
      </c>
      <c r="AI46" s="17">
        <f t="shared" si="4"/>
        <v>0.39384321814183254</v>
      </c>
      <c r="AJ46" s="17">
        <f t="shared" si="5"/>
        <v>5.521319907078874E-2</v>
      </c>
      <c r="AK46" s="14">
        <f t="shared" si="6"/>
        <v>9.1570191786941563E-2</v>
      </c>
      <c r="AL46" s="14">
        <f t="shared" si="7"/>
        <v>-0.15956774169704713</v>
      </c>
    </row>
    <row r="47" spans="1:38" x14ac:dyDescent="0.3">
      <c r="A47" s="7">
        <v>45702</v>
      </c>
      <c r="B47" s="3">
        <v>32593735</v>
      </c>
      <c r="C47" s="3">
        <f t="shared" si="8"/>
        <v>1866043.3793103448</v>
      </c>
      <c r="D47" s="4">
        <f>+Tabla22[[#This Row],[Share diario]]</f>
        <v>2.825833762174652E-2</v>
      </c>
      <c r="E47" s="3">
        <f>+Tabla22[[#This Row],[Global 2026]]</f>
        <v>35824613</v>
      </c>
      <c r="F47" s="7">
        <v>46066</v>
      </c>
      <c r="G47" s="3">
        <f>+Tabla2[[#This Row],[Meta Digital]]+Tabla2[[#This Row],[Meta MKPlace]]</f>
        <v>2647485.7290923428</v>
      </c>
      <c r="H47" s="3">
        <v>2251869.0023878915</v>
      </c>
      <c r="I47" s="3">
        <v>395616.72670445126</v>
      </c>
      <c r="J47" s="3">
        <v>1401802</v>
      </c>
      <c r="K47" s="3">
        <v>1758784</v>
      </c>
      <c r="L47" s="3">
        <v>14241.379310344822</v>
      </c>
      <c r="M47" s="3">
        <f>8886+9726</f>
        <v>18612</v>
      </c>
      <c r="N47" s="3">
        <v>55802</v>
      </c>
      <c r="O47" s="3">
        <v>25664</v>
      </c>
      <c r="P47" s="3">
        <v>2882</v>
      </c>
      <c r="Q47" s="3">
        <v>3330</v>
      </c>
      <c r="R47" s="3">
        <v>95242</v>
      </c>
      <c r="S47" s="3">
        <v>68260</v>
      </c>
      <c r="T47" s="3">
        <v>211719</v>
      </c>
      <c r="U47" s="3">
        <v>399606</v>
      </c>
      <c r="V47" s="3">
        <v>60511</v>
      </c>
      <c r="W47" s="3">
        <v>59102</v>
      </c>
      <c r="X47" s="3">
        <v>20710</v>
      </c>
      <c r="Y47" s="3">
        <v>14235</v>
      </c>
      <c r="Z47" s="3">
        <v>3134</v>
      </c>
      <c r="AA47" s="3">
        <v>7832</v>
      </c>
      <c r="AB47" s="3">
        <v>0</v>
      </c>
      <c r="AC47" s="3">
        <v>2440</v>
      </c>
      <c r="AD47" s="3">
        <v>0</v>
      </c>
      <c r="AE47" s="3">
        <v>0</v>
      </c>
      <c r="AF47" s="5">
        <f t="shared" si="1"/>
        <v>2357865</v>
      </c>
      <c r="AG47" s="4">
        <f t="shared" si="9"/>
        <v>0.89060536723208872</v>
      </c>
      <c r="AH47" s="5">
        <f t="shared" si="10"/>
        <v>-289620.72909234278</v>
      </c>
      <c r="AI47" s="17">
        <f t="shared" si="4"/>
        <v>0.26356387324255204</v>
      </c>
      <c r="AJ47" s="17">
        <f t="shared" si="5"/>
        <v>5.7251596949853857E-2</v>
      </c>
      <c r="AK47" s="14">
        <f t="shared" si="6"/>
        <v>6.5816900799458747E-2</v>
      </c>
      <c r="AL47" s="14">
        <f t="shared" si="7"/>
        <v>9.912573689391535E-2</v>
      </c>
    </row>
    <row r="48" spans="1:38" x14ac:dyDescent="0.3">
      <c r="A48" s="63">
        <v>45703</v>
      </c>
      <c r="B48" s="3">
        <v>42356911</v>
      </c>
      <c r="C48" s="3">
        <f t="shared" si="8"/>
        <v>1856484.5172413792</v>
      </c>
      <c r="D48" s="4">
        <f>+Tabla22[[#This Row],[Share diario]]</f>
        <v>2.4175615810934793E-2</v>
      </c>
      <c r="E48" s="3">
        <f>+Tabla22[[#This Row],[Global 2026]]</f>
        <v>40028256</v>
      </c>
      <c r="F48" s="7">
        <v>46067</v>
      </c>
      <c r="G48" s="3">
        <f>+Tabla2[[#This Row],[Meta Digital]]+Tabla2[[#This Row],[Meta MKPlace]]</f>
        <v>2264981.0016500619</v>
      </c>
      <c r="H48" s="3">
        <v>1926522.3802969749</v>
      </c>
      <c r="I48" s="3">
        <v>338458.62135308707</v>
      </c>
      <c r="J48" s="3">
        <v>1480367</v>
      </c>
      <c r="K48" s="3">
        <v>1400645</v>
      </c>
      <c r="L48" s="3">
        <v>20915.517241379304</v>
      </c>
      <c r="M48" s="3">
        <f>11423+8165</f>
        <v>19588</v>
      </c>
      <c r="N48" s="3">
        <v>13567</v>
      </c>
      <c r="O48" s="3">
        <v>-861</v>
      </c>
      <c r="P48" s="3">
        <v>1142</v>
      </c>
      <c r="Q48" s="3">
        <v>1446</v>
      </c>
      <c r="R48" s="3">
        <v>55048</v>
      </c>
      <c r="S48" s="3">
        <v>76825</v>
      </c>
      <c r="T48" s="3">
        <v>234704</v>
      </c>
      <c r="U48" s="3">
        <v>365354</v>
      </c>
      <c r="V48" s="3">
        <v>34552</v>
      </c>
      <c r="W48" s="3">
        <v>48474</v>
      </c>
      <c r="X48" s="3">
        <v>16189</v>
      </c>
      <c r="Y48" s="3">
        <v>16510</v>
      </c>
      <c r="Z48" s="3">
        <v>0</v>
      </c>
      <c r="AA48" s="3">
        <v>7433</v>
      </c>
      <c r="AB48" s="3">
        <v>0</v>
      </c>
      <c r="AC48" s="3">
        <v>0</v>
      </c>
      <c r="AD48" s="3">
        <v>0</v>
      </c>
      <c r="AE48" s="3">
        <v>0</v>
      </c>
      <c r="AF48" s="5">
        <f t="shared" si="1"/>
        <v>1935414</v>
      </c>
      <c r="AG48" s="4">
        <f t="shared" si="9"/>
        <v>0.85449458454178251</v>
      </c>
      <c r="AH48" s="5">
        <f t="shared" si="10"/>
        <v>-329567.00165006192</v>
      </c>
      <c r="AI48" s="17">
        <f t="shared" si="4"/>
        <v>4.2515562088233816E-2</v>
      </c>
      <c r="AJ48" s="17">
        <f t="shared" si="5"/>
        <v>4.3829553983324686E-2</v>
      </c>
      <c r="AK48" s="14">
        <f t="shared" si="6"/>
        <v>4.8351194716052578E-2</v>
      </c>
      <c r="AL48" s="14">
        <f t="shared" si="7"/>
        <v>-5.4976978845317603E-2</v>
      </c>
    </row>
    <row r="49" spans="1:38" x14ac:dyDescent="0.3">
      <c r="A49" s="7">
        <v>45704</v>
      </c>
      <c r="B49" s="3">
        <v>44382937</v>
      </c>
      <c r="C49" s="3">
        <f t="shared" si="8"/>
        <v>2548266.7241379311</v>
      </c>
      <c r="D49" s="4">
        <f>+Tabla22[[#This Row],[Share diario]]</f>
        <v>2.4051775508221979E-2</v>
      </c>
      <c r="E49" s="3">
        <f>+Tabla22[[#This Row],[Global 2026]]</f>
        <v>41384863</v>
      </c>
      <c r="F49" s="7">
        <v>46068</v>
      </c>
      <c r="G49" s="3">
        <f>+Tabla2[[#This Row],[Meta Digital]]+Tabla2[[#This Row],[Meta MKPlace]]</f>
        <v>2253378.5698825847</v>
      </c>
      <c r="H49" s="3">
        <v>1916653.7127674771</v>
      </c>
      <c r="I49" s="3">
        <v>336724.8571151077</v>
      </c>
      <c r="J49" s="3">
        <v>1932100</v>
      </c>
      <c r="K49" s="3">
        <v>2149329</v>
      </c>
      <c r="L49" s="3">
        <v>24901.724137931022</v>
      </c>
      <c r="M49" s="3">
        <f>17478+10892</f>
        <v>28370</v>
      </c>
      <c r="N49" s="3">
        <v>13663</v>
      </c>
      <c r="O49" s="3">
        <v>178</v>
      </c>
      <c r="P49" s="3">
        <v>2471</v>
      </c>
      <c r="Q49" s="3">
        <v>0</v>
      </c>
      <c r="R49" s="3">
        <v>72548</v>
      </c>
      <c r="S49" s="3">
        <v>68941</v>
      </c>
      <c r="T49" s="3">
        <v>370770</v>
      </c>
      <c r="U49" s="3">
        <v>492948</v>
      </c>
      <c r="V49" s="3">
        <v>101714</v>
      </c>
      <c r="W49" s="3">
        <v>50253</v>
      </c>
      <c r="X49" s="3">
        <v>26966</v>
      </c>
      <c r="Y49" s="3">
        <v>25710</v>
      </c>
      <c r="Z49" s="3">
        <v>3133</v>
      </c>
      <c r="AA49" s="3">
        <v>9189</v>
      </c>
      <c r="AB49" s="3">
        <v>0</v>
      </c>
      <c r="AC49" s="3">
        <v>0</v>
      </c>
      <c r="AD49" s="3">
        <v>0</v>
      </c>
      <c r="AE49" s="3">
        <v>0</v>
      </c>
      <c r="AF49" s="5">
        <f t="shared" si="1"/>
        <v>2824918</v>
      </c>
      <c r="AG49" s="4">
        <f t="shared" si="9"/>
        <v>1.2536366670724113</v>
      </c>
      <c r="AH49" s="5">
        <f t="shared" si="10"/>
        <v>571539.43011741526</v>
      </c>
      <c r="AI49" s="17">
        <f t="shared" si="4"/>
        <v>0.10856448943964403</v>
      </c>
      <c r="AJ49" s="17">
        <f t="shared" si="5"/>
        <v>5.7415459552348488E-2</v>
      </c>
      <c r="AK49" s="14">
        <f t="shared" si="6"/>
        <v>6.8259691955486243E-2</v>
      </c>
      <c r="AL49" s="14">
        <f t="shared" si="7"/>
        <v>-6.7550148833097734E-2</v>
      </c>
    </row>
    <row r="50" spans="1:38" x14ac:dyDescent="0.3">
      <c r="A50" s="63">
        <v>45705</v>
      </c>
      <c r="B50" s="3">
        <v>24063181</v>
      </c>
      <c r="C50" s="3">
        <f t="shared" si="8"/>
        <v>3727592.2068965519</v>
      </c>
      <c r="D50" s="4">
        <f>+Tabla22[[#This Row],[Share diario]]</f>
        <v>3.3014193554983903E-2</v>
      </c>
      <c r="E50" s="3">
        <f>+Tabla22[[#This Row],[Global 2026]]</f>
        <v>23766868</v>
      </c>
      <c r="F50" s="7">
        <v>46069</v>
      </c>
      <c r="G50" s="3">
        <f>+Tabla2[[#This Row],[Meta Digital]]+Tabla2[[#This Row],[Meta MKPlace]]</f>
        <v>3093055.4891186906</v>
      </c>
      <c r="H50" s="3">
        <v>2630856.7793489159</v>
      </c>
      <c r="I50" s="3">
        <v>462198.70976977464</v>
      </c>
      <c r="J50" s="3">
        <v>3064112</v>
      </c>
      <c r="K50" s="3">
        <v>3080170</v>
      </c>
      <c r="L50" s="3">
        <v>18136.206896551725</v>
      </c>
      <c r="M50" s="3">
        <f>12628+12367</f>
        <v>24995</v>
      </c>
      <c r="N50" s="3">
        <v>41372</v>
      </c>
      <c r="O50" s="3">
        <v>27259</v>
      </c>
      <c r="P50" s="3">
        <v>9059</v>
      </c>
      <c r="Q50" s="3">
        <v>2265</v>
      </c>
      <c r="R50" s="3">
        <v>59366</v>
      </c>
      <c r="S50" s="3">
        <v>98172</v>
      </c>
      <c r="T50" s="3">
        <v>381579</v>
      </c>
      <c r="U50" s="3">
        <v>460199</v>
      </c>
      <c r="V50" s="3">
        <v>106292</v>
      </c>
      <c r="W50" s="3">
        <v>48934</v>
      </c>
      <c r="X50" s="3">
        <v>40654</v>
      </c>
      <c r="Y50" s="3">
        <v>24099</v>
      </c>
      <c r="Z50" s="3">
        <v>7022</v>
      </c>
      <c r="AA50" s="3">
        <v>5432</v>
      </c>
      <c r="AB50" s="3">
        <v>0</v>
      </c>
      <c r="AC50" s="3">
        <v>430</v>
      </c>
      <c r="AD50" s="3">
        <v>0</v>
      </c>
      <c r="AE50" s="3">
        <v>0</v>
      </c>
      <c r="AF50" s="5">
        <f t="shared" si="1"/>
        <v>3771955</v>
      </c>
      <c r="AG50" s="4">
        <f t="shared" si="9"/>
        <v>1.2194915394404222</v>
      </c>
      <c r="AH50" s="5">
        <f t="shared" si="10"/>
        <v>678899.5108813094</v>
      </c>
      <c r="AI50" s="17">
        <f t="shared" si="4"/>
        <v>1.1901192684481643E-2</v>
      </c>
      <c r="AJ50" s="17">
        <f t="shared" si="5"/>
        <v>0.15490853877118541</v>
      </c>
      <c r="AK50" s="14">
        <f t="shared" si="6"/>
        <v>0.15870643956957223</v>
      </c>
      <c r="AL50" s="14">
        <f t="shared" si="7"/>
        <v>-1.2313957992503122E-2</v>
      </c>
    </row>
    <row r="51" spans="1:38" x14ac:dyDescent="0.3">
      <c r="A51" s="7">
        <v>45706</v>
      </c>
      <c r="B51" s="3">
        <v>28049331</v>
      </c>
      <c r="C51" s="3">
        <f t="shared" si="8"/>
        <v>3637684.9655172415</v>
      </c>
      <c r="D51" s="4">
        <f>+Tabla22[[#This Row],[Share diario]]</f>
        <v>4.8293002238281896E-2</v>
      </c>
      <c r="E51" s="3">
        <f>+Tabla22[[#This Row],[Global 2026]]</f>
        <v>26877030</v>
      </c>
      <c r="F51" s="7">
        <v>46070</v>
      </c>
      <c r="G51" s="3">
        <f>+Tabla2[[#This Row],[Meta Digital]]+Tabla2[[#This Row],[Meta MKPlace]]</f>
        <v>4524506.570495626</v>
      </c>
      <c r="H51" s="3">
        <v>3848404.5391596798</v>
      </c>
      <c r="I51" s="3">
        <v>676102.03133594652</v>
      </c>
      <c r="J51" s="3">
        <v>3088415</v>
      </c>
      <c r="K51" s="3">
        <v>3594147</v>
      </c>
      <c r="L51" s="3">
        <v>23043.965517241366</v>
      </c>
      <c r="M51" s="3">
        <f>15370+11491</f>
        <v>26861</v>
      </c>
      <c r="N51" s="3">
        <v>65981</v>
      </c>
      <c r="O51" s="3">
        <v>48038</v>
      </c>
      <c r="P51" s="3">
        <v>7052</v>
      </c>
      <c r="Q51" s="3">
        <v>4918</v>
      </c>
      <c r="R51" s="3">
        <v>29733</v>
      </c>
      <c r="S51" s="3">
        <v>78213</v>
      </c>
      <c r="T51" s="3">
        <v>361184</v>
      </c>
      <c r="U51" s="3">
        <v>470863</v>
      </c>
      <c r="V51" s="3">
        <v>44740</v>
      </c>
      <c r="W51" s="3">
        <v>44216</v>
      </c>
      <c r="X51" s="3">
        <v>15384</v>
      </c>
      <c r="Y51" s="3">
        <v>21475</v>
      </c>
      <c r="Z51" s="3">
        <v>2152</v>
      </c>
      <c r="AA51" s="3">
        <v>6664</v>
      </c>
      <c r="AB51" s="3">
        <v>0</v>
      </c>
      <c r="AC51" s="3">
        <v>0</v>
      </c>
      <c r="AD51" s="3">
        <v>0</v>
      </c>
      <c r="AE51" s="3">
        <v>947</v>
      </c>
      <c r="AF51" s="5">
        <f t="shared" si="1"/>
        <v>4296342</v>
      </c>
      <c r="AG51" s="4">
        <f t="shared" si="9"/>
        <v>0.94957139150079029</v>
      </c>
      <c r="AH51" s="5">
        <f t="shared" si="10"/>
        <v>-228164.57049562596</v>
      </c>
      <c r="AI51" s="17">
        <f t="shared" si="4"/>
        <v>0.18106489174471552</v>
      </c>
      <c r="AJ51" s="17">
        <f t="shared" si="5"/>
        <v>0.12968883163442441</v>
      </c>
      <c r="AK51" s="14">
        <f t="shared" si="6"/>
        <v>0.15985181398391116</v>
      </c>
      <c r="AL51" s="14">
        <f t="shared" si="7"/>
        <v>-4.1794258836333698E-2</v>
      </c>
    </row>
    <row r="52" spans="1:38" x14ac:dyDescent="0.3">
      <c r="A52" s="63">
        <v>45707</v>
      </c>
      <c r="B52" s="3">
        <v>28881637</v>
      </c>
      <c r="C52" s="3">
        <f t="shared" si="8"/>
        <v>3611181.0344827585</v>
      </c>
      <c r="D52" s="4">
        <f>+Tabla22[[#This Row],[Share diario]]</f>
        <v>4.7128204597291098E-2</v>
      </c>
      <c r="E52" s="3">
        <f>+Tabla22[[#This Row],[Global 2026]]</f>
        <v>29417270</v>
      </c>
      <c r="F52" s="7">
        <v>46071</v>
      </c>
      <c r="G52" s="3">
        <f>+Tabla2[[#This Row],[Meta Digital]]+Tabla2[[#This Row],[Meta MKPlace]]</f>
        <v>4415378.2426696327</v>
      </c>
      <c r="H52" s="3">
        <v>3755583.3783075572</v>
      </c>
      <c r="I52" s="3">
        <v>659794.86436207534</v>
      </c>
      <c r="J52" s="3">
        <v>3113676</v>
      </c>
      <c r="K52" s="3">
        <v>3559563</v>
      </c>
      <c r="L52" s="3">
        <v>21506.034482758616</v>
      </c>
      <c r="M52" s="3">
        <f>13096+10747</f>
        <v>23843</v>
      </c>
      <c r="N52" s="3">
        <v>65670</v>
      </c>
      <c r="O52" s="3">
        <v>14662</v>
      </c>
      <c r="P52" s="3">
        <v>2633</v>
      </c>
      <c r="Q52" s="3">
        <v>1851</v>
      </c>
      <c r="R52" s="3">
        <v>66784</v>
      </c>
      <c r="S52" s="3">
        <v>91613</v>
      </c>
      <c r="T52" s="3">
        <v>295101</v>
      </c>
      <c r="U52" s="3">
        <v>453814</v>
      </c>
      <c r="V52" s="3">
        <v>30136</v>
      </c>
      <c r="W52" s="3">
        <v>39979</v>
      </c>
      <c r="X52" s="3">
        <v>13695</v>
      </c>
      <c r="Y52" s="3">
        <v>30090</v>
      </c>
      <c r="Z52" s="3">
        <v>1980</v>
      </c>
      <c r="AA52" s="3">
        <v>3873</v>
      </c>
      <c r="AB52" s="3">
        <v>0</v>
      </c>
      <c r="AC52" s="3">
        <v>3359</v>
      </c>
      <c r="AD52" s="3">
        <v>0</v>
      </c>
      <c r="AE52" s="3">
        <v>0</v>
      </c>
      <c r="AF52" s="5">
        <f t="shared" si="1"/>
        <v>4222647</v>
      </c>
      <c r="AG52" s="4">
        <f t="shared" si="9"/>
        <v>0.95635000399125414</v>
      </c>
      <c r="AH52" s="5">
        <f t="shared" si="10"/>
        <v>-192731.24266963266</v>
      </c>
      <c r="AI52" s="17">
        <f t="shared" si="4"/>
        <v>0.16932575788320281</v>
      </c>
      <c r="AJ52" s="17">
        <f t="shared" si="5"/>
        <v>0.12503380727632435</v>
      </c>
      <c r="AK52" s="14">
        <f t="shared" si="6"/>
        <v>0.14354312959700202</v>
      </c>
      <c r="AL52" s="14">
        <f t="shared" si="7"/>
        <v>1.8545797802250519E-2</v>
      </c>
    </row>
    <row r="53" spans="1:38" x14ac:dyDescent="0.3">
      <c r="A53" s="7">
        <v>45708</v>
      </c>
      <c r="B53" s="3">
        <v>35987596</v>
      </c>
      <c r="C53" s="3">
        <f t="shared" si="8"/>
        <v>2980934.1724137929</v>
      </c>
      <c r="D53" s="4">
        <f>+Tabla22[[#This Row],[Share diario]]</f>
        <v>4.6784831628970291E-2</v>
      </c>
      <c r="E53" s="3">
        <f>+Tabla22[[#This Row],[Global 2026]]</f>
        <v>35456665</v>
      </c>
      <c r="F53" s="7">
        <v>46072</v>
      </c>
      <c r="G53" s="3">
        <f>+Tabla2[[#This Row],[Meta Digital]]+Tabla2[[#This Row],[Meta MKPlace]]</f>
        <v>4383208.0900741797</v>
      </c>
      <c r="H53" s="3">
        <v>3728220.4472685959</v>
      </c>
      <c r="I53" s="3">
        <v>654987.64280558412</v>
      </c>
      <c r="J53" s="3">
        <v>2421357</v>
      </c>
      <c r="K53" s="3">
        <v>3329797</v>
      </c>
      <c r="L53" s="3">
        <v>22405.172413793087</v>
      </c>
      <c r="M53" s="3">
        <f>15937+12034</f>
        <v>27971</v>
      </c>
      <c r="N53" s="3">
        <v>55891</v>
      </c>
      <c r="O53" s="3">
        <v>23965</v>
      </c>
      <c r="P53" s="3">
        <v>2576</v>
      </c>
      <c r="Q53" s="3">
        <v>344</v>
      </c>
      <c r="R53" s="3">
        <v>61430</v>
      </c>
      <c r="S53" s="3">
        <v>65256</v>
      </c>
      <c r="T53" s="3">
        <v>357973</v>
      </c>
      <c r="U53" s="3">
        <v>368888</v>
      </c>
      <c r="V53" s="3">
        <v>24350</v>
      </c>
      <c r="W53" s="3">
        <v>35313</v>
      </c>
      <c r="X53" s="3">
        <v>28074</v>
      </c>
      <c r="Y53" s="3">
        <v>25716</v>
      </c>
      <c r="Z53" s="3">
        <v>6878</v>
      </c>
      <c r="AA53" s="3">
        <v>7482</v>
      </c>
      <c r="AB53" s="3">
        <v>0</v>
      </c>
      <c r="AC53" s="3">
        <v>1990</v>
      </c>
      <c r="AD53" s="3">
        <v>0</v>
      </c>
      <c r="AE53" s="3">
        <v>689</v>
      </c>
      <c r="AF53" s="5">
        <f t="shared" si="1"/>
        <v>3887411</v>
      </c>
      <c r="AG53" s="4">
        <f t="shared" si="9"/>
        <v>0.88688716577318849</v>
      </c>
      <c r="AH53" s="5">
        <f t="shared" si="10"/>
        <v>-495797.09007417969</v>
      </c>
      <c r="AI53" s="17">
        <f t="shared" si="4"/>
        <v>0.30409152807698292</v>
      </c>
      <c r="AJ53" s="17">
        <f t="shared" si="5"/>
        <v>8.2832267329381856E-2</v>
      </c>
      <c r="AK53" s="14">
        <f t="shared" si="6"/>
        <v>0.10963837123429403</v>
      </c>
      <c r="AL53" s="14">
        <f t="shared" si="7"/>
        <v>-1.4753166618853841E-2</v>
      </c>
    </row>
    <row r="54" spans="1:38" x14ac:dyDescent="0.3">
      <c r="A54" s="63">
        <v>45709</v>
      </c>
      <c r="B54" s="3">
        <v>36080831</v>
      </c>
      <c r="C54" s="3">
        <f t="shared" si="8"/>
        <v>2474773.3793103448</v>
      </c>
      <c r="D54" s="4">
        <f>+Tabla22[[#This Row],[Share diario]]</f>
        <v>3.861963773671593E-2</v>
      </c>
      <c r="E54" s="3">
        <f>+Tabla22[[#This Row],[Global 2026]]</f>
        <v>36977163</v>
      </c>
      <c r="F54" s="7">
        <v>46073</v>
      </c>
      <c r="G54" s="3">
        <f>+Tabla2[[#This Row],[Meta Digital]]+Tabla2[[#This Row],[Meta MKPlace]]</f>
        <v>3618222.0319990725</v>
      </c>
      <c r="H54" s="3">
        <v>3077547.1036850493</v>
      </c>
      <c r="I54" s="3">
        <v>540674.92831402307</v>
      </c>
      <c r="J54" s="3">
        <v>1897795</v>
      </c>
      <c r="K54" s="3">
        <v>2545784</v>
      </c>
      <c r="L54" s="3">
        <v>20191.379310344822</v>
      </c>
      <c r="M54" s="3">
        <f>11741+8386</f>
        <v>20127</v>
      </c>
      <c r="N54" s="3">
        <v>54966</v>
      </c>
      <c r="O54" s="3">
        <v>11485</v>
      </c>
      <c r="P54" s="3">
        <v>2375</v>
      </c>
      <c r="Q54" s="3">
        <v>1656</v>
      </c>
      <c r="R54" s="3">
        <v>91325</v>
      </c>
      <c r="S54" s="3">
        <v>148228</v>
      </c>
      <c r="T54" s="3">
        <v>346747</v>
      </c>
      <c r="U54" s="3">
        <v>360812</v>
      </c>
      <c r="V54" s="3">
        <v>33465</v>
      </c>
      <c r="W54" s="3">
        <v>21316</v>
      </c>
      <c r="X54" s="3">
        <v>19690</v>
      </c>
      <c r="Y54" s="3">
        <v>16275</v>
      </c>
      <c r="Z54" s="3">
        <v>8219</v>
      </c>
      <c r="AA54" s="3">
        <v>3147</v>
      </c>
      <c r="AB54" s="3">
        <v>0</v>
      </c>
      <c r="AC54" s="3">
        <v>1306</v>
      </c>
      <c r="AD54" s="3">
        <v>0</v>
      </c>
      <c r="AE54" s="3">
        <v>0</v>
      </c>
      <c r="AF54" s="5">
        <f t="shared" si="1"/>
        <v>3130136</v>
      </c>
      <c r="AG54" s="4">
        <f t="shared" si="9"/>
        <v>0.86510334974401659</v>
      </c>
      <c r="AH54" s="5">
        <f t="shared" si="10"/>
        <v>-488086.03199907253</v>
      </c>
      <c r="AI54" s="17">
        <f t="shared" si="4"/>
        <v>0.2648172257583794</v>
      </c>
      <c r="AJ54" s="17">
        <f t="shared" si="5"/>
        <v>6.8589700146051091E-2</v>
      </c>
      <c r="AK54" s="14">
        <f t="shared" si="6"/>
        <v>8.4650517942655573E-2</v>
      </c>
      <c r="AL54" s="14">
        <f t="shared" si="7"/>
        <v>2.4842332483971941E-2</v>
      </c>
    </row>
    <row r="55" spans="1:38" x14ac:dyDescent="0.3">
      <c r="A55" s="7">
        <v>45710</v>
      </c>
      <c r="B55" s="3">
        <v>47042220</v>
      </c>
      <c r="C55" s="3">
        <f t="shared" si="8"/>
        <v>2208107.7241379311</v>
      </c>
      <c r="D55" s="4">
        <f>+Tabla22[[#This Row],[Share diario]]</f>
        <v>3.2062046949544898E-2</v>
      </c>
      <c r="E55" s="3">
        <f>+Tabla22[[#This Row],[Global 2026]]</f>
        <v>49550104</v>
      </c>
      <c r="F55" s="7">
        <v>46074</v>
      </c>
      <c r="G55" s="3">
        <f>+Tabla2[[#This Row],[Meta Digital]]+Tabla2[[#This Row],[Meta MKPlace]]</f>
        <v>3003850.1514358544</v>
      </c>
      <c r="H55" s="3">
        <v>2554981.4941422259</v>
      </c>
      <c r="I55" s="3">
        <v>448868.65729362855</v>
      </c>
      <c r="J55" s="3">
        <v>1719612</v>
      </c>
      <c r="K55" s="3">
        <v>2157328</v>
      </c>
      <c r="L55" s="3">
        <v>22776.724137931029</v>
      </c>
      <c r="M55" s="3">
        <f>16471+12358</f>
        <v>28829</v>
      </c>
      <c r="N55" s="3">
        <v>25877</v>
      </c>
      <c r="O55" s="3">
        <v>12510</v>
      </c>
      <c r="P55" s="3">
        <v>3459</v>
      </c>
      <c r="Q55" s="3">
        <v>215</v>
      </c>
      <c r="R55" s="3">
        <v>44179</v>
      </c>
      <c r="S55" s="3">
        <v>61838</v>
      </c>
      <c r="T55" s="3">
        <v>327055</v>
      </c>
      <c r="U55" s="3">
        <v>366612</v>
      </c>
      <c r="V55" s="3">
        <v>34049</v>
      </c>
      <c r="W55" s="3">
        <v>23690</v>
      </c>
      <c r="X55" s="3">
        <v>21382</v>
      </c>
      <c r="Y55" s="3">
        <v>14858</v>
      </c>
      <c r="Z55" s="3">
        <v>9718</v>
      </c>
      <c r="AA55" s="3">
        <v>4463</v>
      </c>
      <c r="AB55" s="3">
        <v>0</v>
      </c>
      <c r="AC55" s="3">
        <v>1379</v>
      </c>
      <c r="AD55" s="3">
        <v>0</v>
      </c>
      <c r="AE55" s="3">
        <v>0</v>
      </c>
      <c r="AF55" s="5">
        <f t="shared" si="1"/>
        <v>2671722</v>
      </c>
      <c r="AG55" s="4">
        <f t="shared" si="9"/>
        <v>0.88943251670623602</v>
      </c>
      <c r="AH55" s="5">
        <f t="shared" si="10"/>
        <v>-332128.15143585438</v>
      </c>
      <c r="AI55" s="17">
        <f t="shared" si="4"/>
        <v>0.20995999008294253</v>
      </c>
      <c r="AJ55" s="17">
        <f t="shared" si="5"/>
        <v>4.6938850337801472E-2</v>
      </c>
      <c r="AK55" s="14">
        <f t="shared" si="6"/>
        <v>5.3919604285795245E-2</v>
      </c>
      <c r="AL55" s="14">
        <f t="shared" si="7"/>
        <v>5.3311344575149633E-2</v>
      </c>
    </row>
    <row r="56" spans="1:38" x14ac:dyDescent="0.3">
      <c r="A56" s="63">
        <v>45711</v>
      </c>
      <c r="B56" s="3">
        <v>46157405</v>
      </c>
      <c r="C56" s="3">
        <f t="shared" si="8"/>
        <v>2545543.6206896552</v>
      </c>
      <c r="D56" s="4">
        <f>+Tabla22[[#This Row],[Share diario]]</f>
        <v>2.860724707677768E-2</v>
      </c>
      <c r="E56" s="3">
        <f>+Tabla22[[#This Row],[Global 2026]]</f>
        <v>40534030</v>
      </c>
      <c r="F56" s="7">
        <v>46075</v>
      </c>
      <c r="G56" s="3">
        <f>+Tabla2[[#This Row],[Meta Digital]]+Tabla2[[#This Row],[Meta MKPlace]]</f>
        <v>2680174.5876977234</v>
      </c>
      <c r="H56" s="3">
        <v>2279673.128622836</v>
      </c>
      <c r="I56" s="3">
        <v>400501.45907488751</v>
      </c>
      <c r="J56" s="3">
        <v>1980647</v>
      </c>
      <c r="K56" s="3">
        <v>2371363</v>
      </c>
      <c r="L56" s="3">
        <v>20783.620689655167</v>
      </c>
      <c r="M56" s="3">
        <f>18154+11801</f>
        <v>29955</v>
      </c>
      <c r="N56" s="3">
        <v>20320</v>
      </c>
      <c r="O56" s="3">
        <v>-835</v>
      </c>
      <c r="P56" s="3">
        <v>1308</v>
      </c>
      <c r="Q56" s="3">
        <v>361</v>
      </c>
      <c r="R56" s="3">
        <v>92867</v>
      </c>
      <c r="S56" s="3">
        <v>73803</v>
      </c>
      <c r="T56" s="3">
        <v>375118</v>
      </c>
      <c r="U56" s="3">
        <v>303085</v>
      </c>
      <c r="V56" s="3">
        <v>29980</v>
      </c>
      <c r="W56" s="3">
        <v>29461</v>
      </c>
      <c r="X56" s="3">
        <v>15301</v>
      </c>
      <c r="Y56" s="3">
        <v>21582</v>
      </c>
      <c r="Z56" s="3">
        <v>9219</v>
      </c>
      <c r="AA56" s="3">
        <v>4347</v>
      </c>
      <c r="AB56" s="3">
        <v>0</v>
      </c>
      <c r="AC56" s="3">
        <v>413</v>
      </c>
      <c r="AD56" s="3">
        <v>0</v>
      </c>
      <c r="AE56" s="3">
        <v>0</v>
      </c>
      <c r="AF56" s="5">
        <f t="shared" si="1"/>
        <v>2833535</v>
      </c>
      <c r="AG56" s="4">
        <f t="shared" si="9"/>
        <v>1.0572203068435231</v>
      </c>
      <c r="AH56" s="5">
        <f t="shared" si="10"/>
        <v>153360.41230227659</v>
      </c>
      <c r="AI56" s="17">
        <f t="shared" si="4"/>
        <v>0.11313551139709799</v>
      </c>
      <c r="AJ56" s="17">
        <f t="shared" si="5"/>
        <v>5.5149192652612408E-2</v>
      </c>
      <c r="AK56" s="14">
        <f t="shared" si="6"/>
        <v>6.9905089624693134E-2</v>
      </c>
      <c r="AL56" s="14">
        <f t="shared" si="7"/>
        <v>-0.12183039752776392</v>
      </c>
    </row>
    <row r="57" spans="1:38" x14ac:dyDescent="0.3">
      <c r="A57" s="7">
        <v>45712</v>
      </c>
      <c r="B57" s="3">
        <v>26433260</v>
      </c>
      <c r="C57" s="3">
        <f t="shared" si="8"/>
        <v>3325119.4827586208</v>
      </c>
      <c r="D57" s="4">
        <f>+Tabla22[[#This Row],[Share diario]]</f>
        <v>3.2978914255740989E-2</v>
      </c>
      <c r="E57" s="3">
        <f>+Tabla22[[#This Row],[Global 2026]]</f>
        <v>22062756</v>
      </c>
      <c r="F57" s="7">
        <v>46076</v>
      </c>
      <c r="G57" s="3">
        <f>+Tabla2[[#This Row],[Meta Digital]]+Tabla2[[#This Row],[Meta MKPlace]]</f>
        <v>3089750.2189174416</v>
      </c>
      <c r="H57" s="3">
        <v>2628045.4193370678</v>
      </c>
      <c r="I57" s="3">
        <v>461704.79958037386</v>
      </c>
      <c r="J57" s="3">
        <v>2773046</v>
      </c>
      <c r="K57" s="3">
        <v>3389716</v>
      </c>
      <c r="L57" s="3">
        <v>19384.482758620681</v>
      </c>
      <c r="M57" s="3">
        <f>12794+10935</f>
        <v>23729</v>
      </c>
      <c r="N57" s="3">
        <v>44133</v>
      </c>
      <c r="O57" s="3">
        <v>28866</v>
      </c>
      <c r="P57" s="3">
        <v>1728</v>
      </c>
      <c r="Q57" s="3">
        <v>2677</v>
      </c>
      <c r="R57" s="3">
        <v>54932</v>
      </c>
      <c r="S57" s="3">
        <v>76508</v>
      </c>
      <c r="T57" s="3">
        <v>362431</v>
      </c>
      <c r="U57" s="3">
        <v>327888</v>
      </c>
      <c r="V57" s="3">
        <v>32310</v>
      </c>
      <c r="W57" s="3">
        <v>34023</v>
      </c>
      <c r="X57" s="3">
        <v>32251</v>
      </c>
      <c r="Y57" s="3">
        <v>20904</v>
      </c>
      <c r="Z57" s="3">
        <v>4904</v>
      </c>
      <c r="AA57" s="3">
        <v>3447</v>
      </c>
      <c r="AB57" s="3">
        <v>0</v>
      </c>
      <c r="AC57" s="3">
        <v>430</v>
      </c>
      <c r="AD57" s="3">
        <v>0</v>
      </c>
      <c r="AE57" s="3">
        <v>0</v>
      </c>
      <c r="AF57" s="5">
        <f t="shared" si="1"/>
        <v>3908188</v>
      </c>
      <c r="AG57" s="4">
        <f t="shared" si="9"/>
        <v>1.2648880081216776</v>
      </c>
      <c r="AH57" s="5">
        <f t="shared" si="10"/>
        <v>818437.78108255845</v>
      </c>
      <c r="AI57" s="17">
        <f t="shared" si="4"/>
        <v>0.17535265131514843</v>
      </c>
      <c r="AJ57" s="17">
        <f t="shared" si="5"/>
        <v>0.12579301541915833</v>
      </c>
      <c r="AK57" s="14">
        <f t="shared" si="6"/>
        <v>0.17713961030072581</v>
      </c>
      <c r="AL57" s="14">
        <f t="shared" si="7"/>
        <v>-0.16534108921865864</v>
      </c>
    </row>
    <row r="58" spans="1:38" x14ac:dyDescent="0.3">
      <c r="A58" s="63">
        <v>45713</v>
      </c>
      <c r="B58" s="3">
        <v>29392120</v>
      </c>
      <c r="C58" s="3">
        <f t="shared" si="8"/>
        <v>3789269.1724137929</v>
      </c>
      <c r="D58" s="4">
        <f>+Tabla22[[#This Row],[Share diario]]</f>
        <v>4.307874727453341E-2</v>
      </c>
      <c r="E58" s="3">
        <f>+Tabla22[[#This Row],[Global 2026]]</f>
        <v>27778475</v>
      </c>
      <c r="F58" s="7">
        <v>46077</v>
      </c>
      <c r="G58" s="3">
        <f>+Tabla2[[#This Row],[Meta Digital]]+Tabla2[[#This Row],[Meta MKPlace]]</f>
        <v>4035990.0204721922</v>
      </c>
      <c r="H58" s="3">
        <v>3432887.5586287244</v>
      </c>
      <c r="I58" s="3">
        <v>603102.46184346778</v>
      </c>
      <c r="J58" s="3">
        <v>3237704</v>
      </c>
      <c r="K58" s="3">
        <v>3790804</v>
      </c>
      <c r="L58" s="3">
        <v>19955.172413793101</v>
      </c>
      <c r="M58" s="3">
        <f>11627+12049</f>
        <v>23676</v>
      </c>
      <c r="N58" s="3">
        <v>86781</v>
      </c>
      <c r="O58" s="3">
        <v>53511</v>
      </c>
      <c r="P58" s="3">
        <v>8087</v>
      </c>
      <c r="Q58" s="3">
        <v>3950</v>
      </c>
      <c r="R58" s="3">
        <v>28472</v>
      </c>
      <c r="S58" s="3">
        <v>71433</v>
      </c>
      <c r="T58" s="3">
        <v>347028</v>
      </c>
      <c r="U58" s="3">
        <v>328991</v>
      </c>
      <c r="V58" s="3">
        <v>43531</v>
      </c>
      <c r="W58" s="3">
        <v>44374</v>
      </c>
      <c r="X58" s="3">
        <v>10995</v>
      </c>
      <c r="Y58" s="3">
        <v>15412</v>
      </c>
      <c r="Z58" s="3">
        <v>6716</v>
      </c>
      <c r="AA58" s="3">
        <v>2538</v>
      </c>
      <c r="AB58" s="3">
        <v>0</v>
      </c>
      <c r="AC58" s="3">
        <v>-680</v>
      </c>
      <c r="AD58" s="3">
        <v>0</v>
      </c>
      <c r="AE58" s="3">
        <v>0</v>
      </c>
      <c r="AF58" s="5">
        <f t="shared" si="1"/>
        <v>4334009</v>
      </c>
      <c r="AG58" s="4">
        <f t="shared" si="9"/>
        <v>1.0738403658126343</v>
      </c>
      <c r="AH58" s="5">
        <f t="shared" si="10"/>
        <v>298018.97952780779</v>
      </c>
      <c r="AI58" s="17">
        <f t="shared" si="4"/>
        <v>0.14375854625265472</v>
      </c>
      <c r="AJ58" s="17">
        <f t="shared" si="5"/>
        <v>0.12892126095068315</v>
      </c>
      <c r="AK58" s="14">
        <f t="shared" si="6"/>
        <v>0.15602040788776203</v>
      </c>
      <c r="AL58" s="14">
        <f t="shared" si="7"/>
        <v>-5.4900599208223211E-2</v>
      </c>
    </row>
    <row r="59" spans="1:38" x14ac:dyDescent="0.3">
      <c r="A59" s="7">
        <v>45714</v>
      </c>
      <c r="B59" s="3">
        <v>32989145</v>
      </c>
      <c r="C59" s="3">
        <f t="shared" si="8"/>
        <v>3432841.0689655175</v>
      </c>
      <c r="D59" s="4">
        <f>+Tabla22[[#This Row],[Share diario]]</f>
        <v>4.9092061166526195E-2</v>
      </c>
      <c r="E59" s="3">
        <f>+Tabla22[[#This Row],[Global 2026]]</f>
        <v>31602573</v>
      </c>
      <c r="F59" s="7">
        <v>46078</v>
      </c>
      <c r="G59" s="3">
        <f>+Tabla2[[#This Row],[Meta Digital]]+Tabla2[[#This Row],[Meta MKPlace]]</f>
        <v>4599369.3291457528</v>
      </c>
      <c r="H59" s="3">
        <v>3912080.4728143862</v>
      </c>
      <c r="I59" s="3">
        <v>687288.8563313667</v>
      </c>
      <c r="J59" s="3">
        <v>2904631</v>
      </c>
      <c r="K59" s="3">
        <v>3614722</v>
      </c>
      <c r="L59" s="3">
        <v>19587.068965517239</v>
      </c>
      <c r="M59" s="3">
        <f>16122+15095</f>
        <v>31217</v>
      </c>
      <c r="N59" s="3">
        <v>64657</v>
      </c>
      <c r="O59" s="3">
        <v>80631</v>
      </c>
      <c r="P59" s="3">
        <v>3724</v>
      </c>
      <c r="Q59" s="3">
        <v>-491</v>
      </c>
      <c r="R59" s="3">
        <v>45659</v>
      </c>
      <c r="S59" s="3">
        <v>33888</v>
      </c>
      <c r="T59" s="3">
        <v>329946</v>
      </c>
      <c r="U59" s="3">
        <v>578952</v>
      </c>
      <c r="V59" s="3">
        <v>38488</v>
      </c>
      <c r="W59" s="3">
        <v>54562</v>
      </c>
      <c r="X59" s="3">
        <v>17323</v>
      </c>
      <c r="Y59" s="3">
        <v>28200</v>
      </c>
      <c r="Z59" s="3">
        <v>8826</v>
      </c>
      <c r="AA59" s="3">
        <v>5951</v>
      </c>
      <c r="AB59" s="3">
        <v>0</v>
      </c>
      <c r="AC59" s="3">
        <v>7009</v>
      </c>
      <c r="AD59" s="3">
        <v>0</v>
      </c>
      <c r="AE59" s="3">
        <v>775</v>
      </c>
      <c r="AF59" s="5">
        <f t="shared" si="1"/>
        <v>4435416</v>
      </c>
      <c r="AG59" s="4">
        <f t="shared" si="9"/>
        <v>0.96435308464862857</v>
      </c>
      <c r="AH59" s="5">
        <f t="shared" si="10"/>
        <v>-163953.32914575282</v>
      </c>
      <c r="AI59" s="17">
        <f t="shared" si="4"/>
        <v>0.29205398994384768</v>
      </c>
      <c r="AJ59" s="17">
        <f t="shared" si="5"/>
        <v>0.10405971627835513</v>
      </c>
      <c r="AK59" s="14">
        <f t="shared" si="6"/>
        <v>0.14034983797047157</v>
      </c>
      <c r="AL59" s="14">
        <f t="shared" si="7"/>
        <v>-4.2031159037313692E-2</v>
      </c>
    </row>
    <row r="60" spans="1:38" x14ac:dyDescent="0.3">
      <c r="A60" s="63">
        <v>45715</v>
      </c>
      <c r="B60" s="3">
        <v>36962992</v>
      </c>
      <c r="C60" s="3">
        <f t="shared" si="8"/>
        <v>3033501.6551724137</v>
      </c>
      <c r="D60" s="4">
        <f>+Tabla22[[#This Row],[Share diario]]</f>
        <v>4.4474339526866205E-2</v>
      </c>
      <c r="E60" s="3">
        <f>+Tabla22[[#This Row],[Global 2026]]</f>
        <v>36200123</v>
      </c>
      <c r="F60" s="7">
        <v>46079</v>
      </c>
      <c r="G60" s="3">
        <f>+Tabla2[[#This Row],[Meta Digital]]+Tabla2[[#This Row],[Meta MKPlace]]</f>
        <v>4166741.1857084488</v>
      </c>
      <c r="H60" s="3">
        <v>3544100.432332322</v>
      </c>
      <c r="I60" s="3">
        <v>622640.75337612687</v>
      </c>
      <c r="J60" s="3">
        <v>2452213</v>
      </c>
      <c r="K60" s="3">
        <v>2872787</v>
      </c>
      <c r="L60" s="3">
        <v>20014.655172413793</v>
      </c>
      <c r="M60" s="3">
        <f>12579+13284</f>
        <v>25863</v>
      </c>
      <c r="N60" s="3">
        <v>22443</v>
      </c>
      <c r="O60" s="3">
        <v>7979</v>
      </c>
      <c r="P60" s="3">
        <v>8872</v>
      </c>
      <c r="Q60" s="3">
        <v>0</v>
      </c>
      <c r="R60" s="3">
        <v>97686</v>
      </c>
      <c r="S60" s="3">
        <v>126103</v>
      </c>
      <c r="T60" s="3">
        <v>371645</v>
      </c>
      <c r="U60" s="3">
        <v>530958</v>
      </c>
      <c r="V60" s="3">
        <v>41902</v>
      </c>
      <c r="W60" s="3">
        <v>91753</v>
      </c>
      <c r="X60" s="3">
        <v>12405</v>
      </c>
      <c r="Y60" s="3">
        <v>15632</v>
      </c>
      <c r="Z60" s="3">
        <v>6321</v>
      </c>
      <c r="AA60" s="3">
        <v>4939</v>
      </c>
      <c r="AB60" s="3">
        <v>0</v>
      </c>
      <c r="AC60" s="3">
        <v>5544</v>
      </c>
      <c r="AD60" s="3">
        <v>0</v>
      </c>
      <c r="AE60" s="3">
        <v>0</v>
      </c>
      <c r="AF60" s="5">
        <f t="shared" si="1"/>
        <v>3681558</v>
      </c>
      <c r="AG60" s="4">
        <f t="shared" si="9"/>
        <v>0.88355811794296613</v>
      </c>
      <c r="AH60" s="5">
        <f t="shared" si="10"/>
        <v>-485183.18570844876</v>
      </c>
      <c r="AI60" s="17">
        <f t="shared" si="4"/>
        <v>0.21363309419086285</v>
      </c>
      <c r="AJ60" s="17">
        <f t="shared" si="5"/>
        <v>8.2068617583025028E-2</v>
      </c>
      <c r="AK60" s="14">
        <f t="shared" si="6"/>
        <v>0.10170015168180506</v>
      </c>
      <c r="AL60" s="14">
        <f t="shared" si="7"/>
        <v>-2.0638724267775688E-2</v>
      </c>
    </row>
    <row r="61" spans="1:38" x14ac:dyDescent="0.3">
      <c r="A61" s="7">
        <v>45716</v>
      </c>
      <c r="B61" s="3">
        <v>42693027</v>
      </c>
      <c r="C61" s="3">
        <f t="shared" si="8"/>
        <v>2409436.7586206896</v>
      </c>
      <c r="D61" s="4">
        <f>+Tabla22[[#This Row],[Share diario]]</f>
        <v>3.9300678317771467E-2</v>
      </c>
      <c r="E61" s="3">
        <f>+Tabla22[[#This Row],[Global 2026]]</f>
        <v>42656916</v>
      </c>
      <c r="F61" s="7">
        <v>46080</v>
      </c>
      <c r="G61" s="3">
        <f>+Tabla2[[#This Row],[Meta Digital]]+Tabla2[[#This Row],[Meta MKPlace]]</f>
        <v>3682027.8100817055</v>
      </c>
      <c r="H61" s="3">
        <v>3131818.313632905</v>
      </c>
      <c r="I61" s="3">
        <v>550209.49644880055</v>
      </c>
      <c r="J61" s="3">
        <v>1747242</v>
      </c>
      <c r="K61" s="3">
        <v>2328816</v>
      </c>
      <c r="L61" s="3">
        <v>17482.758620689652</v>
      </c>
      <c r="M61" s="3">
        <f>11774+8876</f>
        <v>20650</v>
      </c>
      <c r="N61" s="3">
        <v>73006</v>
      </c>
      <c r="O61" s="3">
        <v>23531</v>
      </c>
      <c r="P61" s="3">
        <v>3125</v>
      </c>
      <c r="Q61" s="3">
        <v>6440</v>
      </c>
      <c r="R61" s="3">
        <v>104847</v>
      </c>
      <c r="S61" s="3">
        <v>122038</v>
      </c>
      <c r="T61" s="3">
        <v>394351</v>
      </c>
      <c r="U61" s="3">
        <v>450008</v>
      </c>
      <c r="V61" s="3">
        <v>40984</v>
      </c>
      <c r="W61" s="3">
        <v>106960</v>
      </c>
      <c r="X61" s="3">
        <v>18424</v>
      </c>
      <c r="Y61" s="3">
        <v>15315</v>
      </c>
      <c r="Z61" s="3">
        <v>9975</v>
      </c>
      <c r="AA61" s="3">
        <v>3641</v>
      </c>
      <c r="AB61" s="3">
        <v>0</v>
      </c>
      <c r="AC61" s="3">
        <v>2547</v>
      </c>
      <c r="AD61" s="3">
        <v>0</v>
      </c>
      <c r="AE61" s="3">
        <v>775</v>
      </c>
      <c r="AF61" s="5">
        <f t="shared" si="1"/>
        <v>3080721</v>
      </c>
      <c r="AG61" s="4">
        <f t="shared" si="9"/>
        <v>0.83669139911565138</v>
      </c>
      <c r="AH61" s="5">
        <f t="shared" si="10"/>
        <v>-601306.81008170545</v>
      </c>
      <c r="AI61" s="17">
        <f t="shared" si="4"/>
        <v>0.2786062921043817</v>
      </c>
      <c r="AJ61" s="17">
        <f t="shared" si="5"/>
        <v>5.6436306533633455E-2</v>
      </c>
      <c r="AK61" s="14">
        <f t="shared" si="6"/>
        <v>7.2220903170777742E-2</v>
      </c>
      <c r="AL61" s="14">
        <f t="shared" si="7"/>
        <v>-8.4582899216778529E-4</v>
      </c>
    </row>
    <row r="62" spans="1:38" x14ac:dyDescent="0.3">
      <c r="A62" s="63">
        <v>45717</v>
      </c>
      <c r="B62" s="3">
        <v>50836467</v>
      </c>
      <c r="C62" s="3">
        <f t="shared" si="8"/>
        <v>2062135.4827586208</v>
      </c>
      <c r="D62" s="4">
        <f>+Tabla22[[#This Row],[Share diario]]</f>
        <v>3.1215575180618686E-2</v>
      </c>
      <c r="E62" s="3">
        <f>+Tabla22[[#This Row],[Global 2026]]</f>
        <v>51597186</v>
      </c>
      <c r="F62" s="7">
        <v>46081</v>
      </c>
      <c r="G62" s="3">
        <f>+Tabla2[[#This Row],[Meta Digital]]+Tabla2[[#This Row],[Meta MKPlace]]</f>
        <v>2924545.347370272</v>
      </c>
      <c r="H62" s="3">
        <v>2487527.2948416104</v>
      </c>
      <c r="I62" s="3">
        <v>437018.05252866162</v>
      </c>
      <c r="J62" s="3">
        <v>1522696</v>
      </c>
      <c r="K62" s="3">
        <v>2298757</v>
      </c>
      <c r="L62" s="3">
        <v>23759.482758620685</v>
      </c>
      <c r="M62" s="3">
        <f>17672+10634</f>
        <v>28306</v>
      </c>
      <c r="N62" s="3">
        <v>41023</v>
      </c>
      <c r="O62" s="3">
        <v>7846</v>
      </c>
      <c r="P62" s="3">
        <v>2722</v>
      </c>
      <c r="Q62" s="3">
        <v>0</v>
      </c>
      <c r="R62" s="3">
        <v>37541</v>
      </c>
      <c r="S62" s="3">
        <v>67232</v>
      </c>
      <c r="T62" s="3">
        <v>384483</v>
      </c>
      <c r="U62" s="3">
        <v>415460</v>
      </c>
      <c r="V62" s="3">
        <v>29795</v>
      </c>
      <c r="W62" s="3">
        <v>103810</v>
      </c>
      <c r="X62" s="3">
        <v>13746</v>
      </c>
      <c r="Y62" s="3">
        <v>16109</v>
      </c>
      <c r="Z62" s="3">
        <v>6370</v>
      </c>
      <c r="AA62" s="3">
        <v>3746</v>
      </c>
      <c r="AB62" s="3">
        <v>0</v>
      </c>
      <c r="AC62" s="3">
        <v>-5</v>
      </c>
      <c r="AD62" s="3">
        <v>0</v>
      </c>
      <c r="AE62" s="3">
        <v>1895</v>
      </c>
      <c r="AF62" s="5">
        <f t="shared" si="1"/>
        <v>2943156</v>
      </c>
      <c r="AG62" s="4">
        <f t="shared" si="9"/>
        <v>1.0063636054221086</v>
      </c>
      <c r="AH62" s="5">
        <f t="shared" si="10"/>
        <v>18610.652629727963</v>
      </c>
      <c r="AI62" s="17">
        <f t="shared" si="4"/>
        <v>0.42723697090105572</v>
      </c>
      <c r="AJ62" s="17">
        <f t="shared" si="5"/>
        <v>4.0564099050365177E-2</v>
      </c>
      <c r="AK62" s="14">
        <f t="shared" si="6"/>
        <v>5.7041017702011886E-2</v>
      </c>
      <c r="AL62" s="14">
        <f t="shared" si="7"/>
        <v>1.4964041462597999E-2</v>
      </c>
    </row>
    <row r="63" spans="1:38" x14ac:dyDescent="0.3">
      <c r="A63" s="7">
        <v>45718</v>
      </c>
      <c r="B63" s="3">
        <v>48002488</v>
      </c>
      <c r="C63" s="3">
        <f t="shared" si="8"/>
        <v>2666615.8965517241</v>
      </c>
      <c r="D63" s="4">
        <f>+Tabla22[[#This Row],[Share diario]]</f>
        <v>2.2488732254430814E-2</v>
      </c>
      <c r="E63" s="3">
        <f>+Tabla22[[#This Row],[Global 2026]]</f>
        <v>52843119</v>
      </c>
      <c r="F63" s="7">
        <v>46082</v>
      </c>
      <c r="G63" s="3">
        <f>+Tabla2[[#This Row],[Meta Digital]]+Tabla2[[#This Row],[Meta MKPlace]]</f>
        <v>2880353.390492721</v>
      </c>
      <c r="H63" s="3">
        <v>2211486.390492721</v>
      </c>
      <c r="I63" s="3">
        <v>668867</v>
      </c>
      <c r="J63" s="3">
        <v>2021359</v>
      </c>
      <c r="K63" s="3">
        <v>2769749</v>
      </c>
      <c r="L63" s="3">
        <v>23281.896551724138</v>
      </c>
      <c r="M63" s="3">
        <f>19644+14270</f>
        <v>33914</v>
      </c>
      <c r="N63" s="3">
        <v>3956</v>
      </c>
      <c r="O63" s="3">
        <v>26512</v>
      </c>
      <c r="P63" s="3">
        <v>7228</v>
      </c>
      <c r="Q63" s="3">
        <v>0</v>
      </c>
      <c r="R63" s="3">
        <v>118573</v>
      </c>
      <c r="S63" s="3">
        <v>96454</v>
      </c>
      <c r="T63" s="3">
        <v>444525</v>
      </c>
      <c r="U63" s="3">
        <v>447295</v>
      </c>
      <c r="V63" s="3">
        <v>31189</v>
      </c>
      <c r="W63" s="3">
        <v>95383</v>
      </c>
      <c r="X63" s="3">
        <v>12849</v>
      </c>
      <c r="Y63" s="3">
        <v>21210</v>
      </c>
      <c r="Z63" s="3">
        <v>3655</v>
      </c>
      <c r="AA63" s="3">
        <v>3536</v>
      </c>
      <c r="AB63" s="3">
        <v>0</v>
      </c>
      <c r="AC63" s="3">
        <v>430</v>
      </c>
      <c r="AD63" s="3">
        <v>0</v>
      </c>
      <c r="AE63" s="3">
        <v>0</v>
      </c>
      <c r="AF63" s="5">
        <f t="shared" si="1"/>
        <v>3494483</v>
      </c>
      <c r="AG63" s="4">
        <f t="shared" si="9"/>
        <v>1.2132132854025333</v>
      </c>
      <c r="AH63" s="5">
        <f t="shared" si="10"/>
        <v>614129.609507279</v>
      </c>
      <c r="AI63" s="17">
        <f t="shared" si="4"/>
        <v>0.31045607450207369</v>
      </c>
      <c r="AJ63" s="17">
        <f t="shared" si="5"/>
        <v>5.555161841927285E-2</v>
      </c>
      <c r="AK63" s="14">
        <f t="shared" si="6"/>
        <v>6.6129385738945501E-2</v>
      </c>
      <c r="AL63" s="14">
        <f t="shared" si="7"/>
        <v>0.1008412522284261</v>
      </c>
    </row>
    <row r="64" spans="1:38" x14ac:dyDescent="0.3">
      <c r="A64" s="63">
        <v>45719</v>
      </c>
      <c r="B64" s="3">
        <v>28870398</v>
      </c>
      <c r="C64" s="3">
        <f t="shared" si="8"/>
        <v>3575627.5172413792</v>
      </c>
      <c r="D64" s="4">
        <f>+Tabla22[[#This Row],[Share diario]]</f>
        <v>2.9080926750136443E-2</v>
      </c>
      <c r="E64" s="3">
        <f>+Tabla22[[#This Row],[Global 2026]]</f>
        <v>29862876</v>
      </c>
      <c r="F64" s="7">
        <v>46083</v>
      </c>
      <c r="G64" s="3">
        <f>+Tabla2[[#This Row],[Meta Digital]]+Tabla2[[#This Row],[Meta MKPlace]]</f>
        <v>3627549.5167549164</v>
      </c>
      <c r="H64" s="3">
        <v>2859746.5167549164</v>
      </c>
      <c r="I64" s="3">
        <v>767803</v>
      </c>
      <c r="J64" s="3">
        <v>2894647</v>
      </c>
      <c r="K64" s="3">
        <v>3687641</v>
      </c>
      <c r="L64" s="3">
        <v>17015.517241379308</v>
      </c>
      <c r="M64" s="3">
        <v>26936</v>
      </c>
      <c r="N64" s="3">
        <v>70126</v>
      </c>
      <c r="O64" s="3">
        <v>15825</v>
      </c>
      <c r="P64" s="3">
        <v>2478</v>
      </c>
      <c r="Q64" s="3">
        <v>7457</v>
      </c>
      <c r="R64" s="3">
        <v>47499</v>
      </c>
      <c r="S64" s="3">
        <v>107185</v>
      </c>
      <c r="T64" s="3">
        <v>481304</v>
      </c>
      <c r="U64" s="3">
        <v>452113</v>
      </c>
      <c r="V64" s="3">
        <v>33324</v>
      </c>
      <c r="W64" s="3">
        <v>85564</v>
      </c>
      <c r="X64" s="3">
        <v>22831</v>
      </c>
      <c r="Y64" s="3">
        <v>6520</v>
      </c>
      <c r="Z64" s="3">
        <v>6403</v>
      </c>
      <c r="AA64" s="3">
        <v>4483</v>
      </c>
      <c r="AB64" s="3">
        <v>0</v>
      </c>
      <c r="AC64" s="3">
        <v>515</v>
      </c>
      <c r="AD64" s="3">
        <v>0</v>
      </c>
      <c r="AE64" s="3">
        <v>0</v>
      </c>
      <c r="AF64" s="5">
        <f t="shared" si="1"/>
        <v>4394239</v>
      </c>
      <c r="AG64" s="4">
        <f t="shared" si="9"/>
        <v>1.2113519001474411</v>
      </c>
      <c r="AH64" s="5">
        <f t="shared" si="10"/>
        <v>766689.4832450836</v>
      </c>
      <c r="AI64" s="17">
        <f t="shared" si="4"/>
        <v>0.22894204690263287</v>
      </c>
      <c r="AJ64" s="17">
        <f t="shared" si="5"/>
        <v>0.12385099496173829</v>
      </c>
      <c r="AK64" s="14">
        <f t="shared" si="6"/>
        <v>0.1471472138182538</v>
      </c>
      <c r="AL64" s="14">
        <f t="shared" si="7"/>
        <v>3.4377011359524756E-2</v>
      </c>
    </row>
    <row r="65" spans="1:38" x14ac:dyDescent="0.3">
      <c r="A65" s="7">
        <v>45720</v>
      </c>
      <c r="B65" s="3">
        <v>30118136</v>
      </c>
      <c r="C65" s="3">
        <f t="shared" si="8"/>
        <v>3876973.1724137929</v>
      </c>
      <c r="D65" s="4">
        <f>+Tabla22[[#This Row],[Share diario]]</f>
        <v>3.8994203120566236E-2</v>
      </c>
      <c r="E65" s="3">
        <f>+Tabla22[[#This Row],[Global 2026]]</f>
        <v>33171704</v>
      </c>
      <c r="F65" s="7">
        <v>46084</v>
      </c>
      <c r="G65" s="3">
        <f>+Tabla2[[#This Row],[Meta Digital]]+Tabla2[[#This Row],[Meta MKPlace]]</f>
        <v>4500020.6326513309</v>
      </c>
      <c r="H65" s="3">
        <v>3834593.6326513314</v>
      </c>
      <c r="I65" s="3">
        <v>665427</v>
      </c>
      <c r="J65" s="3">
        <v>3324837</v>
      </c>
      <c r="K65" s="3">
        <v>4158362</v>
      </c>
      <c r="L65" s="3">
        <v>20705.172413793101</v>
      </c>
      <c r="M65" s="3">
        <f>15135+6897</f>
        <v>22032</v>
      </c>
      <c r="N65" s="3">
        <v>55930</v>
      </c>
      <c r="O65" s="3">
        <v>47632</v>
      </c>
      <c r="P65" s="3">
        <v>5121</v>
      </c>
      <c r="Q65" s="3">
        <v>2071</v>
      </c>
      <c r="R65" s="3">
        <v>33120</v>
      </c>
      <c r="S65" s="3">
        <v>74989</v>
      </c>
      <c r="T65" s="3">
        <v>340219</v>
      </c>
      <c r="U65" s="3">
        <v>653421</v>
      </c>
      <c r="V65" s="3">
        <v>73972</v>
      </c>
      <c r="W65" s="3">
        <v>126548</v>
      </c>
      <c r="X65" s="3">
        <v>16003</v>
      </c>
      <c r="Y65" s="3">
        <v>5908</v>
      </c>
      <c r="Z65" s="3">
        <v>7066</v>
      </c>
      <c r="AA65" s="3">
        <v>4036</v>
      </c>
      <c r="AB65" s="3">
        <v>0</v>
      </c>
      <c r="AC65" s="3">
        <v>2049</v>
      </c>
      <c r="AD65" s="3">
        <v>0</v>
      </c>
      <c r="AE65" s="3">
        <v>775</v>
      </c>
      <c r="AF65" s="5">
        <f t="shared" si="1"/>
        <v>5097823</v>
      </c>
      <c r="AG65" s="4">
        <f t="shared" si="9"/>
        <v>1.1328443614260619</v>
      </c>
      <c r="AH65" s="5">
        <f t="shared" si="10"/>
        <v>597802.3673486691</v>
      </c>
      <c r="AI65" s="17">
        <f t="shared" si="4"/>
        <v>0.31489767230607613</v>
      </c>
      <c r="AJ65" s="17">
        <f t="shared" si="5"/>
        <v>0.12872553508669304</v>
      </c>
      <c r="AK65" s="14">
        <f t="shared" si="6"/>
        <v>0.15367986522489166</v>
      </c>
      <c r="AL65" s="14">
        <f t="shared" si="7"/>
        <v>0.10138635405590835</v>
      </c>
    </row>
    <row r="66" spans="1:38" x14ac:dyDescent="0.3">
      <c r="A66" s="63">
        <v>45721</v>
      </c>
      <c r="B66" s="3">
        <v>32149498</v>
      </c>
      <c r="C66" s="3">
        <f t="shared" si="8"/>
        <v>3691707.1724137929</v>
      </c>
      <c r="D66" s="4">
        <f>+Tabla22[[#This Row],[Share diario]]</f>
        <v>4.2280544785248071E-2</v>
      </c>
      <c r="E66" s="3">
        <f>+Tabla22[[#This Row],[Global 2026]]</f>
        <v>34892813</v>
      </c>
      <c r="F66" s="7">
        <v>46085</v>
      </c>
      <c r="G66" s="3">
        <f>+Tabla2[[#This Row],[Meta Digital]]+Tabla2[[#This Row],[Meta MKPlace]]</f>
        <v>4785964.3558263183</v>
      </c>
      <c r="H66" s="3">
        <v>4157764.3558263187</v>
      </c>
      <c r="I66" s="3">
        <v>628200</v>
      </c>
      <c r="J66" s="3">
        <v>3006578</v>
      </c>
      <c r="K66" s="3">
        <v>4047073</v>
      </c>
      <c r="L66" s="3">
        <v>20405.172413793101</v>
      </c>
      <c r="M66" s="3">
        <v>21637</v>
      </c>
      <c r="N66" s="3">
        <v>61036</v>
      </c>
      <c r="O66" s="3">
        <v>50390</v>
      </c>
      <c r="P66" s="3">
        <v>128</v>
      </c>
      <c r="Q66" s="3">
        <v>7095</v>
      </c>
      <c r="R66" s="3">
        <v>94925</v>
      </c>
      <c r="S66" s="3">
        <v>81778</v>
      </c>
      <c r="T66" s="3">
        <v>365903</v>
      </c>
      <c r="U66" s="3">
        <v>480522</v>
      </c>
      <c r="V66" s="3">
        <v>115450</v>
      </c>
      <c r="W66" s="3">
        <v>55623</v>
      </c>
      <c r="X66" s="3">
        <v>19487</v>
      </c>
      <c r="Y66" s="3">
        <v>12102</v>
      </c>
      <c r="Z66" s="3">
        <v>7795</v>
      </c>
      <c r="AA66" s="3">
        <v>6133</v>
      </c>
      <c r="AB66" s="3">
        <v>0</v>
      </c>
      <c r="AC66" s="3">
        <v>1534</v>
      </c>
      <c r="AD66" s="3">
        <v>0</v>
      </c>
      <c r="AE66" s="3">
        <v>0</v>
      </c>
      <c r="AF66" s="5">
        <f t="shared" si="1"/>
        <v>4763887</v>
      </c>
      <c r="AG66" s="4">
        <f t="shared" si="9"/>
        <v>0.9953870622125629</v>
      </c>
      <c r="AH66" s="5">
        <f t="shared" si="10"/>
        <v>-22077.355826318264</v>
      </c>
      <c r="AI66" s="17">
        <f t="shared" si="4"/>
        <v>0.29042927228845472</v>
      </c>
      <c r="AJ66" s="17">
        <f t="shared" si="5"/>
        <v>0.11482938776878547</v>
      </c>
      <c r="AK66" s="14">
        <f t="shared" si="6"/>
        <v>0.13652917579330734</v>
      </c>
      <c r="AL66" s="14">
        <f t="shared" si="7"/>
        <v>8.532994823122908E-2</v>
      </c>
    </row>
    <row r="67" spans="1:38" x14ac:dyDescent="0.3">
      <c r="A67" s="7">
        <v>45722</v>
      </c>
      <c r="B67" s="3">
        <v>37519228</v>
      </c>
      <c r="C67" s="3">
        <f t="shared" si="8"/>
        <v>2779470.1379310344</v>
      </c>
      <c r="D67" s="4">
        <f>+Tabla22[[#This Row],[Share diario]]</f>
        <v>4.0260116202992274E-2</v>
      </c>
      <c r="E67" s="3">
        <f>+Tabla22[[#This Row],[Global 2026]]</f>
        <v>38712693</v>
      </c>
      <c r="F67" s="7">
        <v>46086</v>
      </c>
      <c r="G67" s="3">
        <f>+Tabla2[[#This Row],[Meta Digital]]+Tabla2[[#This Row],[Meta MKPlace]]</f>
        <v>4626496.3988086497</v>
      </c>
      <c r="H67" s="3">
        <v>3959080.3988086497</v>
      </c>
      <c r="I67" s="3">
        <v>667416</v>
      </c>
      <c r="J67" s="3">
        <v>2158066</v>
      </c>
      <c r="K67" s="3">
        <v>3273154</v>
      </c>
      <c r="L67" s="3">
        <v>20349.137931034478</v>
      </c>
      <c r="M67" s="3">
        <f>15908+12659</f>
        <v>28567</v>
      </c>
      <c r="N67" s="3">
        <v>52546</v>
      </c>
      <c r="O67" s="3">
        <v>21743</v>
      </c>
      <c r="P67" s="3">
        <v>1600</v>
      </c>
      <c r="Q67" s="3">
        <v>154</v>
      </c>
      <c r="R67" s="3">
        <v>74876</v>
      </c>
      <c r="S67" s="3">
        <v>89264</v>
      </c>
      <c r="T67" s="3">
        <v>330846</v>
      </c>
      <c r="U67" s="3">
        <v>393807</v>
      </c>
      <c r="V67" s="3">
        <v>120380</v>
      </c>
      <c r="W67" s="3">
        <v>40051</v>
      </c>
      <c r="X67" s="3">
        <v>14076</v>
      </c>
      <c r="Y67" s="3">
        <v>5342</v>
      </c>
      <c r="Z67" s="3">
        <v>6731</v>
      </c>
      <c r="AA67" s="3">
        <v>5065</v>
      </c>
      <c r="AB67" s="3">
        <v>0</v>
      </c>
      <c r="AC67" s="3">
        <v>560</v>
      </c>
      <c r="AD67" s="3">
        <v>0</v>
      </c>
      <c r="AE67" s="3">
        <v>0</v>
      </c>
      <c r="AF67" s="5">
        <f t="shared" si="1"/>
        <v>3857707</v>
      </c>
      <c r="AG67" s="4">
        <f t="shared" si="9"/>
        <v>0.83382902902364353</v>
      </c>
      <c r="AH67" s="5">
        <f t="shared" si="10"/>
        <v>-768789.39880864974</v>
      </c>
      <c r="AI67" s="17">
        <f t="shared" si="4"/>
        <v>0.38792892478117325</v>
      </c>
      <c r="AJ67" s="17">
        <f t="shared" si="5"/>
        <v>7.4081218780168781E-2</v>
      </c>
      <c r="AK67" s="14">
        <f t="shared" si="6"/>
        <v>9.9649667875081699E-2</v>
      </c>
      <c r="AL67" s="14">
        <f t="shared" si="7"/>
        <v>3.1809423157640682E-2</v>
      </c>
    </row>
    <row r="68" spans="1:38" x14ac:dyDescent="0.3">
      <c r="A68" s="63">
        <v>45723</v>
      </c>
      <c r="B68" s="3">
        <v>39523265</v>
      </c>
      <c r="C68" s="3">
        <f t="shared" si="8"/>
        <v>2664201.1034482759</v>
      </c>
      <c r="D68" s="4">
        <f>+Tabla22[[#This Row],[Share diario]]</f>
        <v>3.0311664904528256E-2</v>
      </c>
      <c r="E68" s="3">
        <f>+Tabla22[[#This Row],[Global 2026]]</f>
        <v>39872258</v>
      </c>
      <c r="F68" s="7">
        <v>46087</v>
      </c>
      <c r="G68" s="3">
        <f>+Tabla2[[#This Row],[Meta Digital]]+Tabla2[[#This Row],[Meta MKPlace]]</f>
        <v>3599466.2673592828</v>
      </c>
      <c r="H68" s="3">
        <v>2980774.2673592828</v>
      </c>
      <c r="I68" s="3">
        <v>618692</v>
      </c>
      <c r="J68" s="3">
        <v>2008601</v>
      </c>
      <c r="K68" s="3">
        <v>2313818</v>
      </c>
      <c r="L68" s="3">
        <v>17718.103448275862</v>
      </c>
      <c r="M68" s="3">
        <v>23488</v>
      </c>
      <c r="N68" s="3">
        <v>60599</v>
      </c>
      <c r="O68" s="3">
        <v>32023</v>
      </c>
      <c r="P68" s="3">
        <v>1392</v>
      </c>
      <c r="Q68" s="3">
        <v>1687</v>
      </c>
      <c r="R68" s="3">
        <v>69932</v>
      </c>
      <c r="S68" s="3">
        <v>118330</v>
      </c>
      <c r="T68" s="3">
        <v>369062</v>
      </c>
      <c r="U68" s="3">
        <v>299324</v>
      </c>
      <c r="V68" s="3">
        <v>123391</v>
      </c>
      <c r="W68" s="3">
        <v>33674</v>
      </c>
      <c r="X68" s="3">
        <v>10054</v>
      </c>
      <c r="Y68" s="3">
        <v>6895</v>
      </c>
      <c r="Z68" s="3">
        <v>3452</v>
      </c>
      <c r="AA68" s="3">
        <v>6866</v>
      </c>
      <c r="AB68" s="3">
        <v>0</v>
      </c>
      <c r="AC68" s="3">
        <v>387</v>
      </c>
      <c r="AD68" s="3">
        <v>0</v>
      </c>
      <c r="AE68" s="3">
        <v>0</v>
      </c>
      <c r="AF68" s="5">
        <f t="shared" ref="AF68:AF85" si="11">+AE68+AC68+AA68+Y68+W68+U68+S68+Q68+O68+M68+K68</f>
        <v>2836492</v>
      </c>
      <c r="AG68" s="4">
        <f t="shared" ref="AG68:AG78" si="12">+AF68/G68</f>
        <v>0.78803127722626709</v>
      </c>
      <c r="AH68" s="5">
        <f t="shared" ref="AH68:AH78" si="13">+AF68-G68</f>
        <v>-762974.26735928282</v>
      </c>
      <c r="AI68" s="17">
        <f t="shared" ref="AI68:AI131" si="14">+AF68/C68-1</f>
        <v>6.4668878159658494E-2</v>
      </c>
      <c r="AJ68" s="17">
        <f t="shared" ref="AJ68:AJ131" si="15">+C68/B68</f>
        <v>6.740842649129003E-2</v>
      </c>
      <c r="AK68" s="14">
        <f t="shared" ref="AK68:AK131" si="16">+AF68/E68</f>
        <v>7.1139487510338648E-2</v>
      </c>
      <c r="AL68" s="14">
        <f t="shared" ref="AL68:AL131" si="17">+E68/B68-1</f>
        <v>8.8300650262573832E-3</v>
      </c>
    </row>
    <row r="69" spans="1:38" x14ac:dyDescent="0.3">
      <c r="A69" s="7">
        <v>45724</v>
      </c>
      <c r="B69" s="3">
        <v>48982826</v>
      </c>
      <c r="C69" s="3">
        <f t="shared" ref="C69:C132" si="18">+J69+L69+N69+P69+R69+T69+V69+X69+Z69+AB69+AD69</f>
        <v>2136044.3793103448</v>
      </c>
      <c r="D69" s="4">
        <f>+Tabla22[[#This Row],[Share diario]]</f>
        <v>2.9054592090747018E-2</v>
      </c>
      <c r="E69" s="3">
        <f>+Tabla22[[#This Row],[Global 2026]]</f>
        <v>52578844</v>
      </c>
      <c r="F69" s="7">
        <v>46088</v>
      </c>
      <c r="G69" s="3">
        <f>+Tabla2[[#This Row],[Meta Digital]]+Tabla2[[#This Row],[Meta MKPlace]]</f>
        <v>3399016.831388081</v>
      </c>
      <c r="H69" s="3">
        <v>2857156.831388081</v>
      </c>
      <c r="I69" s="3">
        <v>541860</v>
      </c>
      <c r="J69" s="3">
        <v>1587947</v>
      </c>
      <c r="K69" s="3">
        <v>2036782</v>
      </c>
      <c r="L69" s="3">
        <v>16966.379310344826</v>
      </c>
      <c r="M69" s="3">
        <v>29622</v>
      </c>
      <c r="N69" s="3">
        <v>27670</v>
      </c>
      <c r="O69" s="3">
        <v>12659</v>
      </c>
      <c r="P69" s="3">
        <v>257</v>
      </c>
      <c r="Q69" s="3">
        <v>1118</v>
      </c>
      <c r="R69" s="3">
        <v>58244</v>
      </c>
      <c r="S69" s="3">
        <v>33500</v>
      </c>
      <c r="T69" s="3">
        <v>305214</v>
      </c>
      <c r="U69" s="3">
        <v>318037</v>
      </c>
      <c r="V69" s="3">
        <v>118323</v>
      </c>
      <c r="W69" s="3">
        <v>29312</v>
      </c>
      <c r="X69" s="3">
        <v>13685</v>
      </c>
      <c r="Y69" s="3">
        <v>16246</v>
      </c>
      <c r="Z69" s="3">
        <v>7738</v>
      </c>
      <c r="AA69" s="3">
        <v>7308</v>
      </c>
      <c r="AB69" s="3">
        <v>0</v>
      </c>
      <c r="AC69" s="3">
        <v>430</v>
      </c>
      <c r="AD69" s="3">
        <v>0</v>
      </c>
      <c r="AE69" s="3">
        <v>0</v>
      </c>
      <c r="AF69" s="5">
        <f t="shared" si="11"/>
        <v>2485014</v>
      </c>
      <c r="AG69" s="4">
        <f t="shared" si="12"/>
        <v>0.73109788014352872</v>
      </c>
      <c r="AH69" s="5">
        <f t="shared" si="13"/>
        <v>-914002.83138808096</v>
      </c>
      <c r="AI69" s="17">
        <f t="shared" si="14"/>
        <v>0.16337189623481763</v>
      </c>
      <c r="AJ69" s="17">
        <f t="shared" si="15"/>
        <v>4.3608026603249569E-2</v>
      </c>
      <c r="AK69" s="14">
        <f t="shared" si="16"/>
        <v>4.726262144523375E-2</v>
      </c>
      <c r="AL69" s="14">
        <f t="shared" si="17"/>
        <v>7.341385325542471E-2</v>
      </c>
    </row>
    <row r="70" spans="1:38" x14ac:dyDescent="0.3">
      <c r="A70" s="63">
        <v>45725</v>
      </c>
      <c r="B70" s="3">
        <v>48219670</v>
      </c>
      <c r="C70" s="3">
        <f t="shared" si="18"/>
        <v>2522476.7931034481</v>
      </c>
      <c r="D70" s="4">
        <f>+Tabla22[[#This Row],[Share diario]]</f>
        <v>2.3294749802583687E-2</v>
      </c>
      <c r="E70" s="3">
        <f>+Tabla22[[#This Row],[Global 2026]]</f>
        <v>53652093</v>
      </c>
      <c r="F70" s="7">
        <v>46089</v>
      </c>
      <c r="G70" s="3">
        <f>+Tabla2[[#This Row],[Meta Digital]]+Tabla2[[#This Row],[Meta MKPlace]]</f>
        <v>2964233.16559288</v>
      </c>
      <c r="H70" s="3">
        <v>2290748.16559288</v>
      </c>
      <c r="I70" s="3">
        <v>673485</v>
      </c>
      <c r="J70" s="3">
        <v>1877757</v>
      </c>
      <c r="K70" s="3">
        <v>4090457</v>
      </c>
      <c r="L70" s="3">
        <v>21363.793103448268</v>
      </c>
      <c r="M70" s="3">
        <f>10745+11208</f>
        <v>21953</v>
      </c>
      <c r="N70" s="3">
        <v>18440</v>
      </c>
      <c r="O70" s="3">
        <v>-800</v>
      </c>
      <c r="P70" s="3">
        <v>10318</v>
      </c>
      <c r="Q70" s="3">
        <v>2170</v>
      </c>
      <c r="R70" s="3">
        <v>85023</v>
      </c>
      <c r="S70" s="3">
        <v>76790</v>
      </c>
      <c r="T70" s="3">
        <v>365073</v>
      </c>
      <c r="U70" s="3">
        <v>438569</v>
      </c>
      <c r="V70" s="3">
        <v>119743</v>
      </c>
      <c r="W70" s="3">
        <v>28025</v>
      </c>
      <c r="X70" s="3">
        <v>17150</v>
      </c>
      <c r="Y70" s="3">
        <v>15404</v>
      </c>
      <c r="Z70" s="3">
        <v>7609</v>
      </c>
      <c r="AA70" s="3">
        <v>5875</v>
      </c>
      <c r="AB70" s="3">
        <v>0</v>
      </c>
      <c r="AC70" s="3">
        <v>0</v>
      </c>
      <c r="AD70" s="3">
        <v>0</v>
      </c>
      <c r="AE70" s="3">
        <v>0</v>
      </c>
      <c r="AF70" s="5">
        <f t="shared" si="11"/>
        <v>4678443</v>
      </c>
      <c r="AG70" s="4">
        <f t="shared" si="12"/>
        <v>1.5782979066237721</v>
      </c>
      <c r="AH70" s="5">
        <f t="shared" si="13"/>
        <v>1714209.83440712</v>
      </c>
      <c r="AI70" s="17">
        <f t="shared" si="14"/>
        <v>0.85470209787104845</v>
      </c>
      <c r="AJ70" s="17">
        <f t="shared" si="15"/>
        <v>5.2312195274323695E-2</v>
      </c>
      <c r="AK70" s="14">
        <f t="shared" si="16"/>
        <v>8.7199636368333291E-2</v>
      </c>
      <c r="AL70" s="14">
        <f t="shared" si="17"/>
        <v>0.11265989584748293</v>
      </c>
    </row>
    <row r="71" spans="1:38" x14ac:dyDescent="0.3">
      <c r="A71" s="7">
        <v>45726</v>
      </c>
      <c r="B71" s="3">
        <v>29158858</v>
      </c>
      <c r="C71" s="3">
        <f t="shared" si="18"/>
        <v>3729949.6551724137</v>
      </c>
      <c r="D71" s="4">
        <f>+Tabla22[[#This Row],[Share diario]]</f>
        <v>2.7509009806781361E-2</v>
      </c>
      <c r="E71" s="3">
        <f>+Tabla22[[#This Row],[Global 2026]]</f>
        <v>31554878</v>
      </c>
      <c r="F71" s="7">
        <v>46090</v>
      </c>
      <c r="G71" s="3">
        <f>+Tabla2[[#This Row],[Meta Digital]]+Tabla2[[#This Row],[Meta MKPlace]]</f>
        <v>3478724.0866377731</v>
      </c>
      <c r="H71" s="3">
        <v>2705168.0866377731</v>
      </c>
      <c r="I71" s="3">
        <v>773556</v>
      </c>
      <c r="J71" s="3">
        <v>3068514</v>
      </c>
      <c r="K71" s="3">
        <v>3929406</v>
      </c>
      <c r="L71" s="3">
        <v>17939.655172413786</v>
      </c>
      <c r="M71" s="3">
        <f>19021+12762</f>
        <v>31783</v>
      </c>
      <c r="N71" s="3">
        <v>54141</v>
      </c>
      <c r="O71" s="3">
        <v>29516</v>
      </c>
      <c r="P71" s="3">
        <v>9922</v>
      </c>
      <c r="Q71" s="3">
        <v>5855</v>
      </c>
      <c r="R71" s="3">
        <v>44926</v>
      </c>
      <c r="S71" s="3">
        <v>97853</v>
      </c>
      <c r="T71" s="3">
        <v>397940</v>
      </c>
      <c r="U71" s="3">
        <v>392149</v>
      </c>
      <c r="V71" s="3">
        <v>105887</v>
      </c>
      <c r="W71" s="3">
        <v>38657</v>
      </c>
      <c r="X71" s="3">
        <v>23153</v>
      </c>
      <c r="Y71" s="3">
        <v>9352</v>
      </c>
      <c r="Z71" s="3">
        <v>7527</v>
      </c>
      <c r="AA71" s="3">
        <v>7473</v>
      </c>
      <c r="AB71" s="3">
        <v>0</v>
      </c>
      <c r="AC71" s="3">
        <v>0</v>
      </c>
      <c r="AD71" s="3">
        <v>0</v>
      </c>
      <c r="AE71" s="3">
        <v>0</v>
      </c>
      <c r="AF71" s="5">
        <f t="shared" si="11"/>
        <v>4542044</v>
      </c>
      <c r="AG71" s="4">
        <f t="shared" si="12"/>
        <v>1.3056637683473016</v>
      </c>
      <c r="AH71" s="5">
        <f t="shared" si="13"/>
        <v>1063319.9133622269</v>
      </c>
      <c r="AI71" s="17">
        <f t="shared" si="14"/>
        <v>0.21772260215400885</v>
      </c>
      <c r="AJ71" s="17">
        <f t="shared" si="15"/>
        <v>0.12791823517822315</v>
      </c>
      <c r="AK71" s="14">
        <f t="shared" si="16"/>
        <v>0.14394110476358046</v>
      </c>
      <c r="AL71" s="14">
        <f t="shared" si="17"/>
        <v>8.2171256501197609E-2</v>
      </c>
    </row>
    <row r="72" spans="1:38" x14ac:dyDescent="0.3">
      <c r="A72" s="63">
        <v>45727</v>
      </c>
      <c r="B72" s="3">
        <v>32602787</v>
      </c>
      <c r="C72" s="3">
        <f t="shared" si="18"/>
        <v>3884872.1379310344</v>
      </c>
      <c r="D72" s="4">
        <f>+Tabla22[[#This Row],[Share diario]]</f>
        <v>4.06771717081683E-2</v>
      </c>
      <c r="E72" s="3">
        <f>+Tabla22[[#This Row],[Global 2026]]</f>
        <v>32083406</v>
      </c>
      <c r="F72" s="7">
        <v>46091</v>
      </c>
      <c r="G72" s="3">
        <f>+Tabla2[[#This Row],[Meta Digital]]+Tabla2[[#This Row],[Meta MKPlace]]</f>
        <v>4699432.6072044848</v>
      </c>
      <c r="H72" s="3">
        <v>4000092.6072044848</v>
      </c>
      <c r="I72" s="3">
        <v>699340</v>
      </c>
      <c r="J72" s="3">
        <v>3074978</v>
      </c>
      <c r="K72" s="3">
        <v>3911691</v>
      </c>
      <c r="L72" s="3">
        <v>18699.137931034478</v>
      </c>
      <c r="M72" s="3">
        <v>24886</v>
      </c>
      <c r="N72" s="3">
        <v>92616</v>
      </c>
      <c r="O72" s="3">
        <v>70786</v>
      </c>
      <c r="P72" s="3">
        <v>13747</v>
      </c>
      <c r="Q72" s="3">
        <v>1807</v>
      </c>
      <c r="R72" s="3">
        <v>83805</v>
      </c>
      <c r="S72" s="3">
        <v>118012</v>
      </c>
      <c r="T72" s="3">
        <v>459672</v>
      </c>
      <c r="U72" s="3">
        <v>576157</v>
      </c>
      <c r="V72" s="3">
        <v>109568</v>
      </c>
      <c r="W72" s="3">
        <v>72081</v>
      </c>
      <c r="X72" s="3">
        <v>23342</v>
      </c>
      <c r="Y72" s="3">
        <v>6863</v>
      </c>
      <c r="Z72" s="3">
        <v>8445</v>
      </c>
      <c r="AA72" s="3">
        <v>7574</v>
      </c>
      <c r="AB72" s="3">
        <v>0</v>
      </c>
      <c r="AC72" s="3">
        <v>0</v>
      </c>
      <c r="AD72" s="3">
        <v>0</v>
      </c>
      <c r="AE72" s="3">
        <v>0</v>
      </c>
      <c r="AF72" s="5">
        <f t="shared" si="11"/>
        <v>4789857</v>
      </c>
      <c r="AG72" s="4">
        <f t="shared" si="12"/>
        <v>1.0192415553862586</v>
      </c>
      <c r="AH72" s="5">
        <f t="shared" si="13"/>
        <v>90424.392795515247</v>
      </c>
      <c r="AI72" s="17">
        <f t="shared" si="14"/>
        <v>0.23295100326028573</v>
      </c>
      <c r="AJ72" s="17">
        <f t="shared" si="15"/>
        <v>0.11915767010749831</v>
      </c>
      <c r="AK72" s="14">
        <f t="shared" si="16"/>
        <v>0.14929390601484144</v>
      </c>
      <c r="AL72" s="14">
        <f t="shared" si="17"/>
        <v>-1.5930570598151617E-2</v>
      </c>
    </row>
    <row r="73" spans="1:38" x14ac:dyDescent="0.3">
      <c r="A73" s="7">
        <v>45728</v>
      </c>
      <c r="B73" s="3">
        <v>34731472</v>
      </c>
      <c r="C73" s="3">
        <f t="shared" si="18"/>
        <v>3696035.4827586208</v>
      </c>
      <c r="D73" s="4">
        <f>+Tabla22[[#This Row],[Share diario]]</f>
        <v>4.2366687389402573E-2</v>
      </c>
      <c r="E73" s="3">
        <f>+Tabla22[[#This Row],[Global 2026]]</f>
        <v>34020740</v>
      </c>
      <c r="F73" s="7">
        <v>46092</v>
      </c>
      <c r="G73" s="3">
        <f>+Tabla2[[#This Row],[Meta Digital]]+Tabla2[[#This Row],[Meta MKPlace]]</f>
        <v>4928401.4067763668</v>
      </c>
      <c r="H73" s="3">
        <v>4166235.4067763672</v>
      </c>
      <c r="I73" s="3">
        <v>762166</v>
      </c>
      <c r="J73" s="3">
        <v>3121984</v>
      </c>
      <c r="K73" s="3">
        <v>3585730</v>
      </c>
      <c r="L73" s="3">
        <v>20284.482758620685</v>
      </c>
      <c r="M73" s="3">
        <f>13903+11090</f>
        <v>24993</v>
      </c>
      <c r="N73" s="3">
        <v>49307</v>
      </c>
      <c r="O73" s="3">
        <v>75058</v>
      </c>
      <c r="P73" s="3">
        <v>2001</v>
      </c>
      <c r="Q73" s="3">
        <v>1008</v>
      </c>
      <c r="R73" s="3">
        <v>60084</v>
      </c>
      <c r="S73" s="3">
        <v>94735</v>
      </c>
      <c r="T73" s="3">
        <v>316270</v>
      </c>
      <c r="U73" s="3">
        <v>482545</v>
      </c>
      <c r="V73" s="3">
        <v>103062</v>
      </c>
      <c r="W73" s="3">
        <v>88078</v>
      </c>
      <c r="X73" s="3">
        <v>15545</v>
      </c>
      <c r="Y73" s="3">
        <v>16703</v>
      </c>
      <c r="Z73" s="3">
        <v>7498</v>
      </c>
      <c r="AA73" s="3">
        <v>11247</v>
      </c>
      <c r="AB73" s="3">
        <v>0</v>
      </c>
      <c r="AC73" s="3">
        <v>0</v>
      </c>
      <c r="AD73" s="3">
        <v>0</v>
      </c>
      <c r="AE73" s="3">
        <v>0</v>
      </c>
      <c r="AF73" s="5">
        <f t="shared" si="11"/>
        <v>4380097</v>
      </c>
      <c r="AG73" s="4">
        <f t="shared" si="12"/>
        <v>0.88874599256008879</v>
      </c>
      <c r="AH73" s="5">
        <f t="shared" si="13"/>
        <v>-548304.40677636676</v>
      </c>
      <c r="AI73" s="17">
        <f t="shared" si="14"/>
        <v>0.18507980251607714</v>
      </c>
      <c r="AJ73" s="17">
        <f t="shared" si="15"/>
        <v>0.10641747296972097</v>
      </c>
      <c r="AK73" s="14">
        <f t="shared" si="16"/>
        <v>0.12874784616677945</v>
      </c>
      <c r="AL73" s="14">
        <f t="shared" si="17"/>
        <v>-2.0463630219876627E-2</v>
      </c>
    </row>
    <row r="74" spans="1:38" x14ac:dyDescent="0.3">
      <c r="A74" s="63">
        <v>45729</v>
      </c>
      <c r="B74" s="3">
        <v>39500465</v>
      </c>
      <c r="C74" s="3">
        <f t="shared" si="18"/>
        <v>2919718.3793103448</v>
      </c>
      <c r="D74" s="4">
        <f>+Tabla22[[#This Row],[Share diario]]</f>
        <v>4.0307318830207002E-2</v>
      </c>
      <c r="E74" s="3">
        <f>+Tabla22[[#This Row],[Global 2026]]</f>
        <v>39021599</v>
      </c>
      <c r="F74" s="7">
        <v>46093</v>
      </c>
      <c r="G74" s="3">
        <f>+Tabla2[[#This Row],[Meta Digital]]+Tabla2[[#This Row],[Meta MKPlace]]</f>
        <v>4653118.1885947455</v>
      </c>
      <c r="H74" s="3">
        <v>3963722.1885947459</v>
      </c>
      <c r="I74" s="3">
        <v>689396</v>
      </c>
      <c r="J74" s="3">
        <v>2241196</v>
      </c>
      <c r="K74" s="3">
        <v>2569096</v>
      </c>
      <c r="L74" s="3">
        <v>20541.379310344826</v>
      </c>
      <c r="M74" s="3">
        <f>14742+11047</f>
        <v>25789</v>
      </c>
      <c r="N74" s="3">
        <v>35516</v>
      </c>
      <c r="O74" s="3">
        <v>27546</v>
      </c>
      <c r="P74" s="3">
        <v>3738</v>
      </c>
      <c r="Q74" s="3">
        <v>2372</v>
      </c>
      <c r="R74" s="3">
        <v>80503</v>
      </c>
      <c r="S74" s="3">
        <v>82817</v>
      </c>
      <c r="T74" s="3">
        <v>406345</v>
      </c>
      <c r="U74" s="3">
        <v>528144</v>
      </c>
      <c r="V74" s="3">
        <v>108540</v>
      </c>
      <c r="W74" s="3">
        <v>114102</v>
      </c>
      <c r="X74" s="3">
        <v>17978</v>
      </c>
      <c r="Y74" s="3">
        <v>9692</v>
      </c>
      <c r="Z74" s="3">
        <v>5361</v>
      </c>
      <c r="AA74" s="3">
        <v>6730</v>
      </c>
      <c r="AB74" s="3">
        <v>0</v>
      </c>
      <c r="AC74" s="3">
        <v>430</v>
      </c>
      <c r="AD74" s="3">
        <v>0</v>
      </c>
      <c r="AE74" s="3">
        <v>0</v>
      </c>
      <c r="AF74" s="5">
        <f t="shared" si="11"/>
        <v>3366718</v>
      </c>
      <c r="AG74" s="4">
        <f t="shared" si="12"/>
        <v>0.72354018607396653</v>
      </c>
      <c r="AH74" s="5">
        <f t="shared" si="13"/>
        <v>-1286400.1885947455</v>
      </c>
      <c r="AI74" s="17">
        <f t="shared" si="14"/>
        <v>0.15309682737115193</v>
      </c>
      <c r="AJ74" s="17">
        <f t="shared" si="15"/>
        <v>7.3916050844220316E-2</v>
      </c>
      <c r="AK74" s="14">
        <f t="shared" si="16"/>
        <v>8.627831986075199E-2</v>
      </c>
      <c r="AL74" s="14">
        <f t="shared" si="17"/>
        <v>-1.2123047159065092E-2</v>
      </c>
    </row>
    <row r="75" spans="1:38" x14ac:dyDescent="0.3">
      <c r="A75" s="7">
        <v>45730</v>
      </c>
      <c r="B75" s="3">
        <v>40508948</v>
      </c>
      <c r="C75" s="3">
        <f t="shared" si="18"/>
        <v>2652961.1379310344</v>
      </c>
      <c r="D75" s="4">
        <f>+Tabla22[[#This Row],[Share diario]]</f>
        <v>3.1841149836970631E-2</v>
      </c>
      <c r="E75" s="3">
        <f>+Tabla22[[#This Row],[Global 2026]]</f>
        <v>42853042</v>
      </c>
      <c r="F75" s="7">
        <v>46094</v>
      </c>
      <c r="G75" s="3">
        <f>+Tabla2[[#This Row],[Meta Digital]]+Tabla2[[#This Row],[Meta MKPlace]]</f>
        <v>3814645.0383156943</v>
      </c>
      <c r="H75" s="3">
        <v>3131180.0383156943</v>
      </c>
      <c r="I75" s="3">
        <v>683465</v>
      </c>
      <c r="J75" s="3">
        <v>2063367</v>
      </c>
      <c r="K75" s="3">
        <v>2352964</v>
      </c>
      <c r="L75" s="3">
        <v>19974.137931034475</v>
      </c>
      <c r="M75" s="3">
        <f>13533+11707</f>
        <v>25240</v>
      </c>
      <c r="N75" s="3">
        <v>42958</v>
      </c>
      <c r="O75" s="3">
        <v>10254</v>
      </c>
      <c r="P75" s="3">
        <v>2014</v>
      </c>
      <c r="Q75" s="3">
        <v>1229</v>
      </c>
      <c r="R75" s="3">
        <v>70950</v>
      </c>
      <c r="S75" s="3">
        <v>84747</v>
      </c>
      <c r="T75" s="3">
        <v>344615</v>
      </c>
      <c r="U75" s="3">
        <v>449788</v>
      </c>
      <c r="V75" s="3">
        <v>79899</v>
      </c>
      <c r="W75" s="3">
        <v>88592</v>
      </c>
      <c r="X75" s="3">
        <v>19325</v>
      </c>
      <c r="Y75" s="3">
        <v>15754</v>
      </c>
      <c r="Z75" s="3">
        <v>9859</v>
      </c>
      <c r="AA75" s="3">
        <v>13891</v>
      </c>
      <c r="AB75" s="3">
        <v>0</v>
      </c>
      <c r="AC75" s="3">
        <v>0</v>
      </c>
      <c r="AD75" s="3">
        <v>0</v>
      </c>
      <c r="AE75" s="3">
        <v>0</v>
      </c>
      <c r="AF75" s="5">
        <f t="shared" si="11"/>
        <v>3042459</v>
      </c>
      <c r="AG75" s="4">
        <f t="shared" si="12"/>
        <v>0.79757329173236979</v>
      </c>
      <c r="AH75" s="5">
        <f t="shared" si="13"/>
        <v>-772186.03831569431</v>
      </c>
      <c r="AI75" s="17">
        <f t="shared" si="14"/>
        <v>0.14681627126009222</v>
      </c>
      <c r="AJ75" s="17">
        <f t="shared" si="15"/>
        <v>6.5490743870490892E-2</v>
      </c>
      <c r="AK75" s="14">
        <f t="shared" si="16"/>
        <v>7.0997503514452956E-2</v>
      </c>
      <c r="AL75" s="14">
        <f t="shared" si="17"/>
        <v>5.7866079365971101E-2</v>
      </c>
    </row>
    <row r="76" spans="1:38" x14ac:dyDescent="0.3">
      <c r="A76" s="63">
        <v>45731</v>
      </c>
      <c r="B76" s="3">
        <v>50785730</v>
      </c>
      <c r="C76" s="3">
        <f t="shared" si="18"/>
        <v>2383369.1379310344</v>
      </c>
      <c r="D76" s="4">
        <f>+Tabla22[[#This Row],[Share diario]]</f>
        <v>2.893201402680326E-2</v>
      </c>
      <c r="E76" s="3">
        <f>+Tabla22[[#This Row],[Global 2026]]</f>
        <v>51179806</v>
      </c>
      <c r="F76" s="7">
        <v>46095</v>
      </c>
      <c r="G76" s="3">
        <f>+Tabla2[[#This Row],[Meta Digital]]+Tabla2[[#This Row],[Meta MKPlace]]</f>
        <v>3453431.8073053691</v>
      </c>
      <c r="H76" s="3">
        <v>2845102.8073053691</v>
      </c>
      <c r="I76" s="3">
        <v>608329</v>
      </c>
      <c r="J76" s="3">
        <v>1765846</v>
      </c>
      <c r="K76" s="3">
        <v>2001768</v>
      </c>
      <c r="L76" s="3">
        <v>21924.137931034475</v>
      </c>
      <c r="M76" s="3">
        <f>16990+11226</f>
        <v>28216</v>
      </c>
      <c r="N76" s="3">
        <v>20436</v>
      </c>
      <c r="O76" s="3">
        <v>14927</v>
      </c>
      <c r="P76" s="3">
        <v>10353</v>
      </c>
      <c r="Q76" s="3">
        <v>2224</v>
      </c>
      <c r="R76" s="3">
        <v>44555</v>
      </c>
      <c r="S76" s="3">
        <v>87934</v>
      </c>
      <c r="T76" s="3">
        <v>376445</v>
      </c>
      <c r="U76" s="3">
        <v>481251</v>
      </c>
      <c r="V76" s="3">
        <v>119373</v>
      </c>
      <c r="W76" s="3">
        <v>65098</v>
      </c>
      <c r="X76" s="3">
        <v>15604</v>
      </c>
      <c r="Y76" s="3">
        <v>17234</v>
      </c>
      <c r="Z76" s="3">
        <v>8833</v>
      </c>
      <c r="AA76" s="3">
        <v>7560</v>
      </c>
      <c r="AB76" s="3">
        <v>0</v>
      </c>
      <c r="AC76" s="3">
        <v>0</v>
      </c>
      <c r="AD76" s="3">
        <v>0</v>
      </c>
      <c r="AE76" s="3">
        <v>603</v>
      </c>
      <c r="AF76" s="5">
        <f t="shared" si="11"/>
        <v>2706815</v>
      </c>
      <c r="AG76" s="4">
        <f t="shared" si="12"/>
        <v>0.78380438677666076</v>
      </c>
      <c r="AH76" s="5">
        <f t="shared" si="13"/>
        <v>-746616.80730536906</v>
      </c>
      <c r="AI76" s="17">
        <f t="shared" si="14"/>
        <v>0.13570951176692003</v>
      </c>
      <c r="AJ76" s="17">
        <f t="shared" si="15"/>
        <v>4.6929898180670719E-2</v>
      </c>
      <c r="AK76" s="14">
        <f t="shared" si="16"/>
        <v>5.288834037393577E-2</v>
      </c>
      <c r="AL76" s="14">
        <f t="shared" si="17"/>
        <v>7.7595812839552636E-3</v>
      </c>
    </row>
    <row r="77" spans="1:38" x14ac:dyDescent="0.3">
      <c r="A77" s="7">
        <v>45732</v>
      </c>
      <c r="B77" s="3">
        <v>46643284</v>
      </c>
      <c r="C77" s="3">
        <f t="shared" si="18"/>
        <v>2499045.6896551726</v>
      </c>
      <c r="D77" s="4">
        <f>+Tabla22[[#This Row],[Share diario]]</f>
        <v>2.5991963600132929E-2</v>
      </c>
      <c r="E77" s="3">
        <f>+Tabla22[[#This Row],[Global 2026]]</f>
        <v>49926015</v>
      </c>
      <c r="F77" s="7">
        <v>46096</v>
      </c>
      <c r="G77" s="3">
        <f>+Tabla2[[#This Row],[Meta Digital]]+Tabla2[[#This Row],[Meta MKPlace]]</f>
        <v>3202175.5092565771</v>
      </c>
      <c r="H77" s="3">
        <v>2555985.5092565771</v>
      </c>
      <c r="I77" s="3">
        <v>646190</v>
      </c>
      <c r="J77" s="3">
        <v>1783206</v>
      </c>
      <c r="K77" s="3">
        <v>2324978</v>
      </c>
      <c r="L77" s="3">
        <v>22420.689655172406</v>
      </c>
      <c r="M77" s="3">
        <f>17366+12331</f>
        <v>29697</v>
      </c>
      <c r="N77" s="3">
        <v>15356</v>
      </c>
      <c r="O77" s="3">
        <v>6793</v>
      </c>
      <c r="P77" s="3">
        <v>4841</v>
      </c>
      <c r="Q77" s="3">
        <v>2651</v>
      </c>
      <c r="R77" s="3">
        <v>72242</v>
      </c>
      <c r="S77" s="3">
        <v>127807</v>
      </c>
      <c r="T77" s="3">
        <v>420638</v>
      </c>
      <c r="U77" s="3">
        <v>506009</v>
      </c>
      <c r="V77" s="3">
        <v>153175</v>
      </c>
      <c r="W77" s="3">
        <v>90650</v>
      </c>
      <c r="X77" s="3">
        <v>16158</v>
      </c>
      <c r="Y77" s="3">
        <v>17281</v>
      </c>
      <c r="Z77" s="3">
        <v>11009</v>
      </c>
      <c r="AA77" s="3">
        <v>7630</v>
      </c>
      <c r="AB77" s="3">
        <v>0</v>
      </c>
      <c r="AC77" s="3">
        <v>1791</v>
      </c>
      <c r="AD77" s="3">
        <v>0</v>
      </c>
      <c r="AE77" s="3">
        <v>646</v>
      </c>
      <c r="AF77" s="5">
        <f t="shared" si="11"/>
        <v>3115933</v>
      </c>
      <c r="AG77" s="4">
        <f t="shared" si="12"/>
        <v>0.9730675258094772</v>
      </c>
      <c r="AH77" s="5">
        <f t="shared" si="13"/>
        <v>-86242.509256577119</v>
      </c>
      <c r="AI77" s="17">
        <f t="shared" si="14"/>
        <v>0.24684915241783667</v>
      </c>
      <c r="AJ77" s="17">
        <f t="shared" si="15"/>
        <v>5.3577824615761889E-2</v>
      </c>
      <c r="AK77" s="14">
        <f t="shared" si="16"/>
        <v>6.2411009570862007E-2</v>
      </c>
      <c r="AL77" s="14">
        <f t="shared" si="17"/>
        <v>7.0379499865403927E-2</v>
      </c>
    </row>
    <row r="78" spans="1:38" x14ac:dyDescent="0.3">
      <c r="A78" s="63">
        <v>45733</v>
      </c>
      <c r="B78" s="3">
        <v>47608877</v>
      </c>
      <c r="C78" s="3">
        <f t="shared" si="18"/>
        <v>3266815.4482758623</v>
      </c>
      <c r="D78" s="4">
        <f>+Tabla22[[#This Row],[Share diario]]</f>
        <v>2.7253480615668648E-2</v>
      </c>
      <c r="E78" s="3">
        <f>+Tabla22[[#This Row],[Global 2026]]</f>
        <v>48089099</v>
      </c>
      <c r="F78" s="7">
        <v>46097</v>
      </c>
      <c r="G78" s="3">
        <f>+Tabla2[[#This Row],[Meta Digital]]+Tabla2[[#This Row],[Meta MKPlace]]</f>
        <v>3376906.97705267</v>
      </c>
      <c r="H78" s="3">
        <v>2680039.97705267</v>
      </c>
      <c r="I78" s="3">
        <v>696867</v>
      </c>
      <c r="J78" s="3">
        <v>2491693</v>
      </c>
      <c r="K78" s="3">
        <v>3399452</v>
      </c>
      <c r="L78" s="3">
        <v>27203.448275862054</v>
      </c>
      <c r="M78" s="3">
        <v>29457</v>
      </c>
      <c r="N78" s="3">
        <v>16130</v>
      </c>
      <c r="O78" s="3">
        <v>1988</v>
      </c>
      <c r="P78" s="3">
        <v>128</v>
      </c>
      <c r="Q78" s="3">
        <v>8157</v>
      </c>
      <c r="R78" s="3">
        <v>62349</v>
      </c>
      <c r="S78" s="3">
        <v>87872</v>
      </c>
      <c r="T78" s="3">
        <v>466542</v>
      </c>
      <c r="U78" s="3">
        <v>560507</v>
      </c>
      <c r="V78" s="3">
        <v>176254</v>
      </c>
      <c r="W78" s="3">
        <v>93974</v>
      </c>
      <c r="X78" s="3">
        <v>16451</v>
      </c>
      <c r="Y78" s="3">
        <v>17848</v>
      </c>
      <c r="Z78" s="3">
        <v>10065</v>
      </c>
      <c r="AA78" s="3">
        <v>11596</v>
      </c>
      <c r="AB78" s="3">
        <v>0</v>
      </c>
      <c r="AC78" s="3">
        <v>0</v>
      </c>
      <c r="AD78" s="3">
        <v>0</v>
      </c>
      <c r="AE78" s="3">
        <v>0</v>
      </c>
      <c r="AF78" s="5">
        <f t="shared" si="11"/>
        <v>4210851</v>
      </c>
      <c r="AG78" s="4">
        <f t="shared" si="12"/>
        <v>1.2469549882819657</v>
      </c>
      <c r="AH78" s="5">
        <f t="shared" si="13"/>
        <v>833944.02294733003</v>
      </c>
      <c r="AI78" s="17">
        <f t="shared" si="14"/>
        <v>0.28897731343298694</v>
      </c>
      <c r="AJ78" s="17">
        <f t="shared" si="15"/>
        <v>6.8617780005099938E-2</v>
      </c>
      <c r="AK78" s="14">
        <f t="shared" si="16"/>
        <v>8.7563524531827891E-2</v>
      </c>
      <c r="AL78" s="14">
        <f t="shared" si="17"/>
        <v>1.0086816372501195E-2</v>
      </c>
    </row>
    <row r="79" spans="1:38" x14ac:dyDescent="0.3">
      <c r="A79" s="7">
        <v>45734</v>
      </c>
      <c r="B79" s="3">
        <v>29669203</v>
      </c>
      <c r="C79" s="3">
        <f t="shared" si="18"/>
        <v>3813817.2758620689</v>
      </c>
      <c r="D79" s="4">
        <f>+Tabla22[[#This Row],[Share diario]]</f>
        <v>3.5626436068417006E-2</v>
      </c>
      <c r="E79" s="3">
        <f>+Tabla22[[#This Row],[Global 2026]]</f>
        <v>29095609</v>
      </c>
      <c r="F79" s="7">
        <v>46098</v>
      </c>
      <c r="G79" s="3">
        <f>+Tabla2[[#This Row],[Meta Digital]]+Tabla2[[#This Row],[Meta MKPlace]]</f>
        <v>4288987.7379654087</v>
      </c>
      <c r="H79" s="3">
        <v>3503415.7379654082</v>
      </c>
      <c r="I79" s="3">
        <v>785572</v>
      </c>
      <c r="J79" s="3">
        <v>3071084</v>
      </c>
      <c r="K79" s="3">
        <v>3855703</v>
      </c>
      <c r="L79" s="3">
        <v>18998.27586206896</v>
      </c>
      <c r="M79" s="3">
        <v>23686</v>
      </c>
      <c r="N79" s="3">
        <v>73572</v>
      </c>
      <c r="O79" s="3">
        <v>50602</v>
      </c>
      <c r="P79" s="3">
        <v>-818</v>
      </c>
      <c r="Q79" s="3">
        <v>-430</v>
      </c>
      <c r="R79" s="3">
        <v>73153</v>
      </c>
      <c r="S79" s="3">
        <v>113345</v>
      </c>
      <c r="T79" s="3">
        <v>419718</v>
      </c>
      <c r="U79" s="3">
        <v>500176</v>
      </c>
      <c r="V79" s="3">
        <v>123367</v>
      </c>
      <c r="W79" s="3">
        <v>79938</v>
      </c>
      <c r="X79" s="3">
        <v>22898</v>
      </c>
      <c r="Y79" s="3">
        <v>15249</v>
      </c>
      <c r="Z79" s="3">
        <v>11845</v>
      </c>
      <c r="AA79" s="3">
        <v>11085</v>
      </c>
      <c r="AB79" s="3">
        <v>0</v>
      </c>
      <c r="AC79" s="3">
        <v>397</v>
      </c>
      <c r="AD79" s="3">
        <v>0</v>
      </c>
      <c r="AE79" s="3">
        <v>0</v>
      </c>
      <c r="AF79" s="5">
        <f t="shared" si="11"/>
        <v>4649751</v>
      </c>
      <c r="AG79" s="4">
        <f t="shared" ref="AG79" si="19">+AF79/G79</f>
        <v>1.0841138478529968</v>
      </c>
      <c r="AH79" s="5">
        <f t="shared" ref="AH79" si="20">+AF79-G79</f>
        <v>360763.26203459129</v>
      </c>
      <c r="AI79" s="17">
        <f t="shared" si="14"/>
        <v>0.21918557279306938</v>
      </c>
      <c r="AJ79" s="17">
        <f t="shared" si="15"/>
        <v>0.12854464866690449</v>
      </c>
      <c r="AK79" s="14">
        <f t="shared" si="16"/>
        <v>0.15980937192275302</v>
      </c>
      <c r="AL79" s="14">
        <f t="shared" si="17"/>
        <v>-1.9332976352617215E-2</v>
      </c>
    </row>
    <row r="80" spans="1:38" x14ac:dyDescent="0.3">
      <c r="A80" s="63">
        <v>45735</v>
      </c>
      <c r="B80" s="3">
        <v>31648239</v>
      </c>
      <c r="C80" s="3">
        <f t="shared" si="18"/>
        <v>3646038.6551724137</v>
      </c>
      <c r="D80" s="4">
        <f>+Tabla22[[#This Row],[Share diario]]</f>
        <v>4.1591794671729708E-2</v>
      </c>
      <c r="E80" s="3">
        <f>+Tabla22[[#This Row],[Global 2026]]</f>
        <v>33761513</v>
      </c>
      <c r="F80" s="7">
        <v>46099</v>
      </c>
      <c r="G80" s="3">
        <f>+Tabla2[[#This Row],[Meta Digital]]+Tabla2[[#This Row],[Meta MKPlace]]</f>
        <v>4803889.3706380222</v>
      </c>
      <c r="H80" s="3">
        <v>4090034.3706380217</v>
      </c>
      <c r="I80" s="3">
        <v>713855</v>
      </c>
      <c r="J80" s="3">
        <v>2976626</v>
      </c>
      <c r="K80" s="3">
        <v>3737072</v>
      </c>
      <c r="L80" s="3">
        <v>19664.655172413786</v>
      </c>
      <c r="M80" s="3">
        <v>19698</v>
      </c>
      <c r="N80" s="3">
        <v>74611</v>
      </c>
      <c r="O80" s="3">
        <v>39710</v>
      </c>
      <c r="P80" s="3">
        <v>-1496</v>
      </c>
      <c r="Q80" s="3">
        <v>5715</v>
      </c>
      <c r="R80" s="3">
        <v>72214</v>
      </c>
      <c r="S80" s="3">
        <v>78016</v>
      </c>
      <c r="T80" s="3">
        <v>365376</v>
      </c>
      <c r="U80" s="3">
        <v>524686</v>
      </c>
      <c r="V80" s="3">
        <v>116910</v>
      </c>
      <c r="W80" s="3">
        <v>102274</v>
      </c>
      <c r="X80" s="3">
        <v>13598</v>
      </c>
      <c r="Y80" s="3">
        <v>18601</v>
      </c>
      <c r="Z80" s="3">
        <v>8535</v>
      </c>
      <c r="AA80" s="3">
        <v>8408</v>
      </c>
      <c r="AB80" s="3">
        <v>0</v>
      </c>
      <c r="AC80" s="3">
        <v>0</v>
      </c>
      <c r="AD80" s="3">
        <v>0</v>
      </c>
      <c r="AE80" s="3">
        <v>0</v>
      </c>
      <c r="AF80" s="5">
        <f t="shared" si="11"/>
        <v>4534180</v>
      </c>
      <c r="AG80" s="4">
        <f t="shared" ref="AG80" si="21">+AF80/G80</f>
        <v>0.9438560404228874</v>
      </c>
      <c r="AH80" s="5">
        <f t="shared" ref="AH80" si="22">+AF80-G80</f>
        <v>-269709.3706380222</v>
      </c>
      <c r="AI80" s="17">
        <f t="shared" si="14"/>
        <v>0.24359076488880183</v>
      </c>
      <c r="AJ80" s="17">
        <f t="shared" si="15"/>
        <v>0.11520510367646092</v>
      </c>
      <c r="AK80" s="14">
        <f t="shared" si="16"/>
        <v>0.13430026077326571</v>
      </c>
      <c r="AL80" s="14">
        <f t="shared" si="17"/>
        <v>6.6773825867531E-2</v>
      </c>
    </row>
    <row r="81" spans="1:38" x14ac:dyDescent="0.3">
      <c r="A81" s="7">
        <v>45736</v>
      </c>
      <c r="B81" s="3">
        <v>34622687</v>
      </c>
      <c r="C81" s="3">
        <f t="shared" si="18"/>
        <v>2948517.3103448274</v>
      </c>
      <c r="D81" s="4">
        <f>+Tabla22[[#This Row],[Share diario]]</f>
        <v>3.9762075669145136E-2</v>
      </c>
      <c r="E81" s="3">
        <f>+Tabla22[[#This Row],[Global 2026]]</f>
        <v>37697073</v>
      </c>
      <c r="F81" s="7">
        <v>46100</v>
      </c>
      <c r="G81" s="3">
        <f>+Tabla2[[#This Row],[Meta Digital]]+Tabla2[[#This Row],[Meta MKPlace]]</f>
        <v>4586148.3226983715</v>
      </c>
      <c r="H81" s="3">
        <v>3910104.3226983715</v>
      </c>
      <c r="I81" s="3">
        <v>676044</v>
      </c>
      <c r="J81" s="3">
        <v>2194292</v>
      </c>
      <c r="K81" s="3">
        <v>3081196</v>
      </c>
      <c r="L81" s="3">
        <v>18904.310344827583</v>
      </c>
      <c r="M81" s="3">
        <v>22547</v>
      </c>
      <c r="N81" s="3">
        <v>70889</v>
      </c>
      <c r="O81" s="3">
        <v>983</v>
      </c>
      <c r="P81" s="3">
        <v>0</v>
      </c>
      <c r="Q81" s="3">
        <v>3306</v>
      </c>
      <c r="R81" s="3">
        <v>68484</v>
      </c>
      <c r="S81" s="3">
        <v>83172</v>
      </c>
      <c r="T81" s="3">
        <v>455909</v>
      </c>
      <c r="U81" s="3">
        <v>498101</v>
      </c>
      <c r="V81" s="3">
        <v>113508</v>
      </c>
      <c r="W81" s="3">
        <v>60356</v>
      </c>
      <c r="X81" s="3">
        <v>13831</v>
      </c>
      <c r="Y81" s="3">
        <v>12568</v>
      </c>
      <c r="Z81" s="3">
        <v>12700</v>
      </c>
      <c r="AA81" s="3">
        <v>4699</v>
      </c>
      <c r="AB81" s="3">
        <v>0</v>
      </c>
      <c r="AC81" s="3">
        <v>0</v>
      </c>
      <c r="AD81" s="3">
        <v>0</v>
      </c>
      <c r="AE81" s="3">
        <v>0</v>
      </c>
      <c r="AF81" s="5">
        <f t="shared" si="11"/>
        <v>3766928</v>
      </c>
      <c r="AG81" s="4">
        <f t="shared" ref="AG81" si="23">+AF81/G81</f>
        <v>0.82137073093694379</v>
      </c>
      <c r="AH81" s="5">
        <f t="shared" ref="AH81" si="24">+AF81-G81</f>
        <v>-819220.32269837148</v>
      </c>
      <c r="AI81" s="17">
        <f t="shared" si="14"/>
        <v>0.27756685937837</v>
      </c>
      <c r="AJ81" s="17">
        <f t="shared" si="15"/>
        <v>8.5161423500863101E-2</v>
      </c>
      <c r="AK81" s="14">
        <f t="shared" si="16"/>
        <v>9.9926272790463067E-2</v>
      </c>
      <c r="AL81" s="14">
        <f t="shared" si="17"/>
        <v>8.879686316662827E-2</v>
      </c>
    </row>
    <row r="82" spans="1:38" x14ac:dyDescent="0.3">
      <c r="A82" s="63">
        <v>45737</v>
      </c>
      <c r="B82" s="3">
        <v>37975369</v>
      </c>
      <c r="C82" s="3">
        <f t="shared" si="18"/>
        <v>2432941.7241379311</v>
      </c>
      <c r="D82" s="4">
        <f>+Tabla22[[#This Row],[Share diario]]</f>
        <v>3.2155218167913613E-2</v>
      </c>
      <c r="E82" s="3">
        <f>+Tabla22[[#This Row],[Global 2026]]</f>
        <v>35305337</v>
      </c>
      <c r="F82" s="7">
        <v>46101</v>
      </c>
      <c r="G82" s="3">
        <f>+Tabla2[[#This Row],[Meta Digital]]+Tabla2[[#This Row],[Meta MKPlace]]</f>
        <v>3831053.7423402322</v>
      </c>
      <c r="H82" s="3">
        <v>3162064.7423402322</v>
      </c>
      <c r="I82" s="3">
        <v>668989</v>
      </c>
      <c r="J82" s="3">
        <v>1684468</v>
      </c>
      <c r="K82" s="3">
        <f>+Tabla22[[#This Row],[Web + APP 2026]]</f>
        <v>2534659</v>
      </c>
      <c r="L82" s="3">
        <v>18401.724137931029</v>
      </c>
      <c r="M82" s="3">
        <f>+Tabla22[[#This Row],[Afiliados 2026]]</f>
        <v>20797</v>
      </c>
      <c r="N82" s="3">
        <v>87171</v>
      </c>
      <c r="O82" s="3">
        <f>+Tabla22[[#This Row],[TMK 2026]]</f>
        <v>80650</v>
      </c>
      <c r="P82" s="3">
        <v>-2861</v>
      </c>
      <c r="Q82" s="3">
        <f>+Tabla22[[#This Row],[WA 2026]]</f>
        <v>1003</v>
      </c>
      <c r="R82" s="3">
        <v>101126</v>
      </c>
      <c r="S82" s="3">
        <f>+Tabla22[[#This Row],[Ent. en Tienda 2026]]</f>
        <v>84430</v>
      </c>
      <c r="T82" s="3">
        <v>425643</v>
      </c>
      <c r="U82" s="3">
        <f>+Tabla22[[#This Row],[Meli Drop 2026]]</f>
        <v>508388</v>
      </c>
      <c r="V82" s="3">
        <v>104286</v>
      </c>
      <c r="W82" s="3">
        <f>+Tabla22[[#This Row],[Meli Full 2026]]</f>
        <v>64656</v>
      </c>
      <c r="X82" s="3">
        <v>5964</v>
      </c>
      <c r="Y82" s="3">
        <f>+Tabla22[[#This Row],[Amazon Drop 2026]]</f>
        <v>10353</v>
      </c>
      <c r="Z82" s="3">
        <v>8743</v>
      </c>
      <c r="AA82" s="3">
        <f>+Tabla22[[#This Row],[Amazon Full 2026]]</f>
        <v>10150</v>
      </c>
      <c r="AB82" s="3">
        <v>0</v>
      </c>
      <c r="AC82" s="3">
        <f>+Tabla22[[#This Row],[TikTok 2026]]</f>
        <v>-387</v>
      </c>
      <c r="AD82" s="3">
        <v>0</v>
      </c>
      <c r="AE82" s="3">
        <f>+Tabla22[[#This Row],[Shein 2026]]</f>
        <v>1291</v>
      </c>
      <c r="AF82" s="5">
        <f t="shared" si="11"/>
        <v>3315990</v>
      </c>
      <c r="AG82" s="4">
        <f t="shared" ref="AG82" si="25">+AF82/G82</f>
        <v>0.86555559462718445</v>
      </c>
      <c r="AH82" s="5">
        <f t="shared" ref="AH82" si="26">+AF82-G82</f>
        <v>-515063.74234023225</v>
      </c>
      <c r="AI82" s="17">
        <f t="shared" ref="AI82" si="27">+AF82/C82-1</f>
        <v>0.36295496398499272</v>
      </c>
      <c r="AJ82" s="17">
        <f t="shared" ref="AJ82" si="28">+C82/B82</f>
        <v>6.4066308984066248E-2</v>
      </c>
      <c r="AK82" s="14">
        <f t="shared" ref="AK82" si="29">+AF82/E82</f>
        <v>9.3923193538699268E-2</v>
      </c>
      <c r="AL82" s="14">
        <f t="shared" ref="AL82" si="30">+E82/B82-1</f>
        <v>-7.030957355542744E-2</v>
      </c>
    </row>
    <row r="83" spans="1:38" x14ac:dyDescent="0.3">
      <c r="A83" s="7">
        <v>45738</v>
      </c>
      <c r="B83" s="3">
        <v>43118954</v>
      </c>
      <c r="C83" s="3">
        <f t="shared" si="18"/>
        <v>1948887.8620689656</v>
      </c>
      <c r="D83" s="4">
        <f>+Tabla22[[#This Row],[Share diario]]</f>
        <v>2.6532580173431613E-2</v>
      </c>
      <c r="E83" s="3">
        <f>+Tabla22[[#This Row],[Global 2026]]</f>
        <v>47045887</v>
      </c>
      <c r="F83" s="7">
        <v>46102</v>
      </c>
      <c r="G83" s="3">
        <f>+Tabla2[[#This Row],[Meta Digital]]+Tabla2[[#This Row],[Meta MKPlace]]</f>
        <v>3265103.4079383956</v>
      </c>
      <c r="H83" s="3">
        <v>2609148.4079383956</v>
      </c>
      <c r="I83" s="3">
        <v>655955</v>
      </c>
      <c r="J83" s="3">
        <v>1375650</v>
      </c>
      <c r="K83" s="3">
        <f>+Tabla22[[#This Row],[Web + APP 2026]]</f>
        <v>2128572</v>
      </c>
      <c r="L83" s="3">
        <v>18050.862068965511</v>
      </c>
      <c r="M83" s="3">
        <f>+Tabla22[[#This Row],[Afiliados 2026]]</f>
        <v>23927</v>
      </c>
      <c r="N83" s="3">
        <v>29277</v>
      </c>
      <c r="O83" s="3">
        <f>+Tabla22[[#This Row],[TMK 2026]]</f>
        <v>4877</v>
      </c>
      <c r="P83" s="3">
        <v>3421</v>
      </c>
      <c r="Q83" s="3">
        <f>+Tabla22[[#This Row],[WA 2026]]</f>
        <v>-1018</v>
      </c>
      <c r="R83" s="3">
        <v>45609</v>
      </c>
      <c r="S83" s="3">
        <f>+Tabla22[[#This Row],[Ent. en Tienda 2026]]</f>
        <v>83878</v>
      </c>
      <c r="T83" s="3">
        <v>352550</v>
      </c>
      <c r="U83" s="3">
        <f>+Tabla22[[#This Row],[Meli Drop 2026]]</f>
        <v>391543</v>
      </c>
      <c r="V83" s="3">
        <v>96081</v>
      </c>
      <c r="W83" s="3">
        <f>+Tabla22[[#This Row],[Meli Full 2026]]</f>
        <v>53191</v>
      </c>
      <c r="X83" s="3">
        <v>18519</v>
      </c>
      <c r="Y83" s="3">
        <f>+Tabla22[[#This Row],[Amazon Drop 2026]]</f>
        <v>10847</v>
      </c>
      <c r="Z83" s="3">
        <v>9730</v>
      </c>
      <c r="AA83" s="3">
        <f>+Tabla22[[#This Row],[Amazon Full 2026]]</f>
        <v>11032</v>
      </c>
      <c r="AB83" s="3">
        <v>0</v>
      </c>
      <c r="AC83" s="3">
        <f>+Tabla22[[#This Row],[TikTok 2026]]</f>
        <v>0</v>
      </c>
      <c r="AD83" s="3">
        <v>0</v>
      </c>
      <c r="AE83" s="3">
        <f>+Tabla22[[#This Row],[Shein 2026]]</f>
        <v>2153</v>
      </c>
      <c r="AF83" s="5">
        <f t="shared" si="11"/>
        <v>2709002</v>
      </c>
      <c r="AG83" s="4">
        <f t="shared" ref="AG83" si="31">+AF83/G83</f>
        <v>0.82968337033787209</v>
      </c>
      <c r="AH83" s="5">
        <f t="shared" ref="AH83" si="32">+AF83-G83</f>
        <v>-556101.40793839563</v>
      </c>
      <c r="AI83" s="17">
        <f t="shared" ref="AI83" si="33">+AF83/C83-1</f>
        <v>0.39002456361141635</v>
      </c>
      <c r="AJ83" s="17">
        <f t="shared" ref="AJ83" si="34">+C83/B83</f>
        <v>4.5197939218770605E-2</v>
      </c>
      <c r="AK83" s="14">
        <f t="shared" ref="AK83" si="35">+AF83/E83</f>
        <v>5.7582121897287217E-2</v>
      </c>
      <c r="AL83" s="14">
        <f t="shared" ref="AL83" si="36">+E83/B83-1</f>
        <v>9.1072083984226504E-2</v>
      </c>
    </row>
    <row r="84" spans="1:38" x14ac:dyDescent="0.3">
      <c r="A84" s="63">
        <v>45739</v>
      </c>
      <c r="B84" s="3">
        <v>43154994</v>
      </c>
      <c r="C84" s="3">
        <f t="shared" si="18"/>
        <v>2263128.7931034481</v>
      </c>
      <c r="D84" s="4">
        <f>+Tabla22[[#This Row],[Share diario]]</f>
        <v>2.1253704080271267E-2</v>
      </c>
      <c r="E84" s="3">
        <f>+Tabla22[[#This Row],[Global 2026]]</f>
        <v>47447277</v>
      </c>
      <c r="F84" s="7">
        <v>46103</v>
      </c>
      <c r="G84" s="3">
        <f>+Tabla2[[#This Row],[Meta Digital]]+Tabla2[[#This Row],[Meta MKPlace]]</f>
        <v>2780523.7699392638</v>
      </c>
      <c r="H84" s="3">
        <v>2090036.7699392638</v>
      </c>
      <c r="I84" s="3">
        <v>690487</v>
      </c>
      <c r="J84" s="3">
        <v>1610627</v>
      </c>
      <c r="K84" s="3">
        <f>+Tabla22[[#This Row],[Web + APP 2026]]</f>
        <v>2696322</v>
      </c>
      <c r="L84" s="3">
        <v>19763.793103448264</v>
      </c>
      <c r="M84" s="3">
        <f>+Tabla22[[#This Row],[Afiliados 2026]]</f>
        <v>24803</v>
      </c>
      <c r="N84" s="3">
        <v>13804</v>
      </c>
      <c r="O84" s="3">
        <f>+Tabla22[[#This Row],[TMK 2026]]</f>
        <v>11387</v>
      </c>
      <c r="P84" s="3">
        <v>693</v>
      </c>
      <c r="Q84" s="3">
        <f>+Tabla22[[#This Row],[WA 2026]]</f>
        <v>6523</v>
      </c>
      <c r="R84" s="3">
        <v>35822</v>
      </c>
      <c r="S84" s="3">
        <f>+Tabla22[[#This Row],[Ent. en Tienda 2026]]</f>
        <v>61903</v>
      </c>
      <c r="T84" s="3">
        <v>412452</v>
      </c>
      <c r="U84" s="3">
        <f>+Tabla22[[#This Row],[Meli Drop 2026]]</f>
        <v>584128</v>
      </c>
      <c r="V84" s="3">
        <v>148039</v>
      </c>
      <c r="W84" s="3">
        <f>+Tabla22[[#This Row],[Meli Full 2026]]</f>
        <v>66334</v>
      </c>
      <c r="X84" s="3">
        <v>13860</v>
      </c>
      <c r="Y84" s="3">
        <f>+Tabla22[[#This Row],[Amazon Drop 2026]]</f>
        <v>14472</v>
      </c>
      <c r="Z84" s="3">
        <v>8068</v>
      </c>
      <c r="AA84" s="3">
        <f>+Tabla22[[#This Row],[Amazon Full 2026]]</f>
        <v>10711</v>
      </c>
      <c r="AB84" s="3">
        <v>0</v>
      </c>
      <c r="AC84" s="3">
        <f>+Tabla22[[#This Row],[TikTok 2026]]</f>
        <v>0</v>
      </c>
      <c r="AD84" s="3">
        <v>0</v>
      </c>
      <c r="AE84" s="3">
        <f>+Tabla22[[#This Row],[Shein 2026]]</f>
        <v>0</v>
      </c>
      <c r="AF84" s="5">
        <f t="shared" si="11"/>
        <v>3476583</v>
      </c>
      <c r="AG84" s="4">
        <f t="shared" ref="AG84" si="37">+AF84/G84</f>
        <v>1.2503338534940633</v>
      </c>
      <c r="AH84" s="5">
        <f t="shared" ref="AH84" si="38">+AF84-G84</f>
        <v>696059.23006073618</v>
      </c>
      <c r="AI84" s="17">
        <f t="shared" ref="AI84" si="39">+AF84/C84-1</f>
        <v>0.5361843349765929</v>
      </c>
      <c r="AJ84" s="17">
        <f t="shared" ref="AJ84" si="40">+C84/B84</f>
        <v>5.244187481762709E-2</v>
      </c>
      <c r="AK84" s="14">
        <f t="shared" ref="AK84" si="41">+AF84/E84</f>
        <v>7.3272550498524922E-2</v>
      </c>
      <c r="AL84" s="14">
        <f t="shared" ref="AL84" si="42">+E84/B84-1</f>
        <v>9.9462022865766109E-2</v>
      </c>
    </row>
    <row r="85" spans="1:38" x14ac:dyDescent="0.3">
      <c r="A85" s="7">
        <v>45740</v>
      </c>
      <c r="B85" s="3">
        <v>25627291</v>
      </c>
      <c r="C85" s="3">
        <f t="shared" si="18"/>
        <v>3390476.5517241377</v>
      </c>
      <c r="D85" s="4">
        <f>+Tabla22[[#This Row],[Share diario]]</f>
        <v>2.4680675887169143E-2</v>
      </c>
      <c r="E85" s="3">
        <f>+Tabla22[[#This Row],[Global 2026]]</f>
        <v>26759642</v>
      </c>
      <c r="F85" s="7">
        <v>46104</v>
      </c>
      <c r="G85" s="3">
        <f>+Tabla2[[#This Row],[Meta Digital]]+Tabla2[[#This Row],[Meta MKPlace]]</f>
        <v>3089010.7139918557</v>
      </c>
      <c r="H85" s="3">
        <v>2427036.7139918557</v>
      </c>
      <c r="I85" s="3">
        <v>661974</v>
      </c>
      <c r="J85" s="3">
        <v>2606781</v>
      </c>
      <c r="K85" s="3">
        <f>+Tabla22[[#This Row],[Web + APP 2026]]</f>
        <v>3611779</v>
      </c>
      <c r="L85" s="3">
        <v>17396.551724137928</v>
      </c>
      <c r="M85" s="3">
        <f>+Tabla22[[#This Row],[Afiliados 2026]]</f>
        <v>23259</v>
      </c>
      <c r="N85" s="3">
        <v>77734</v>
      </c>
      <c r="O85" s="3">
        <f>+Tabla22[[#This Row],[TMK 2026]]</f>
        <v>34041</v>
      </c>
      <c r="P85" s="3">
        <v>0</v>
      </c>
      <c r="Q85" s="3">
        <f>+Tabla22[[#This Row],[WA 2026]]</f>
        <v>886</v>
      </c>
      <c r="R85" s="3">
        <v>41412</v>
      </c>
      <c r="S85" s="3">
        <f>+Tabla22[[#This Row],[Ent. en Tienda 2026]]</f>
        <v>101609</v>
      </c>
      <c r="T85" s="3">
        <v>451453</v>
      </c>
      <c r="U85" s="3">
        <f>+Tabla22[[#This Row],[Meli Drop 2026]]</f>
        <v>93872</v>
      </c>
      <c r="V85" s="3">
        <v>167225</v>
      </c>
      <c r="W85" s="3">
        <f>+Tabla22[[#This Row],[Meli Full 2026]]</f>
        <v>11647</v>
      </c>
      <c r="X85" s="3">
        <v>21788</v>
      </c>
      <c r="Y85" s="3">
        <f>+Tabla22[[#This Row],[Amazon Drop 2026]]</f>
        <v>13189</v>
      </c>
      <c r="Z85" s="3">
        <v>6687</v>
      </c>
      <c r="AA85" s="3">
        <f>+Tabla22[[#This Row],[Amazon Full 2026]]</f>
        <v>8934</v>
      </c>
      <c r="AB85" s="3">
        <v>0</v>
      </c>
      <c r="AC85" s="3">
        <f>+Tabla22[[#This Row],[TikTok 2026]]</f>
        <v>0</v>
      </c>
      <c r="AD85" s="3">
        <v>0</v>
      </c>
      <c r="AE85" s="3">
        <f>+Tabla22[[#This Row],[Shein 2026]]</f>
        <v>861</v>
      </c>
      <c r="AF85" s="5">
        <f t="shared" si="11"/>
        <v>3900077</v>
      </c>
      <c r="AG85" s="4">
        <f t="shared" ref="AG85" si="43">+AF85/G85</f>
        <v>1.2625650608249339</v>
      </c>
      <c r="AH85" s="5">
        <f t="shared" ref="AH85" si="44">+AF85-G85</f>
        <v>811066.28600814426</v>
      </c>
      <c r="AI85" s="17">
        <f t="shared" si="14"/>
        <v>0.15030348698819895</v>
      </c>
      <c r="AJ85" s="17">
        <f t="shared" si="15"/>
        <v>0.13229945185092476</v>
      </c>
      <c r="AK85" s="14">
        <f t="shared" si="16"/>
        <v>0.14574473754170553</v>
      </c>
      <c r="AL85" s="14">
        <f t="shared" si="17"/>
        <v>4.4185356930625197E-2</v>
      </c>
    </row>
    <row r="86" spans="1:38" x14ac:dyDescent="0.3">
      <c r="A86" s="63">
        <v>45741</v>
      </c>
      <c r="B86" s="3">
        <v>28238109</v>
      </c>
      <c r="C86" s="3">
        <f t="shared" si="18"/>
        <v>3559691.7931034481</v>
      </c>
      <c r="D86" s="4">
        <f>+Tabla22[[#This Row],[Share diario]]</f>
        <v>3.6975029053207452E-2</v>
      </c>
      <c r="E86" s="3">
        <f>+Tabla22[[#This Row],[Global 2026]]</f>
        <v>30907085</v>
      </c>
      <c r="F86" s="7">
        <v>46105</v>
      </c>
      <c r="G86" s="3">
        <f>+Tabla2[[#This Row],[Meta Digital]]+Tabla2[[#This Row],[Meta MKPlace]]</f>
        <v>4258752.0415304154</v>
      </c>
      <c r="H86" s="3">
        <v>3636033.0415304159</v>
      </c>
      <c r="I86" s="3">
        <v>622719</v>
      </c>
      <c r="J86" s="3">
        <v>2806584</v>
      </c>
      <c r="K86" s="3">
        <f>+Tabla22[[#This Row],[Web + APP 2026]]</f>
        <v>3876733</v>
      </c>
      <c r="L86" s="3">
        <v>19038.793103448268</v>
      </c>
      <c r="M86" s="3">
        <f>+Tabla22[[#This Row],[Afiliados 2026]]</f>
        <v>20599</v>
      </c>
      <c r="N86" s="3">
        <v>62901</v>
      </c>
      <c r="O86" s="3">
        <f>+Tabla22[[#This Row],[TMK 2026]]</f>
        <v>29088</v>
      </c>
      <c r="P86" s="3">
        <v>2386</v>
      </c>
      <c r="Q86" s="3">
        <f>+Tabla22[[#This Row],[WA 2026]]</f>
        <v>947</v>
      </c>
      <c r="R86" s="3">
        <v>32084</v>
      </c>
      <c r="S86" s="3">
        <f>+Tabla22[[#This Row],[Ent. en Tienda 2026]]</f>
        <v>88728</v>
      </c>
      <c r="T86" s="3">
        <v>450799</v>
      </c>
      <c r="U86" s="3">
        <f>+Tabla22[[#This Row],[Meli Drop 2026]]</f>
        <v>841416</v>
      </c>
      <c r="V86" s="3">
        <v>158470</v>
      </c>
      <c r="W86" s="3">
        <f>+Tabla22[[#This Row],[Meli Full 2026]]</f>
        <v>103320</v>
      </c>
      <c r="X86" s="3">
        <v>18507</v>
      </c>
      <c r="Y86" s="3">
        <f>+Tabla22[[#This Row],[Amazon Drop 2026]]</f>
        <v>8844</v>
      </c>
      <c r="Z86" s="3">
        <v>8922</v>
      </c>
      <c r="AA86" s="3">
        <f>+Tabla22[[#This Row],[Amazon Full 2026]]</f>
        <v>6800</v>
      </c>
      <c r="AB86" s="3">
        <v>0</v>
      </c>
      <c r="AC86" s="3">
        <f>+Tabla22[[#This Row],[TikTok 2026]]</f>
        <v>0</v>
      </c>
      <c r="AD86" s="3">
        <v>0</v>
      </c>
      <c r="AE86" s="3">
        <f>+Tabla22[[#This Row],[Shein 2026]]</f>
        <v>0</v>
      </c>
      <c r="AF86" s="5">
        <f t="shared" ref="AF86:AF149" si="45">+AE86+AC86+AA86+Y86+W86+U86+S86+Q86+O86+M86+K86</f>
        <v>4976475</v>
      </c>
      <c r="AG86" s="4">
        <f t="shared" ref="AG86:AG149" si="46">+AF86/G86</f>
        <v>1.1685289379307617</v>
      </c>
      <c r="AH86" s="5">
        <f t="shared" ref="AH86:AH149" si="47">+AF86-G86</f>
        <v>717722.95846958458</v>
      </c>
      <c r="AI86" s="17">
        <f t="shared" si="14"/>
        <v>0.39800726839369349</v>
      </c>
      <c r="AJ86" s="17">
        <f t="shared" si="15"/>
        <v>0.12605985029321362</v>
      </c>
      <c r="AK86" s="14">
        <f t="shared" si="16"/>
        <v>0.16101405227959867</v>
      </c>
      <c r="AL86" s="14">
        <f t="shared" si="17"/>
        <v>9.451681059804673E-2</v>
      </c>
    </row>
    <row r="87" spans="1:38" x14ac:dyDescent="0.3">
      <c r="A87" s="7">
        <v>45742</v>
      </c>
      <c r="B87" s="3">
        <v>30324337</v>
      </c>
      <c r="C87" s="3">
        <f t="shared" si="18"/>
        <v>3168052.4482758623</v>
      </c>
      <c r="D87" s="4">
        <f>+Tabla22[[#This Row],[Share diario]]</f>
        <v>3.8820415201966926E-2</v>
      </c>
      <c r="E87" s="3">
        <f>+Tabla22[[#This Row],[Global 2026]]</f>
        <v>33708145</v>
      </c>
      <c r="F87" s="7">
        <v>46106</v>
      </c>
      <c r="G87" s="3">
        <f>+Tabla2[[#This Row],[Meta Digital]]+Tabla2[[#This Row],[Meta MKPlace]]</f>
        <v>4385509.7579324618</v>
      </c>
      <c r="H87" s="3">
        <v>3817503.7579324613</v>
      </c>
      <c r="I87" s="3">
        <v>568006</v>
      </c>
      <c r="J87" s="3">
        <v>2785242</v>
      </c>
      <c r="K87" s="3">
        <f>+Tabla22[[#This Row],[Web + APP 2026]]</f>
        <v>3689993</v>
      </c>
      <c r="L87" s="3">
        <v>19578.448275862062</v>
      </c>
      <c r="M87" s="3">
        <f>+Tabla22[[#This Row],[Afiliados 2026]]</f>
        <v>23278</v>
      </c>
      <c r="N87" s="3">
        <v>70468</v>
      </c>
      <c r="O87" s="3">
        <f>+Tabla22[[#This Row],[TMK 2026]]</f>
        <v>52915</v>
      </c>
      <c r="P87" s="3">
        <v>7635</v>
      </c>
      <c r="Q87" s="3">
        <f>+Tabla22[[#This Row],[WA 2026]]</f>
        <v>0</v>
      </c>
      <c r="R87" s="3">
        <v>17001</v>
      </c>
      <c r="S87" s="3">
        <f>+Tabla22[[#This Row],[Ent. en Tienda 2026]]</f>
        <v>73771</v>
      </c>
      <c r="T87" s="3">
        <v>173023</v>
      </c>
      <c r="U87" s="3">
        <f>+Tabla22[[#This Row],[Meli Drop 2026]]</f>
        <v>430352</v>
      </c>
      <c r="V87" s="3">
        <v>64342</v>
      </c>
      <c r="W87" s="3">
        <f>+Tabla22[[#This Row],[Meli Full 2026]]</f>
        <v>73055</v>
      </c>
      <c r="X87" s="3">
        <v>22411</v>
      </c>
      <c r="Y87" s="3">
        <f>+Tabla22[[#This Row],[Amazon Drop 2026]]</f>
        <v>18886</v>
      </c>
      <c r="Z87" s="3">
        <v>8352</v>
      </c>
      <c r="AA87" s="3">
        <f>+Tabla22[[#This Row],[Amazon Full 2026]]</f>
        <v>10282</v>
      </c>
      <c r="AB87" s="3">
        <v>0</v>
      </c>
      <c r="AC87" s="3">
        <f>+Tabla22[[#This Row],[TikTok 2026]]</f>
        <v>1344</v>
      </c>
      <c r="AD87" s="3">
        <v>0</v>
      </c>
      <c r="AE87" s="3">
        <f>+Tabla22[[#This Row],[Shein 2026]]</f>
        <v>861</v>
      </c>
      <c r="AF87" s="5">
        <f t="shared" si="45"/>
        <v>4374737</v>
      </c>
      <c r="AG87" s="4">
        <f t="shared" si="46"/>
        <v>0.99754355627348079</v>
      </c>
      <c r="AH87" s="5">
        <f t="shared" si="47"/>
        <v>-10772.757932461798</v>
      </c>
      <c r="AI87" s="17">
        <f t="shared" si="14"/>
        <v>0.38089159552293639</v>
      </c>
      <c r="AJ87" s="17">
        <f t="shared" si="15"/>
        <v>0.10447227414323559</v>
      </c>
      <c r="AK87" s="14">
        <f t="shared" si="16"/>
        <v>0.12978278691989725</v>
      </c>
      <c r="AL87" s="14">
        <f t="shared" si="17"/>
        <v>0.11158720469304906</v>
      </c>
    </row>
    <row r="88" spans="1:38" x14ac:dyDescent="0.3">
      <c r="A88" s="63">
        <v>45743</v>
      </c>
      <c r="B88" s="3">
        <v>35440224</v>
      </c>
      <c r="C88" s="3">
        <f t="shared" si="18"/>
        <v>3161046.5517241377</v>
      </c>
      <c r="D88" s="4">
        <f>+Tabla22[[#This Row],[Share diario]]</f>
        <v>3.4549370724158861E-2</v>
      </c>
      <c r="E88" s="3">
        <f>+Tabla22[[#This Row],[Global 2026]]</f>
        <v>0</v>
      </c>
      <c r="F88" s="7">
        <v>46107</v>
      </c>
      <c r="G88" s="3">
        <f>+Tabla2[[#This Row],[Meta Digital]]+Tabla2[[#This Row],[Meta MKPlace]]</f>
        <v>3989928.7919907765</v>
      </c>
      <c r="H88" s="3">
        <v>3397499.7919907765</v>
      </c>
      <c r="I88" s="3">
        <v>592429</v>
      </c>
      <c r="J88" s="3">
        <v>2131767</v>
      </c>
      <c r="K88" s="3">
        <f>+Tabla22[[#This Row],[Web + APP 2026]]</f>
        <v>0</v>
      </c>
      <c r="L88" s="3">
        <v>19721.551724137931</v>
      </c>
      <c r="M88" s="3">
        <f>+Tabla22[[#This Row],[Afiliados 2026]]</f>
        <v>0</v>
      </c>
      <c r="N88" s="3">
        <v>37713</v>
      </c>
      <c r="O88" s="3">
        <f>+Tabla22[[#This Row],[TMK 2026]]</f>
        <v>0</v>
      </c>
      <c r="P88" s="3">
        <v>4760</v>
      </c>
      <c r="Q88" s="3">
        <f>+Tabla22[[#This Row],[WA 2026]]</f>
        <v>0</v>
      </c>
      <c r="R88" s="3">
        <v>39979</v>
      </c>
      <c r="S88" s="3">
        <f>+Tabla22[[#This Row],[Ent. en Tienda 2026]]</f>
        <v>0</v>
      </c>
      <c r="T88" s="3">
        <v>694821</v>
      </c>
      <c r="U88" s="3">
        <f>+Tabla22[[#This Row],[Meli Drop 2026]]</f>
        <v>0</v>
      </c>
      <c r="V88" s="3">
        <v>205802</v>
      </c>
      <c r="W88" s="3">
        <f>+Tabla22[[#This Row],[Meli Full 2026]]</f>
        <v>0</v>
      </c>
      <c r="X88" s="3">
        <v>13403</v>
      </c>
      <c r="Y88" s="3">
        <f>+Tabla22[[#This Row],[Amazon Drop 2026]]</f>
        <v>0</v>
      </c>
      <c r="Z88" s="3">
        <v>13080</v>
      </c>
      <c r="AA88" s="3">
        <f>+Tabla22[[#This Row],[Amazon Full 2026]]</f>
        <v>0</v>
      </c>
      <c r="AB88" s="3">
        <v>0</v>
      </c>
      <c r="AC88" s="3">
        <f>+Tabla22[[#This Row],[TikTok 2026]]</f>
        <v>0</v>
      </c>
      <c r="AD88" s="3">
        <v>0</v>
      </c>
      <c r="AE88" s="3">
        <f>+Tabla22[[#This Row],[Shein 2026]]</f>
        <v>0</v>
      </c>
      <c r="AF88" s="5">
        <f t="shared" si="45"/>
        <v>0</v>
      </c>
      <c r="AG88" s="4">
        <f t="shared" si="46"/>
        <v>0</v>
      </c>
      <c r="AH88" s="5">
        <f t="shared" si="47"/>
        <v>-3989928.7919907765</v>
      </c>
      <c r="AI88" s="17">
        <f t="shared" si="14"/>
        <v>-1</v>
      </c>
      <c r="AJ88" s="17">
        <f t="shared" si="15"/>
        <v>8.9193752040735916E-2</v>
      </c>
      <c r="AK88" s="14" t="e">
        <f t="shared" si="16"/>
        <v>#DIV/0!</v>
      </c>
      <c r="AL88" s="14">
        <f t="shared" si="17"/>
        <v>-1</v>
      </c>
    </row>
    <row r="89" spans="1:38" x14ac:dyDescent="0.3">
      <c r="A89" s="7">
        <v>45744</v>
      </c>
      <c r="B89" s="3">
        <v>40613707</v>
      </c>
      <c r="C89" s="3">
        <f t="shared" si="18"/>
        <v>2460022.2068965519</v>
      </c>
      <c r="D89" s="4">
        <f>+Tabla22[[#This Row],[Share diario]]</f>
        <v>3.4472967532869409E-2</v>
      </c>
      <c r="E89" s="3">
        <f>+Tabla22[[#This Row],[Global 2026]]</f>
        <v>0</v>
      </c>
      <c r="F89" s="7">
        <v>46108</v>
      </c>
      <c r="G89" s="3">
        <f>+Tabla2[[#This Row],[Meta Digital]]+Tabla2[[#This Row],[Meta MKPlace]]</f>
        <v>3976363.4908488886</v>
      </c>
      <c r="H89" s="3">
        <v>3389986.4908488886</v>
      </c>
      <c r="I89" s="3">
        <v>586377</v>
      </c>
      <c r="J89" s="3">
        <v>1774382</v>
      </c>
      <c r="K89" s="3">
        <f>+Tabla22[[#This Row],[Web + APP 2026]]</f>
        <v>0</v>
      </c>
      <c r="L89" s="3">
        <v>23261.206896551717</v>
      </c>
      <c r="M89" s="3">
        <f>+Tabla22[[#This Row],[Afiliados 2026]]</f>
        <v>0</v>
      </c>
      <c r="N89" s="3">
        <v>33871</v>
      </c>
      <c r="O89" s="3">
        <f>+Tabla22[[#This Row],[TMK 2026]]</f>
        <v>0</v>
      </c>
      <c r="P89" s="3">
        <v>4459</v>
      </c>
      <c r="Q89" s="3">
        <f>+Tabla22[[#This Row],[WA 2026]]</f>
        <v>0</v>
      </c>
      <c r="R89" s="3">
        <v>53653</v>
      </c>
      <c r="S89" s="3">
        <f>+Tabla22[[#This Row],[Ent. en Tienda 2026]]</f>
        <v>0</v>
      </c>
      <c r="T89" s="3">
        <v>427289</v>
      </c>
      <c r="U89" s="3">
        <f>+Tabla22[[#This Row],[Meli Drop 2026]]</f>
        <v>0</v>
      </c>
      <c r="V89" s="3">
        <v>115398</v>
      </c>
      <c r="W89" s="3">
        <f>+Tabla22[[#This Row],[Meli Full 2026]]</f>
        <v>0</v>
      </c>
      <c r="X89" s="3">
        <v>14337</v>
      </c>
      <c r="Y89" s="3">
        <f>+Tabla22[[#This Row],[Amazon Drop 2026]]</f>
        <v>0</v>
      </c>
      <c r="Z89" s="3">
        <v>13372</v>
      </c>
      <c r="AA89" s="3">
        <f>+Tabla22[[#This Row],[Amazon Full 2026]]</f>
        <v>0</v>
      </c>
      <c r="AB89" s="3">
        <v>0</v>
      </c>
      <c r="AC89" s="3">
        <f>+Tabla22[[#This Row],[TikTok 2026]]</f>
        <v>0</v>
      </c>
      <c r="AD89" s="3">
        <v>0</v>
      </c>
      <c r="AE89" s="3">
        <f>+Tabla22[[#This Row],[Shein 2026]]</f>
        <v>0</v>
      </c>
      <c r="AF89" s="5">
        <f t="shared" si="45"/>
        <v>0</v>
      </c>
      <c r="AG89" s="4">
        <f t="shared" si="46"/>
        <v>0</v>
      </c>
      <c r="AH89" s="5">
        <f t="shared" si="47"/>
        <v>-3976363.4908488886</v>
      </c>
      <c r="AI89" s="17">
        <f t="shared" si="14"/>
        <v>-1</v>
      </c>
      <c r="AJ89" s="17">
        <f t="shared" si="15"/>
        <v>6.0571230468978166E-2</v>
      </c>
      <c r="AK89" s="14" t="e">
        <f t="shared" si="16"/>
        <v>#DIV/0!</v>
      </c>
      <c r="AL89" s="14">
        <f t="shared" si="17"/>
        <v>-1</v>
      </c>
    </row>
    <row r="90" spans="1:38" x14ac:dyDescent="0.3">
      <c r="A90" s="63">
        <v>45745</v>
      </c>
      <c r="B90" s="3">
        <v>47440357</v>
      </c>
      <c r="C90" s="3">
        <f t="shared" si="18"/>
        <v>2090770.8620689656</v>
      </c>
      <c r="D90" s="4">
        <f>+Tabla22[[#This Row],[Share diario]]</f>
        <v>2.6827907871912731E-2</v>
      </c>
      <c r="E90" s="3">
        <f>+Tabla22[[#This Row],[Global 2026]]</f>
        <v>0</v>
      </c>
      <c r="F90" s="7">
        <v>46109</v>
      </c>
      <c r="G90" s="3">
        <f>+Tabla2[[#This Row],[Meta Digital]]+Tabla2[[#This Row],[Meta MKPlace]]</f>
        <v>3158221.2044495288</v>
      </c>
      <c r="H90" s="3">
        <v>2638190.2044495288</v>
      </c>
      <c r="I90" s="3">
        <v>520031</v>
      </c>
      <c r="J90" s="3">
        <v>1413648</v>
      </c>
      <c r="K90" s="3">
        <f>+Tabla22[[#This Row],[Web + APP 2026]]</f>
        <v>0</v>
      </c>
      <c r="L90" s="3">
        <v>22200.862068965514</v>
      </c>
      <c r="M90" s="3">
        <f>+Tabla22[[#This Row],[Afiliados 2026]]</f>
        <v>0</v>
      </c>
      <c r="N90" s="3">
        <v>26911</v>
      </c>
      <c r="O90" s="3">
        <f>+Tabla22[[#This Row],[TMK 2026]]</f>
        <v>0</v>
      </c>
      <c r="P90" s="3">
        <v>3768</v>
      </c>
      <c r="Q90" s="3">
        <f>+Tabla22[[#This Row],[WA 2026]]</f>
        <v>0</v>
      </c>
      <c r="R90" s="3">
        <v>63590</v>
      </c>
      <c r="S90" s="3">
        <f>+Tabla22[[#This Row],[Ent. en Tienda 2026]]</f>
        <v>0</v>
      </c>
      <c r="T90" s="3">
        <v>438928</v>
      </c>
      <c r="U90" s="3">
        <f>+Tabla22[[#This Row],[Meli Drop 2026]]</f>
        <v>0</v>
      </c>
      <c r="V90" s="3">
        <v>103627</v>
      </c>
      <c r="W90" s="3">
        <f>+Tabla22[[#This Row],[Meli Full 2026]]</f>
        <v>0</v>
      </c>
      <c r="X90" s="3">
        <v>9571</v>
      </c>
      <c r="Y90" s="3">
        <f>+Tabla22[[#This Row],[Amazon Drop 2026]]</f>
        <v>0</v>
      </c>
      <c r="Z90" s="3">
        <v>8527</v>
      </c>
      <c r="AA90" s="3">
        <f>+Tabla22[[#This Row],[Amazon Full 2026]]</f>
        <v>0</v>
      </c>
      <c r="AB90" s="3">
        <v>0</v>
      </c>
      <c r="AC90" s="3">
        <f>+Tabla22[[#This Row],[TikTok 2026]]</f>
        <v>0</v>
      </c>
      <c r="AD90" s="3">
        <v>0</v>
      </c>
      <c r="AE90" s="3">
        <f>+Tabla22[[#This Row],[Shein 2026]]</f>
        <v>0</v>
      </c>
      <c r="AF90" s="5">
        <f t="shared" si="45"/>
        <v>0</v>
      </c>
      <c r="AG90" s="4">
        <f t="shared" si="46"/>
        <v>0</v>
      </c>
      <c r="AH90" s="5">
        <f t="shared" si="47"/>
        <v>-3158221.2044495288</v>
      </c>
      <c r="AI90" s="17">
        <f t="shared" si="14"/>
        <v>-1</v>
      </c>
      <c r="AJ90" s="17">
        <f t="shared" si="15"/>
        <v>4.4071566790042614E-2</v>
      </c>
      <c r="AK90" s="14" t="e">
        <f t="shared" si="16"/>
        <v>#DIV/0!</v>
      </c>
      <c r="AL90" s="14">
        <f t="shared" si="17"/>
        <v>-1</v>
      </c>
    </row>
    <row r="91" spans="1:38" x14ac:dyDescent="0.3">
      <c r="A91" s="7">
        <v>45746</v>
      </c>
      <c r="B91" s="3">
        <v>46369398</v>
      </c>
      <c r="C91" s="3">
        <f t="shared" si="18"/>
        <v>2405801.3448275863</v>
      </c>
      <c r="D91" s="4">
        <f>+Tabla22[[#This Row],[Share diario]]</f>
        <v>2.2801016963024712E-2</v>
      </c>
      <c r="E91" s="3">
        <f>+Tabla22[[#This Row],[Global 2026]]</f>
        <v>0</v>
      </c>
      <c r="F91" s="7">
        <v>46110</v>
      </c>
      <c r="G91" s="3">
        <f>+Tabla2[[#This Row],[Meta Digital]]+Tabla2[[#This Row],[Meta MKPlace]]</f>
        <v>2831907.6975003812</v>
      </c>
      <c r="H91" s="3">
        <v>2242195.6975003812</v>
      </c>
      <c r="I91" s="3">
        <v>589712</v>
      </c>
      <c r="J91" s="3">
        <v>1746951</v>
      </c>
      <c r="K91" s="3">
        <f>+Tabla22[[#This Row],[Web + APP 2026]]</f>
        <v>0</v>
      </c>
      <c r="L91" s="3">
        <v>25310.344827586203</v>
      </c>
      <c r="M91" s="3">
        <f>+Tabla22[[#This Row],[Afiliados 2026]]</f>
        <v>0</v>
      </c>
      <c r="N91" s="3">
        <v>1629</v>
      </c>
      <c r="O91" s="3">
        <f>+Tabla22[[#This Row],[TMK 2026]]</f>
        <v>0</v>
      </c>
      <c r="P91" s="3">
        <v>3494</v>
      </c>
      <c r="Q91" s="3">
        <f>+Tabla22[[#This Row],[WA 2026]]</f>
        <v>0</v>
      </c>
      <c r="R91" s="3">
        <v>52783</v>
      </c>
      <c r="S91" s="3">
        <f>+Tabla22[[#This Row],[Ent. en Tienda 2026]]</f>
        <v>0</v>
      </c>
      <c r="T91" s="3">
        <v>424195</v>
      </c>
      <c r="U91" s="3">
        <f>+Tabla22[[#This Row],[Meli Drop 2026]]</f>
        <v>0</v>
      </c>
      <c r="V91" s="3">
        <v>120034</v>
      </c>
      <c r="W91" s="3">
        <f>+Tabla22[[#This Row],[Meli Full 2026]]</f>
        <v>0</v>
      </c>
      <c r="X91" s="3">
        <v>20419</v>
      </c>
      <c r="Y91" s="3">
        <f>+Tabla22[[#This Row],[Amazon Drop 2026]]</f>
        <v>0</v>
      </c>
      <c r="Z91" s="3">
        <v>10986</v>
      </c>
      <c r="AA91" s="3">
        <f>+Tabla22[[#This Row],[Amazon Full 2026]]</f>
        <v>0</v>
      </c>
      <c r="AB91" s="3">
        <v>0</v>
      </c>
      <c r="AC91" s="3">
        <f>+Tabla22[[#This Row],[TikTok 2026]]</f>
        <v>0</v>
      </c>
      <c r="AD91" s="3">
        <v>0</v>
      </c>
      <c r="AE91" s="3">
        <f>+Tabla22[[#This Row],[Shein 2026]]</f>
        <v>0</v>
      </c>
      <c r="AF91" s="5">
        <f t="shared" si="45"/>
        <v>0</v>
      </c>
      <c r="AG91" s="4">
        <f t="shared" si="46"/>
        <v>0</v>
      </c>
      <c r="AH91" s="5">
        <f t="shared" si="47"/>
        <v>-2831907.6975003812</v>
      </c>
      <c r="AI91" s="17">
        <f t="shared" si="14"/>
        <v>-1</v>
      </c>
      <c r="AJ91" s="17">
        <f t="shared" si="15"/>
        <v>5.1883385348836887E-2</v>
      </c>
      <c r="AK91" s="14" t="e">
        <f t="shared" si="16"/>
        <v>#DIV/0!</v>
      </c>
      <c r="AL91" s="14">
        <f t="shared" si="17"/>
        <v>-1</v>
      </c>
    </row>
    <row r="92" spans="1:38" x14ac:dyDescent="0.3">
      <c r="A92" s="63">
        <v>45747</v>
      </c>
      <c r="B92" s="3">
        <v>26611832</v>
      </c>
      <c r="C92" s="3">
        <f t="shared" si="18"/>
        <v>3399174.3103448274</v>
      </c>
      <c r="D92" s="4">
        <f>+Tabla22[[#This Row],[Share diario]]</f>
        <v>2.6236599269801781E-2</v>
      </c>
      <c r="E92" s="3">
        <f>+Tabla22[[#This Row],[Global 2026]]</f>
        <v>0</v>
      </c>
      <c r="F92" s="7">
        <v>46111</v>
      </c>
      <c r="G92" s="3">
        <f>+Tabla2[[#This Row],[Meta Digital]]+Tabla2[[#This Row],[Meta MKPlace]]</f>
        <v>3138844.3768461295</v>
      </c>
      <c r="H92" s="3">
        <v>2580042.3768461295</v>
      </c>
      <c r="I92" s="3">
        <v>558802</v>
      </c>
      <c r="J92" s="3">
        <v>2655583</v>
      </c>
      <c r="K92" s="3">
        <f>+Tabla22[[#This Row],[Web + APP 2026]]</f>
        <v>0</v>
      </c>
      <c r="L92" s="3">
        <v>17754.310344827587</v>
      </c>
      <c r="M92" s="3">
        <f>+Tabla22[[#This Row],[Afiliados 2026]]</f>
        <v>0</v>
      </c>
      <c r="N92" s="3">
        <v>51685</v>
      </c>
      <c r="O92" s="3">
        <f>+Tabla22[[#This Row],[TMK 2026]]</f>
        <v>0</v>
      </c>
      <c r="P92" s="3">
        <v>2075</v>
      </c>
      <c r="Q92" s="3">
        <f>+Tabla22[[#This Row],[WA 2026]]</f>
        <v>0</v>
      </c>
      <c r="R92" s="3">
        <v>59000</v>
      </c>
      <c r="S92" s="3">
        <f>+Tabla22[[#This Row],[Ent. en Tienda 2026]]</f>
        <v>0</v>
      </c>
      <c r="T92" s="3">
        <v>466998</v>
      </c>
      <c r="U92" s="3">
        <f>+Tabla22[[#This Row],[Meli Drop 2026]]</f>
        <v>0</v>
      </c>
      <c r="V92" s="3">
        <v>119148</v>
      </c>
      <c r="W92" s="3">
        <f>+Tabla22[[#This Row],[Meli Full 2026]]</f>
        <v>0</v>
      </c>
      <c r="X92" s="3">
        <v>19608</v>
      </c>
      <c r="Y92" s="3">
        <f>+Tabla22[[#This Row],[Amazon Drop 2026]]</f>
        <v>0</v>
      </c>
      <c r="Z92" s="3">
        <v>7323</v>
      </c>
      <c r="AA92" s="3">
        <f>+Tabla22[[#This Row],[Amazon Full 2026]]</f>
        <v>0</v>
      </c>
      <c r="AB92" s="3">
        <v>0</v>
      </c>
      <c r="AC92" s="3">
        <f>+Tabla22[[#This Row],[TikTok 2026]]</f>
        <v>0</v>
      </c>
      <c r="AD92" s="3">
        <v>0</v>
      </c>
      <c r="AE92" s="3">
        <f>+Tabla22[[#This Row],[Shein 2026]]</f>
        <v>0</v>
      </c>
      <c r="AF92" s="5">
        <f t="shared" si="45"/>
        <v>0</v>
      </c>
      <c r="AG92" s="4">
        <f t="shared" si="46"/>
        <v>0</v>
      </c>
      <c r="AH92" s="5">
        <f t="shared" si="47"/>
        <v>-3138844.3768461295</v>
      </c>
      <c r="AI92" s="17">
        <f t="shared" si="14"/>
        <v>-1</v>
      </c>
      <c r="AJ92" s="17">
        <f t="shared" si="15"/>
        <v>0.1277316913147816</v>
      </c>
      <c r="AK92" s="14" t="e">
        <f t="shared" si="16"/>
        <v>#DIV/0!</v>
      </c>
      <c r="AL92" s="14">
        <f t="shared" si="17"/>
        <v>-1</v>
      </c>
    </row>
    <row r="93" spans="1:38" x14ac:dyDescent="0.3">
      <c r="A93" s="7">
        <v>45748</v>
      </c>
      <c r="B93" s="3">
        <v>29808124</v>
      </c>
      <c r="C93" s="3">
        <f t="shared" si="18"/>
        <v>3936832.0344827585</v>
      </c>
      <c r="D93" s="4">
        <f>+Tabla22[[#This Row],[Share diario]]</f>
        <v>3.7069882939612962E-2</v>
      </c>
      <c r="E93" s="3">
        <f>+Tabla22[[#This Row],[Global 2026]]</f>
        <v>0</v>
      </c>
      <c r="F93" s="7">
        <v>46112</v>
      </c>
      <c r="G93" s="3">
        <f>+Tabla2[[#This Row],[Meta Digital]]+Tabla2[[#This Row],[Meta MKPlace]]</f>
        <v>4163347.7384631676</v>
      </c>
      <c r="H93" s="3">
        <v>3645360.7384631676</v>
      </c>
      <c r="I93" s="3">
        <v>517987</v>
      </c>
      <c r="J93" s="3">
        <v>3138536</v>
      </c>
      <c r="K93" s="3">
        <f>+Tabla22[[#This Row],[Web + APP 2026]]</f>
        <v>0</v>
      </c>
      <c r="L93" s="3">
        <v>22106.034482758616</v>
      </c>
      <c r="M93" s="3">
        <f>+Tabla22[[#This Row],[Afiliados 2026]]</f>
        <v>0</v>
      </c>
      <c r="N93" s="3">
        <v>84893</v>
      </c>
      <c r="O93" s="3">
        <f>+Tabla22[[#This Row],[TMK 2026]]</f>
        <v>0</v>
      </c>
      <c r="P93" s="3">
        <v>8872</v>
      </c>
      <c r="Q93" s="3">
        <f>+Tabla22[[#This Row],[WA 2026]]</f>
        <v>0</v>
      </c>
      <c r="R93" s="3">
        <v>49545</v>
      </c>
      <c r="S93" s="3">
        <f>+Tabla22[[#This Row],[Ent. en Tienda 2026]]</f>
        <v>0</v>
      </c>
      <c r="T93" s="3">
        <v>478988</v>
      </c>
      <c r="U93" s="3">
        <f>+Tabla22[[#This Row],[Meli Drop 2026]]</f>
        <v>0</v>
      </c>
      <c r="V93" s="3">
        <v>121840</v>
      </c>
      <c r="W93" s="3">
        <f>+Tabla22[[#This Row],[Meli Full 2026]]</f>
        <v>0</v>
      </c>
      <c r="X93" s="3">
        <v>21703</v>
      </c>
      <c r="Y93" s="3">
        <f>+Tabla22[[#This Row],[Amazon Drop 2026]]</f>
        <v>0</v>
      </c>
      <c r="Z93" s="3">
        <v>10349</v>
      </c>
      <c r="AA93" s="3">
        <f>+Tabla22[[#This Row],[Amazon Full 2026]]</f>
        <v>0</v>
      </c>
      <c r="AB93" s="3">
        <v>0</v>
      </c>
      <c r="AC93" s="3">
        <f>+Tabla22[[#This Row],[TikTok 2026]]</f>
        <v>0</v>
      </c>
      <c r="AD93" s="3">
        <v>0</v>
      </c>
      <c r="AE93" s="3">
        <f>+Tabla22[[#This Row],[Shein 2026]]</f>
        <v>0</v>
      </c>
      <c r="AF93" s="5">
        <f t="shared" si="45"/>
        <v>0</v>
      </c>
      <c r="AG93" s="4">
        <f t="shared" si="46"/>
        <v>0</v>
      </c>
      <c r="AH93" s="5">
        <f t="shared" si="47"/>
        <v>-4163347.7384631676</v>
      </c>
      <c r="AI93" s="17">
        <f t="shared" si="14"/>
        <v>-1</v>
      </c>
      <c r="AJ93" s="17">
        <f t="shared" si="15"/>
        <v>0.13207245227786754</v>
      </c>
      <c r="AK93" s="14" t="e">
        <f t="shared" si="16"/>
        <v>#DIV/0!</v>
      </c>
      <c r="AL93" s="14">
        <f t="shared" si="17"/>
        <v>-1</v>
      </c>
    </row>
    <row r="94" spans="1:38" x14ac:dyDescent="0.3">
      <c r="A94" s="63">
        <v>45749</v>
      </c>
      <c r="B94" s="3">
        <v>33038734</v>
      </c>
      <c r="C94" s="3">
        <f t="shared" si="18"/>
        <v>4055303.8620689656</v>
      </c>
      <c r="D94" s="4">
        <f>+Tabla22[[#This Row],[Share diario]]</f>
        <v>4.7400183559419766E-2</v>
      </c>
      <c r="E94" s="3">
        <f>+Tabla22[[#This Row],[Global 2026]]</f>
        <v>0</v>
      </c>
      <c r="F94" s="7">
        <v>46113</v>
      </c>
      <c r="G94" s="3">
        <f>+Tabla2[[#This Row],[Meta Digital]]+Tabla2[[#This Row],[Meta MKPlace]]</f>
        <v>5137776.964348359</v>
      </c>
      <c r="H94" s="3">
        <v>4260873.5684990939</v>
      </c>
      <c r="I94" s="3">
        <v>876903.39584926562</v>
      </c>
      <c r="J94" s="3">
        <v>3224956</v>
      </c>
      <c r="K94" s="3">
        <f>+Tabla22[[#This Row],[Web + APP 2026]]</f>
        <v>0</v>
      </c>
      <c r="L94" s="3">
        <v>19000.862068965514</v>
      </c>
      <c r="M94" s="3">
        <f>+Tabla22[[#This Row],[Afiliados 2026]]</f>
        <v>0</v>
      </c>
      <c r="N94" s="3">
        <v>53719</v>
      </c>
      <c r="O94" s="3">
        <f>+Tabla22[[#This Row],[TMK 2026]]</f>
        <v>0</v>
      </c>
      <c r="P94" s="3">
        <v>3290</v>
      </c>
      <c r="Q94" s="3">
        <f>+Tabla22[[#This Row],[WA 2026]]</f>
        <v>0</v>
      </c>
      <c r="R94" s="3">
        <v>91562</v>
      </c>
      <c r="S94" s="3">
        <f>+Tabla22[[#This Row],[Ent. en Tienda 2026]]</f>
        <v>0</v>
      </c>
      <c r="T94" s="3">
        <v>496250</v>
      </c>
      <c r="U94" s="3">
        <f>+Tabla22[[#This Row],[Meli Drop 2026]]</f>
        <v>0</v>
      </c>
      <c r="V94" s="3">
        <v>140257</v>
      </c>
      <c r="W94" s="3">
        <f>+Tabla22[[#This Row],[Meli Full 2026]]</f>
        <v>0</v>
      </c>
      <c r="X94" s="3">
        <v>19389</v>
      </c>
      <c r="Y94" s="3">
        <f>+Tabla22[[#This Row],[Amazon Drop 2026]]</f>
        <v>0</v>
      </c>
      <c r="Z94" s="3">
        <v>6880</v>
      </c>
      <c r="AA94" s="3">
        <f>+Tabla22[[#This Row],[Amazon Full 2026]]</f>
        <v>0</v>
      </c>
      <c r="AB94" s="3">
        <v>0</v>
      </c>
      <c r="AC94" s="3">
        <f>+Tabla22[[#This Row],[TikTok 2026]]</f>
        <v>0</v>
      </c>
      <c r="AD94" s="3">
        <v>0</v>
      </c>
      <c r="AE94" s="3">
        <f>+Tabla22[[#This Row],[Shein 2026]]</f>
        <v>0</v>
      </c>
      <c r="AF94" s="5">
        <f t="shared" si="45"/>
        <v>0</v>
      </c>
      <c r="AG94" s="4">
        <f t="shared" si="46"/>
        <v>0</v>
      </c>
      <c r="AH94" s="5">
        <f t="shared" si="47"/>
        <v>-5137776.964348359</v>
      </c>
      <c r="AI94" s="17">
        <f t="shared" si="14"/>
        <v>-1</v>
      </c>
      <c r="AJ94" s="17">
        <f t="shared" si="15"/>
        <v>0.12274392420935275</v>
      </c>
      <c r="AK94" s="14" t="e">
        <f t="shared" si="16"/>
        <v>#DIV/0!</v>
      </c>
      <c r="AL94" s="14">
        <f t="shared" si="17"/>
        <v>-1</v>
      </c>
    </row>
    <row r="95" spans="1:38" x14ac:dyDescent="0.3">
      <c r="A95" s="7">
        <v>45750</v>
      </c>
      <c r="B95" s="3">
        <v>37536410</v>
      </c>
      <c r="C95" s="3">
        <f t="shared" si="18"/>
        <v>3052607.3793103448</v>
      </c>
      <c r="D95" s="4">
        <f>+Tabla22[[#This Row],[Share diario]]</f>
        <v>4.882660620712715E-2</v>
      </c>
      <c r="E95" s="3">
        <f>+Tabla22[[#This Row],[Global 2026]]</f>
        <v>0</v>
      </c>
      <c r="F95" s="7">
        <v>46114</v>
      </c>
      <c r="G95" s="3">
        <f>+Tabla2[[#This Row],[Meta Digital]]+Tabla2[[#This Row],[Meta MKPlace]]</f>
        <v>5292389.0538063841</v>
      </c>
      <c r="H95" s="3">
        <v>4389096.8389745317</v>
      </c>
      <c r="I95" s="3">
        <v>903292.21483185224</v>
      </c>
      <c r="J95" s="3">
        <v>2284246</v>
      </c>
      <c r="K95" s="3">
        <f>+Tabla22[[#This Row],[Web + APP 2026]]</f>
        <v>0</v>
      </c>
      <c r="L95" s="3">
        <v>20966.379310344826</v>
      </c>
      <c r="M95" s="3">
        <f>+Tabla22[[#This Row],[Afiliados 2026]]</f>
        <v>0</v>
      </c>
      <c r="N95" s="3">
        <v>55138</v>
      </c>
      <c r="O95" s="3">
        <f>+Tabla22[[#This Row],[TMK 2026]]</f>
        <v>0</v>
      </c>
      <c r="P95" s="3">
        <v>3034</v>
      </c>
      <c r="Q95" s="3">
        <f>+Tabla22[[#This Row],[WA 2026]]</f>
        <v>0</v>
      </c>
      <c r="R95" s="3">
        <v>100239</v>
      </c>
      <c r="S95" s="3">
        <f>+Tabla22[[#This Row],[Ent. en Tienda 2026]]</f>
        <v>0</v>
      </c>
      <c r="T95" s="3">
        <v>439577</v>
      </c>
      <c r="U95" s="3">
        <f>+Tabla22[[#This Row],[Meli Drop 2026]]</f>
        <v>0</v>
      </c>
      <c r="V95" s="3">
        <v>113852</v>
      </c>
      <c r="W95" s="3">
        <f>+Tabla22[[#This Row],[Meli Full 2026]]</f>
        <v>0</v>
      </c>
      <c r="X95" s="3">
        <v>26202</v>
      </c>
      <c r="Y95" s="3">
        <f>+Tabla22[[#This Row],[Amazon Drop 2026]]</f>
        <v>0</v>
      </c>
      <c r="Z95" s="3">
        <v>9353</v>
      </c>
      <c r="AA95" s="3">
        <f>+Tabla22[[#This Row],[Amazon Full 2026]]</f>
        <v>0</v>
      </c>
      <c r="AB95" s="3">
        <v>0</v>
      </c>
      <c r="AC95" s="3">
        <f>+Tabla22[[#This Row],[TikTok 2026]]</f>
        <v>0</v>
      </c>
      <c r="AD95" s="3">
        <v>0</v>
      </c>
      <c r="AE95" s="3">
        <f>+Tabla22[[#This Row],[Shein 2026]]</f>
        <v>0</v>
      </c>
      <c r="AF95" s="5">
        <f t="shared" si="45"/>
        <v>0</v>
      </c>
      <c r="AG95" s="4">
        <f t="shared" si="46"/>
        <v>0</v>
      </c>
      <c r="AH95" s="5">
        <f t="shared" si="47"/>
        <v>-5292389.0538063841</v>
      </c>
      <c r="AI95" s="17">
        <f t="shared" si="14"/>
        <v>-1</v>
      </c>
      <c r="AJ95" s="17">
        <f t="shared" si="15"/>
        <v>8.1323903359707142E-2</v>
      </c>
      <c r="AK95" s="14" t="e">
        <f t="shared" si="16"/>
        <v>#DIV/0!</v>
      </c>
      <c r="AL95" s="14">
        <f t="shared" si="17"/>
        <v>-1</v>
      </c>
    </row>
    <row r="96" spans="1:38" x14ac:dyDescent="0.3">
      <c r="A96" s="63">
        <v>45751</v>
      </c>
      <c r="B96" s="3">
        <v>37845651</v>
      </c>
      <c r="C96" s="3">
        <f t="shared" si="18"/>
        <v>2494838.4137931038</v>
      </c>
      <c r="D96" s="4">
        <f>+Tabla22[[#This Row],[Share diario]]</f>
        <v>3.6753955679788182E-2</v>
      </c>
      <c r="E96" s="3">
        <f>+Tabla22[[#This Row],[Global 2026]]</f>
        <v>0</v>
      </c>
      <c r="F96" s="7">
        <v>46115</v>
      </c>
      <c r="G96" s="3">
        <f>+Tabla2[[#This Row],[Meta Digital]]+Tabla2[[#This Row],[Meta MKPlace]]</f>
        <v>3983816.3623054079</v>
      </c>
      <c r="H96" s="3">
        <v>3303868.1822293266</v>
      </c>
      <c r="I96" s="3">
        <v>679948.18007608142</v>
      </c>
      <c r="J96" s="3">
        <v>1760543</v>
      </c>
      <c r="K96" s="3">
        <f>+Tabla22[[#This Row],[Web + APP 2026]]</f>
        <v>0</v>
      </c>
      <c r="L96" s="3">
        <v>20947.413793103446</v>
      </c>
      <c r="M96" s="3">
        <f>+Tabla22[[#This Row],[Afiliados 2026]]</f>
        <v>0</v>
      </c>
      <c r="N96" s="3">
        <v>62700</v>
      </c>
      <c r="O96" s="3">
        <f>+Tabla22[[#This Row],[TMK 2026]]</f>
        <v>0</v>
      </c>
      <c r="P96" s="3">
        <v>517</v>
      </c>
      <c r="Q96" s="3">
        <f>+Tabla22[[#This Row],[WA 2026]]</f>
        <v>0</v>
      </c>
      <c r="R96" s="3">
        <v>58034</v>
      </c>
      <c r="S96" s="3">
        <f>+Tabla22[[#This Row],[Ent. en Tienda 2026]]</f>
        <v>0</v>
      </c>
      <c r="T96" s="3">
        <v>446985</v>
      </c>
      <c r="U96" s="3">
        <f>+Tabla22[[#This Row],[Meli Drop 2026]]</f>
        <v>0</v>
      </c>
      <c r="V96" s="3">
        <v>115709</v>
      </c>
      <c r="W96" s="3">
        <f>+Tabla22[[#This Row],[Meli Full 2026]]</f>
        <v>0</v>
      </c>
      <c r="X96" s="3">
        <v>18229</v>
      </c>
      <c r="Y96" s="3">
        <f>+Tabla22[[#This Row],[Amazon Drop 2026]]</f>
        <v>0</v>
      </c>
      <c r="Z96" s="3">
        <v>11174</v>
      </c>
      <c r="AA96" s="3">
        <f>+Tabla22[[#This Row],[Amazon Full 2026]]</f>
        <v>0</v>
      </c>
      <c r="AB96" s="3">
        <v>0</v>
      </c>
      <c r="AC96" s="3">
        <f>+Tabla22[[#This Row],[TikTok 2026]]</f>
        <v>0</v>
      </c>
      <c r="AD96" s="3">
        <v>0</v>
      </c>
      <c r="AE96" s="3">
        <f>+Tabla22[[#This Row],[Shein 2026]]</f>
        <v>0</v>
      </c>
      <c r="AF96" s="5">
        <f t="shared" si="45"/>
        <v>0</v>
      </c>
      <c r="AG96" s="4">
        <f t="shared" si="46"/>
        <v>0</v>
      </c>
      <c r="AH96" s="5">
        <f t="shared" si="47"/>
        <v>-3983816.3623054079</v>
      </c>
      <c r="AI96" s="17">
        <f t="shared" si="14"/>
        <v>-1</v>
      </c>
      <c r="AJ96" s="17">
        <f t="shared" si="15"/>
        <v>6.5921403064069475E-2</v>
      </c>
      <c r="AK96" s="14" t="e">
        <f t="shared" si="16"/>
        <v>#DIV/0!</v>
      </c>
      <c r="AL96" s="14">
        <f t="shared" si="17"/>
        <v>-1</v>
      </c>
    </row>
    <row r="97" spans="1:38" x14ac:dyDescent="0.3">
      <c r="A97" s="7">
        <v>45752</v>
      </c>
      <c r="B97" s="3">
        <v>49424718</v>
      </c>
      <c r="C97" s="3">
        <f t="shared" si="18"/>
        <v>2143966.3103448274</v>
      </c>
      <c r="D97" s="4">
        <f>+Tabla22[[#This Row],[Share diario]]</f>
        <v>3.0038314494771637E-2</v>
      </c>
      <c r="E97" s="3">
        <f>+Tabla22[[#This Row],[Global 2026]]</f>
        <v>0</v>
      </c>
      <c r="F97" s="7">
        <v>46116</v>
      </c>
      <c r="G97" s="3">
        <f>+Tabla2[[#This Row],[Meta Digital]]+Tabla2[[#This Row],[Meta MKPlace]]</f>
        <v>3255897.945323871</v>
      </c>
      <c r="H97" s="3">
        <v>2700189.1271705958</v>
      </c>
      <c r="I97" s="3">
        <v>555708.81815327529</v>
      </c>
      <c r="J97" s="3">
        <v>1496166</v>
      </c>
      <c r="K97" s="3">
        <f>+Tabla22[[#This Row],[Web + APP 2026]]</f>
        <v>0</v>
      </c>
      <c r="L97" s="3">
        <v>21429.31034482758</v>
      </c>
      <c r="M97" s="3">
        <f>+Tabla22[[#This Row],[Afiliados 2026]]</f>
        <v>0</v>
      </c>
      <c r="N97" s="3">
        <v>11511</v>
      </c>
      <c r="O97" s="3">
        <f>+Tabla22[[#This Row],[TMK 2026]]</f>
        <v>0</v>
      </c>
      <c r="P97" s="3">
        <v>8</v>
      </c>
      <c r="Q97" s="3">
        <f>+Tabla22[[#This Row],[WA 2026]]</f>
        <v>0</v>
      </c>
      <c r="R97" s="3">
        <v>49878</v>
      </c>
      <c r="S97" s="3">
        <f>+Tabla22[[#This Row],[Ent. en Tienda 2026]]</f>
        <v>0</v>
      </c>
      <c r="T97" s="3">
        <v>435734</v>
      </c>
      <c r="U97" s="3">
        <f>+Tabla22[[#This Row],[Meli Drop 2026]]</f>
        <v>0</v>
      </c>
      <c r="V97" s="3">
        <v>114189</v>
      </c>
      <c r="W97" s="3">
        <f>+Tabla22[[#This Row],[Meli Full 2026]]</f>
        <v>0</v>
      </c>
      <c r="X97" s="3">
        <v>9901</v>
      </c>
      <c r="Y97" s="3">
        <f>+Tabla22[[#This Row],[Amazon Drop 2026]]</f>
        <v>0</v>
      </c>
      <c r="Z97" s="3">
        <v>5150</v>
      </c>
      <c r="AA97" s="3">
        <f>+Tabla22[[#This Row],[Amazon Full 2026]]</f>
        <v>0</v>
      </c>
      <c r="AB97" s="3">
        <v>0</v>
      </c>
      <c r="AC97" s="3">
        <f>+Tabla22[[#This Row],[TikTok 2026]]</f>
        <v>0</v>
      </c>
      <c r="AD97" s="3">
        <v>0</v>
      </c>
      <c r="AE97" s="3">
        <f>+Tabla22[[#This Row],[Shein 2026]]</f>
        <v>0</v>
      </c>
      <c r="AF97" s="5">
        <f t="shared" si="45"/>
        <v>0</v>
      </c>
      <c r="AG97" s="4">
        <f t="shared" si="46"/>
        <v>0</v>
      </c>
      <c r="AH97" s="5">
        <f t="shared" si="47"/>
        <v>-3255897.945323871</v>
      </c>
      <c r="AI97" s="17">
        <f t="shared" si="14"/>
        <v>-1</v>
      </c>
      <c r="AJ97" s="17">
        <f t="shared" si="15"/>
        <v>4.3378422722509559E-2</v>
      </c>
      <c r="AK97" s="14" t="e">
        <f t="shared" si="16"/>
        <v>#DIV/0!</v>
      </c>
      <c r="AL97" s="14">
        <f t="shared" si="17"/>
        <v>-1</v>
      </c>
    </row>
    <row r="98" spans="1:38" x14ac:dyDescent="0.3">
      <c r="A98" s="63">
        <v>45753</v>
      </c>
      <c r="B98" s="3">
        <v>48801683</v>
      </c>
      <c r="C98" s="3">
        <f t="shared" si="18"/>
        <v>2564117.2068965519</v>
      </c>
      <c r="D98" s="4">
        <f>+Tabla22[[#This Row],[Share diario]]</f>
        <v>2.5813749676244106E-2</v>
      </c>
      <c r="E98" s="3">
        <f>+Tabla22[[#This Row],[Global 2026]]</f>
        <v>0</v>
      </c>
      <c r="F98" s="7">
        <v>46117</v>
      </c>
      <c r="G98" s="3">
        <f>+Tabla2[[#This Row],[Meta Digital]]+Tabla2[[#This Row],[Meta MKPlace]]</f>
        <v>2797991.0306424429</v>
      </c>
      <c r="H98" s="3">
        <v>2320436.6616319269</v>
      </c>
      <c r="I98" s="3">
        <v>477554.36901051598</v>
      </c>
      <c r="J98" s="3">
        <v>1847860</v>
      </c>
      <c r="K98" s="3">
        <f>+Tabla22[[#This Row],[Web + APP 2026]]</f>
        <v>0</v>
      </c>
      <c r="L98" s="3">
        <v>18636.206896551725</v>
      </c>
      <c r="M98" s="3">
        <f>+Tabla22[[#This Row],[Afiliados 2026]]</f>
        <v>0</v>
      </c>
      <c r="N98" s="3">
        <v>26062</v>
      </c>
      <c r="O98" s="3">
        <f>+Tabla22[[#This Row],[TMK 2026]]</f>
        <v>0</v>
      </c>
      <c r="P98" s="3">
        <v>2036</v>
      </c>
      <c r="Q98" s="3">
        <f>+Tabla22[[#This Row],[WA 2026]]</f>
        <v>0</v>
      </c>
      <c r="R98" s="3">
        <v>55957</v>
      </c>
      <c r="S98" s="3">
        <f>+Tabla22[[#This Row],[Ent. en Tienda 2026]]</f>
        <v>0</v>
      </c>
      <c r="T98" s="3">
        <v>473249</v>
      </c>
      <c r="U98" s="3">
        <f>+Tabla22[[#This Row],[Meli Drop 2026]]</f>
        <v>0</v>
      </c>
      <c r="V98" s="3">
        <v>122349</v>
      </c>
      <c r="W98" s="3">
        <f>+Tabla22[[#This Row],[Meli Full 2026]]</f>
        <v>0</v>
      </c>
      <c r="X98" s="3">
        <v>13822</v>
      </c>
      <c r="Y98" s="3">
        <f>+Tabla22[[#This Row],[Amazon Drop 2026]]</f>
        <v>0</v>
      </c>
      <c r="Z98" s="3">
        <v>4146</v>
      </c>
      <c r="AA98" s="3">
        <f>+Tabla22[[#This Row],[Amazon Full 2026]]</f>
        <v>0</v>
      </c>
      <c r="AB98" s="3">
        <v>0</v>
      </c>
      <c r="AC98" s="3">
        <f>+Tabla22[[#This Row],[TikTok 2026]]</f>
        <v>0</v>
      </c>
      <c r="AD98" s="3">
        <v>0</v>
      </c>
      <c r="AE98" s="3">
        <f>+Tabla22[[#This Row],[Shein 2026]]</f>
        <v>0</v>
      </c>
      <c r="AF98" s="5">
        <f t="shared" si="45"/>
        <v>0</v>
      </c>
      <c r="AG98" s="4">
        <f t="shared" si="46"/>
        <v>0</v>
      </c>
      <c r="AH98" s="5">
        <f t="shared" si="47"/>
        <v>-2797991.0306424429</v>
      </c>
      <c r="AI98" s="17">
        <f t="shared" si="14"/>
        <v>-1</v>
      </c>
      <c r="AJ98" s="17">
        <f t="shared" si="15"/>
        <v>5.2541573348946838E-2</v>
      </c>
      <c r="AK98" s="14" t="e">
        <f t="shared" si="16"/>
        <v>#DIV/0!</v>
      </c>
      <c r="AL98" s="14">
        <f t="shared" si="17"/>
        <v>-1</v>
      </c>
    </row>
    <row r="99" spans="1:38" x14ac:dyDescent="0.3">
      <c r="A99" s="7">
        <v>45754</v>
      </c>
      <c r="B99" s="3">
        <v>28107408</v>
      </c>
      <c r="C99" s="3">
        <f t="shared" si="18"/>
        <v>3681154.1379310344</v>
      </c>
      <c r="D99" s="4">
        <f>+Tabla22[[#This Row],[Share diario]]</f>
        <v>3.0872443937205406E-2</v>
      </c>
      <c r="E99" s="3">
        <f>+Tabla22[[#This Row],[Global 2026]]</f>
        <v>0</v>
      </c>
      <c r="F99" s="7">
        <v>46118</v>
      </c>
      <c r="G99" s="3">
        <f>+Tabla2[[#This Row],[Meta Digital]]+Tabla2[[#This Row],[Meta MKPlace]]</f>
        <v>3346310.4862214956</v>
      </c>
      <c r="H99" s="3">
        <v>2775170.2733831955</v>
      </c>
      <c r="I99" s="3">
        <v>571140.21283830004</v>
      </c>
      <c r="J99" s="3">
        <v>2938155</v>
      </c>
      <c r="K99" s="3">
        <f>+Tabla22[[#This Row],[Web + APP 2026]]</f>
        <v>0</v>
      </c>
      <c r="L99" s="3">
        <v>17774.137931034486</v>
      </c>
      <c r="M99" s="3">
        <f>+Tabla22[[#This Row],[Afiliados 2026]]</f>
        <v>0</v>
      </c>
      <c r="N99" s="3">
        <v>73052</v>
      </c>
      <c r="O99" s="3">
        <f>+Tabla22[[#This Row],[TMK 2026]]</f>
        <v>0</v>
      </c>
      <c r="P99" s="3">
        <v>6096</v>
      </c>
      <c r="Q99" s="3">
        <f>+Tabla22[[#This Row],[WA 2026]]</f>
        <v>0</v>
      </c>
      <c r="R99" s="3">
        <v>48292</v>
      </c>
      <c r="S99" s="3">
        <f>+Tabla22[[#This Row],[Ent. en Tienda 2026]]</f>
        <v>0</v>
      </c>
      <c r="T99" s="3">
        <v>444090</v>
      </c>
      <c r="U99" s="3">
        <f>+Tabla22[[#This Row],[Meli Drop 2026]]</f>
        <v>0</v>
      </c>
      <c r="V99" s="3">
        <v>111346</v>
      </c>
      <c r="W99" s="3">
        <f>+Tabla22[[#This Row],[Meli Full 2026]]</f>
        <v>0</v>
      </c>
      <c r="X99" s="3">
        <v>36065</v>
      </c>
      <c r="Y99" s="3">
        <f>+Tabla22[[#This Row],[Amazon Drop 2026]]</f>
        <v>0</v>
      </c>
      <c r="Z99" s="3">
        <v>6284</v>
      </c>
      <c r="AA99" s="3">
        <f>+Tabla22[[#This Row],[Amazon Full 2026]]</f>
        <v>0</v>
      </c>
      <c r="AB99" s="3">
        <v>0</v>
      </c>
      <c r="AC99" s="3">
        <f>+Tabla22[[#This Row],[TikTok 2026]]</f>
        <v>0</v>
      </c>
      <c r="AD99" s="3">
        <v>0</v>
      </c>
      <c r="AE99" s="3">
        <f>+Tabla22[[#This Row],[Shein 2026]]</f>
        <v>0</v>
      </c>
      <c r="AF99" s="5">
        <f t="shared" si="45"/>
        <v>0</v>
      </c>
      <c r="AG99" s="4">
        <f t="shared" si="46"/>
        <v>0</v>
      </c>
      <c r="AH99" s="5">
        <f t="shared" si="47"/>
        <v>-3346310.4862214956</v>
      </c>
      <c r="AI99" s="17">
        <f t="shared" si="14"/>
        <v>-1</v>
      </c>
      <c r="AJ99" s="17">
        <f t="shared" si="15"/>
        <v>0.13096739969516344</v>
      </c>
      <c r="AK99" s="14" t="e">
        <f t="shared" si="16"/>
        <v>#DIV/0!</v>
      </c>
      <c r="AL99" s="14">
        <f t="shared" si="17"/>
        <v>-1</v>
      </c>
    </row>
    <row r="100" spans="1:38" x14ac:dyDescent="0.3">
      <c r="A100" s="63">
        <v>45755</v>
      </c>
      <c r="B100" s="3">
        <v>30891733</v>
      </c>
      <c r="C100" s="3">
        <f t="shared" si="18"/>
        <v>3954165.5862068967</v>
      </c>
      <c r="D100" s="4">
        <f>+Tabla22[[#This Row],[Share diario]]</f>
        <v>4.4321774543620761E-2</v>
      </c>
      <c r="E100" s="3">
        <f>+Tabla22[[#This Row],[Global 2026]]</f>
        <v>0</v>
      </c>
      <c r="F100" s="7">
        <v>46119</v>
      </c>
      <c r="G100" s="3">
        <f>+Tabla2[[#This Row],[Meta Digital]]+Tabla2[[#This Row],[Meta MKPlace]]</f>
        <v>4804103.5955862394</v>
      </c>
      <c r="H100" s="3">
        <v>3984150.7665292555</v>
      </c>
      <c r="I100" s="3">
        <v>819952.82905698405</v>
      </c>
      <c r="J100" s="3">
        <v>3216605</v>
      </c>
      <c r="K100" s="3">
        <f>+Tabla22[[#This Row],[Web + APP 2026]]</f>
        <v>0</v>
      </c>
      <c r="L100" s="3">
        <v>21327.586206896551</v>
      </c>
      <c r="M100" s="3">
        <f>+Tabla22[[#This Row],[Afiliados 2026]]</f>
        <v>0</v>
      </c>
      <c r="N100" s="3">
        <v>89117</v>
      </c>
      <c r="O100" s="3">
        <f>+Tabla22[[#This Row],[TMK 2026]]</f>
        <v>0</v>
      </c>
      <c r="P100" s="3">
        <v>9523</v>
      </c>
      <c r="Q100" s="3">
        <f>+Tabla22[[#This Row],[WA 2026]]</f>
        <v>0</v>
      </c>
      <c r="R100" s="3">
        <v>65722</v>
      </c>
      <c r="S100" s="3">
        <f>+Tabla22[[#This Row],[Ent. en Tienda 2026]]</f>
        <v>0</v>
      </c>
      <c r="T100" s="3">
        <v>426938</v>
      </c>
      <c r="U100" s="3">
        <f>+Tabla22[[#This Row],[Meli Drop 2026]]</f>
        <v>0</v>
      </c>
      <c r="V100" s="3">
        <v>95196</v>
      </c>
      <c r="W100" s="3">
        <f>+Tabla22[[#This Row],[Meli Full 2026]]</f>
        <v>0</v>
      </c>
      <c r="X100" s="3">
        <v>19287</v>
      </c>
      <c r="Y100" s="3">
        <f>+Tabla22[[#This Row],[Amazon Drop 2026]]</f>
        <v>0</v>
      </c>
      <c r="Z100" s="3">
        <v>10450</v>
      </c>
      <c r="AA100" s="3">
        <f>+Tabla22[[#This Row],[Amazon Full 2026]]</f>
        <v>0</v>
      </c>
      <c r="AB100" s="3">
        <v>0</v>
      </c>
      <c r="AC100" s="3">
        <f>+Tabla22[[#This Row],[TikTok 2026]]</f>
        <v>0</v>
      </c>
      <c r="AD100" s="3">
        <v>0</v>
      </c>
      <c r="AE100" s="3">
        <f>+Tabla22[[#This Row],[Shein 2026]]</f>
        <v>0</v>
      </c>
      <c r="AF100" s="5">
        <f t="shared" si="45"/>
        <v>0</v>
      </c>
      <c r="AG100" s="4">
        <f t="shared" si="46"/>
        <v>0</v>
      </c>
      <c r="AH100" s="5">
        <f t="shared" si="47"/>
        <v>-4804103.5955862394</v>
      </c>
      <c r="AI100" s="17">
        <f t="shared" si="14"/>
        <v>-1</v>
      </c>
      <c r="AJ100" s="17">
        <f t="shared" si="15"/>
        <v>0.12800076920925405</v>
      </c>
      <c r="AK100" s="14" t="e">
        <f t="shared" si="16"/>
        <v>#DIV/0!</v>
      </c>
      <c r="AL100" s="14">
        <f t="shared" si="17"/>
        <v>-1</v>
      </c>
    </row>
    <row r="101" spans="1:38" x14ac:dyDescent="0.3">
      <c r="A101" s="7">
        <v>45756</v>
      </c>
      <c r="B101" s="3">
        <v>33570758</v>
      </c>
      <c r="C101" s="3">
        <f t="shared" si="18"/>
        <v>3343296.7586206896</v>
      </c>
      <c r="D101" s="4">
        <f>+Tabla22[[#This Row],[Share diario]]</f>
        <v>4.7608882718099717E-2</v>
      </c>
      <c r="E101" s="3">
        <f>+Tabla22[[#This Row],[Global 2026]]</f>
        <v>0</v>
      </c>
      <c r="F101" s="7">
        <v>46120</v>
      </c>
      <c r="G101" s="3">
        <f>+Tabla2[[#This Row],[Meta Digital]]+Tabla2[[#This Row],[Meta MKPlace]]</f>
        <v>5160398.1790658217</v>
      </c>
      <c r="H101" s="3">
        <v>4279633.8487809766</v>
      </c>
      <c r="I101" s="3">
        <v>880764.33028484473</v>
      </c>
      <c r="J101" s="3">
        <v>2654418</v>
      </c>
      <c r="K101" s="3">
        <f>+Tabla22[[#This Row],[Web + APP 2026]]</f>
        <v>0</v>
      </c>
      <c r="L101" s="3">
        <v>17257.758620689656</v>
      </c>
      <c r="M101" s="3">
        <f>+Tabla22[[#This Row],[Afiliados 2026]]</f>
        <v>0</v>
      </c>
      <c r="N101" s="3">
        <v>79591</v>
      </c>
      <c r="O101" s="3">
        <f>+Tabla22[[#This Row],[TMK 2026]]</f>
        <v>0</v>
      </c>
      <c r="P101" s="3">
        <v>3785</v>
      </c>
      <c r="Q101" s="3">
        <f>+Tabla22[[#This Row],[WA 2026]]</f>
        <v>0</v>
      </c>
      <c r="R101" s="3">
        <v>72783</v>
      </c>
      <c r="S101" s="3">
        <f>+Tabla22[[#This Row],[Ent. en Tienda 2026]]</f>
        <v>0</v>
      </c>
      <c r="T101" s="3">
        <v>402853</v>
      </c>
      <c r="U101" s="3">
        <f>+Tabla22[[#This Row],[Meli Drop 2026]]</f>
        <v>0</v>
      </c>
      <c r="V101" s="3">
        <v>84871</v>
      </c>
      <c r="W101" s="3">
        <f>+Tabla22[[#This Row],[Meli Full 2026]]</f>
        <v>0</v>
      </c>
      <c r="X101" s="3">
        <v>19957</v>
      </c>
      <c r="Y101" s="3">
        <f>+Tabla22[[#This Row],[Amazon Drop 2026]]</f>
        <v>0</v>
      </c>
      <c r="Z101" s="3">
        <v>7781</v>
      </c>
      <c r="AA101" s="3">
        <f>+Tabla22[[#This Row],[Amazon Full 2026]]</f>
        <v>0</v>
      </c>
      <c r="AB101" s="3">
        <v>0</v>
      </c>
      <c r="AC101" s="3">
        <f>+Tabla22[[#This Row],[TikTok 2026]]</f>
        <v>0</v>
      </c>
      <c r="AD101" s="3">
        <v>0</v>
      </c>
      <c r="AE101" s="3">
        <f>+Tabla22[[#This Row],[Shein 2026]]</f>
        <v>0</v>
      </c>
      <c r="AF101" s="5">
        <f t="shared" si="45"/>
        <v>0</v>
      </c>
      <c r="AG101" s="4">
        <f t="shared" si="46"/>
        <v>0</v>
      </c>
      <c r="AH101" s="5">
        <f t="shared" si="47"/>
        <v>-5160398.1790658217</v>
      </c>
      <c r="AI101" s="17">
        <f t="shared" si="14"/>
        <v>-1</v>
      </c>
      <c r="AJ101" s="17">
        <f t="shared" si="15"/>
        <v>9.9589552271077394E-2</v>
      </c>
      <c r="AK101" s="14" t="e">
        <f t="shared" si="16"/>
        <v>#DIV/0!</v>
      </c>
      <c r="AL101" s="14">
        <f t="shared" si="17"/>
        <v>-1</v>
      </c>
    </row>
    <row r="102" spans="1:38" x14ac:dyDescent="0.3">
      <c r="A102" s="63">
        <v>45757</v>
      </c>
      <c r="B102" s="3">
        <v>38193351</v>
      </c>
      <c r="C102" s="3">
        <f t="shared" si="18"/>
        <v>2855594.3793103448</v>
      </c>
      <c r="D102" s="4">
        <f>+Tabla22[[#This Row],[Share diario]]</f>
        <v>4.0253909403339526E-2</v>
      </c>
      <c r="E102" s="3">
        <f>+Tabla22[[#This Row],[Global 2026]]</f>
        <v>0</v>
      </c>
      <c r="F102" s="7">
        <v>46121</v>
      </c>
      <c r="G102" s="3">
        <f>+Tabla2[[#This Row],[Meta Digital]]+Tabla2[[#This Row],[Meta MKPlace]]</f>
        <v>4363181.5939738797</v>
      </c>
      <c r="H102" s="3">
        <v>3618484.2700120984</v>
      </c>
      <c r="I102" s="3">
        <v>744697.32396178122</v>
      </c>
      <c r="J102" s="3">
        <v>2192657</v>
      </c>
      <c r="K102" s="3">
        <f>+Tabla22[[#This Row],[Web + APP 2026]]</f>
        <v>0</v>
      </c>
      <c r="L102" s="3">
        <v>17516.379310344826</v>
      </c>
      <c r="M102" s="3">
        <f>+Tabla22[[#This Row],[Afiliados 2026]]</f>
        <v>0</v>
      </c>
      <c r="N102" s="3">
        <v>43419</v>
      </c>
      <c r="O102" s="3">
        <f>+Tabla22[[#This Row],[TMK 2026]]</f>
        <v>0</v>
      </c>
      <c r="P102" s="3">
        <v>11270</v>
      </c>
      <c r="Q102" s="3">
        <f>+Tabla22[[#This Row],[WA 2026]]</f>
        <v>0</v>
      </c>
      <c r="R102" s="3">
        <v>53292</v>
      </c>
      <c r="S102" s="3">
        <f>+Tabla22[[#This Row],[Ent. en Tienda 2026]]</f>
        <v>0</v>
      </c>
      <c r="T102" s="3">
        <v>414956</v>
      </c>
      <c r="U102" s="3">
        <f>+Tabla22[[#This Row],[Meli Drop 2026]]</f>
        <v>0</v>
      </c>
      <c r="V102" s="3">
        <v>99227</v>
      </c>
      <c r="W102" s="3">
        <f>+Tabla22[[#This Row],[Meli Full 2026]]</f>
        <v>0</v>
      </c>
      <c r="X102" s="3">
        <v>16763</v>
      </c>
      <c r="Y102" s="3">
        <f>+Tabla22[[#This Row],[Amazon Drop 2026]]</f>
        <v>0</v>
      </c>
      <c r="Z102" s="3">
        <v>6494</v>
      </c>
      <c r="AA102" s="3">
        <f>+Tabla22[[#This Row],[Amazon Full 2026]]</f>
        <v>0</v>
      </c>
      <c r="AB102" s="3">
        <v>0</v>
      </c>
      <c r="AC102" s="3">
        <f>+Tabla22[[#This Row],[TikTok 2026]]</f>
        <v>0</v>
      </c>
      <c r="AD102" s="3">
        <v>0</v>
      </c>
      <c r="AE102" s="3">
        <f>+Tabla22[[#This Row],[Shein 2026]]</f>
        <v>0</v>
      </c>
      <c r="AF102" s="5">
        <f t="shared" si="45"/>
        <v>0</v>
      </c>
      <c r="AG102" s="4">
        <f t="shared" si="46"/>
        <v>0</v>
      </c>
      <c r="AH102" s="5">
        <f t="shared" si="47"/>
        <v>-4363181.5939738797</v>
      </c>
      <c r="AI102" s="17">
        <f t="shared" si="14"/>
        <v>-1</v>
      </c>
      <c r="AJ102" s="17">
        <f t="shared" ref="AJ102:AJ118" si="48">+C102/B105</f>
        <v>6.662610932271204E-2</v>
      </c>
      <c r="AK102" s="14" t="e">
        <f t="shared" si="16"/>
        <v>#DIV/0!</v>
      </c>
      <c r="AL102" s="14">
        <f t="shared" ref="AL102:AL118" si="49">+E102/B105-1</f>
        <v>-1</v>
      </c>
    </row>
    <row r="103" spans="1:38" x14ac:dyDescent="0.3">
      <c r="A103" s="7">
        <v>45758</v>
      </c>
      <c r="B103" s="3">
        <v>38630835</v>
      </c>
      <c r="C103" s="3">
        <f t="shared" si="18"/>
        <v>2228457.1034482759</v>
      </c>
      <c r="D103" s="4">
        <f>+Tabla22[[#This Row],[Share diario]]</f>
        <v>3.4381882834973787E-2</v>
      </c>
      <c r="E103" s="3">
        <f>+Tabla22[[#This Row],[Global 2026]]</f>
        <v>0</v>
      </c>
      <c r="F103" s="7">
        <v>46122</v>
      </c>
      <c r="G103" s="3">
        <f>+Tabla2[[#This Row],[Meta Digital]]+Tabla2[[#This Row],[Meta MKPlace]]</f>
        <v>3726703.8301447234</v>
      </c>
      <c r="H103" s="3">
        <v>3090638.9976977082</v>
      </c>
      <c r="I103" s="3">
        <v>636064.8324470151</v>
      </c>
      <c r="J103" s="3">
        <v>1604794</v>
      </c>
      <c r="K103" s="3">
        <f>+Tabla22[[#This Row],[Web + APP 2026]]</f>
        <v>0</v>
      </c>
      <c r="L103" s="3">
        <v>16868.103448275862</v>
      </c>
      <c r="M103" s="3">
        <f>+Tabla22[[#This Row],[Afiliados 2026]]</f>
        <v>0</v>
      </c>
      <c r="N103" s="3">
        <v>51502</v>
      </c>
      <c r="O103" s="3">
        <f>+Tabla22[[#This Row],[TMK 2026]]</f>
        <v>0</v>
      </c>
      <c r="P103" s="3">
        <v>8066</v>
      </c>
      <c r="Q103" s="3">
        <f>+Tabla22[[#This Row],[WA 2026]]</f>
        <v>0</v>
      </c>
      <c r="R103" s="3">
        <v>71162</v>
      </c>
      <c r="S103" s="3">
        <f>+Tabla22[[#This Row],[Ent. en Tienda 2026]]</f>
        <v>0</v>
      </c>
      <c r="T103" s="3">
        <v>379811</v>
      </c>
      <c r="U103" s="3">
        <f>+Tabla22[[#This Row],[Meli Drop 2026]]</f>
        <v>0</v>
      </c>
      <c r="V103" s="3">
        <v>81052</v>
      </c>
      <c r="W103" s="3">
        <f>+Tabla22[[#This Row],[Meli Full 2026]]</f>
        <v>0</v>
      </c>
      <c r="X103" s="3">
        <v>5276</v>
      </c>
      <c r="Y103" s="3">
        <f>+Tabla22[[#This Row],[Amazon Drop 2026]]</f>
        <v>0</v>
      </c>
      <c r="Z103" s="3">
        <v>9926</v>
      </c>
      <c r="AA103" s="3">
        <f>+Tabla22[[#This Row],[Amazon Full 2026]]</f>
        <v>0</v>
      </c>
      <c r="AB103" s="3">
        <v>0</v>
      </c>
      <c r="AC103" s="3">
        <f>+Tabla22[[#This Row],[TikTok 2026]]</f>
        <v>0</v>
      </c>
      <c r="AD103" s="3">
        <v>0</v>
      </c>
      <c r="AE103" s="3">
        <f>+Tabla22[[#This Row],[Shein 2026]]</f>
        <v>0</v>
      </c>
      <c r="AF103" s="5">
        <f t="shared" si="45"/>
        <v>0</v>
      </c>
      <c r="AG103" s="4">
        <f t="shared" si="46"/>
        <v>0</v>
      </c>
      <c r="AH103" s="5">
        <f t="shared" si="47"/>
        <v>-3726703.8301447234</v>
      </c>
      <c r="AI103" s="17">
        <f t="shared" si="14"/>
        <v>-1</v>
      </c>
      <c r="AJ103" s="17">
        <f t="shared" si="48"/>
        <v>6.6954933563361366E-2</v>
      </c>
      <c r="AK103" s="14" t="e">
        <f t="shared" si="16"/>
        <v>#DIV/0!</v>
      </c>
      <c r="AL103" s="14">
        <f t="shared" si="49"/>
        <v>-1</v>
      </c>
    </row>
    <row r="104" spans="1:38" x14ac:dyDescent="0.3">
      <c r="A104" s="63">
        <v>45759</v>
      </c>
      <c r="B104" s="3">
        <v>47070678</v>
      </c>
      <c r="C104" s="3">
        <f t="shared" si="18"/>
        <v>1943897.9655172413</v>
      </c>
      <c r="D104" s="4">
        <f>+Tabla22[[#This Row],[Share diario]]</f>
        <v>2.683103440343227E-2</v>
      </c>
      <c r="E104" s="3">
        <f>+Tabla22[[#This Row],[Global 2026]]</f>
        <v>0</v>
      </c>
      <c r="F104" s="7">
        <v>46123</v>
      </c>
      <c r="G104" s="3">
        <f>+Tabla2[[#This Row],[Meta Digital]]+Tabla2[[#This Row],[Meta MKPlace]]</f>
        <v>2908256.0474641356</v>
      </c>
      <c r="H104" s="3">
        <v>2411881.9110006387</v>
      </c>
      <c r="I104" s="3">
        <v>496374.13646349701</v>
      </c>
      <c r="J104" s="3">
        <v>1381331</v>
      </c>
      <c r="K104" s="3">
        <f>+Tabla22[[#This Row],[Web + APP 2026]]</f>
        <v>0</v>
      </c>
      <c r="L104" s="3">
        <v>16293.96551724138</v>
      </c>
      <c r="M104" s="3">
        <f>+Tabla22[[#This Row],[Afiliados 2026]]</f>
        <v>0</v>
      </c>
      <c r="N104" s="3">
        <v>6610</v>
      </c>
      <c r="O104" s="3">
        <f>+Tabla22[[#This Row],[TMK 2026]]</f>
        <v>0</v>
      </c>
      <c r="P104" s="3">
        <v>11834</v>
      </c>
      <c r="Q104" s="3">
        <f>+Tabla22[[#This Row],[WA 2026]]</f>
        <v>0</v>
      </c>
      <c r="R104" s="3">
        <v>53467</v>
      </c>
      <c r="S104" s="3">
        <f>+Tabla22[[#This Row],[Ent. en Tienda 2026]]</f>
        <v>0</v>
      </c>
      <c r="T104" s="3">
        <v>372193</v>
      </c>
      <c r="U104" s="3">
        <f>+Tabla22[[#This Row],[Meli Drop 2026]]</f>
        <v>0</v>
      </c>
      <c r="V104" s="3">
        <v>72801</v>
      </c>
      <c r="W104" s="3">
        <f>+Tabla22[[#This Row],[Meli Full 2026]]</f>
        <v>0</v>
      </c>
      <c r="X104" s="3">
        <v>17561</v>
      </c>
      <c r="Y104" s="3">
        <f>+Tabla22[[#This Row],[Amazon Drop 2026]]</f>
        <v>0</v>
      </c>
      <c r="Z104" s="3">
        <v>11807</v>
      </c>
      <c r="AA104" s="3">
        <f>+Tabla22[[#This Row],[Amazon Full 2026]]</f>
        <v>0</v>
      </c>
      <c r="AB104" s="3">
        <v>0</v>
      </c>
      <c r="AC104" s="3">
        <f>+Tabla22[[#This Row],[TikTok 2026]]</f>
        <v>0</v>
      </c>
      <c r="AD104" s="3">
        <v>0</v>
      </c>
      <c r="AE104" s="3">
        <f>+Tabla22[[#This Row],[Shein 2026]]</f>
        <v>0</v>
      </c>
      <c r="AF104" s="5">
        <f t="shared" si="45"/>
        <v>0</v>
      </c>
      <c r="AG104" s="4">
        <f t="shared" si="46"/>
        <v>0</v>
      </c>
      <c r="AH104" s="5">
        <f t="shared" si="47"/>
        <v>-2908256.0474641356</v>
      </c>
      <c r="AI104" s="17">
        <f t="shared" si="14"/>
        <v>-1</v>
      </c>
      <c r="AJ104" s="17">
        <f t="shared" si="48"/>
        <v>5.1097112202300753E-2</v>
      </c>
      <c r="AK104" s="14" t="e">
        <f t="shared" si="16"/>
        <v>#DIV/0!</v>
      </c>
      <c r="AL104" s="14">
        <f t="shared" si="49"/>
        <v>-1</v>
      </c>
    </row>
    <row r="105" spans="1:38" x14ac:dyDescent="0.3">
      <c r="A105" s="7">
        <v>45760</v>
      </c>
      <c r="B105" s="3">
        <v>42859990</v>
      </c>
      <c r="C105" s="3">
        <f t="shared" si="18"/>
        <v>2131055.4482758623</v>
      </c>
      <c r="D105" s="4">
        <f>+Tabla22[[#This Row],[Share diario]]</f>
        <v>2.3404889916367959E-2</v>
      </c>
      <c r="E105" s="3">
        <f>+Tabla22[[#This Row],[Global 2026]]</f>
        <v>0</v>
      </c>
      <c r="F105" s="7">
        <v>46124</v>
      </c>
      <c r="G105" s="3">
        <f>+Tabla2[[#This Row],[Meta Digital]]+Tabla2[[#This Row],[Meta MKPlace]]</f>
        <v>2536891.1096026246</v>
      </c>
      <c r="H105" s="3">
        <v>2103900.6461498174</v>
      </c>
      <c r="I105" s="3">
        <v>432990.46345280722</v>
      </c>
      <c r="J105" s="3">
        <v>1569406</v>
      </c>
      <c r="K105" s="3">
        <f>+Tabla22[[#This Row],[Web + APP 2026]]</f>
        <v>0</v>
      </c>
      <c r="L105" s="3">
        <v>19453.448275862065</v>
      </c>
      <c r="M105" s="3">
        <f>+Tabla22[[#This Row],[Afiliados 2026]]</f>
        <v>0</v>
      </c>
      <c r="N105" s="3">
        <v>1820</v>
      </c>
      <c r="O105" s="3">
        <f>+Tabla22[[#This Row],[TMK 2026]]</f>
        <v>0</v>
      </c>
      <c r="P105" s="3">
        <v>11036</v>
      </c>
      <c r="Q105" s="3">
        <f>+Tabla22[[#This Row],[WA 2026]]</f>
        <v>0</v>
      </c>
      <c r="R105" s="3">
        <v>72440</v>
      </c>
      <c r="S105" s="3">
        <f>+Tabla22[[#This Row],[Ent. en Tienda 2026]]</f>
        <v>0</v>
      </c>
      <c r="T105" s="3">
        <v>333556</v>
      </c>
      <c r="U105" s="3">
        <f>+Tabla22[[#This Row],[Meli Drop 2026]]</f>
        <v>0</v>
      </c>
      <c r="V105" s="3">
        <v>96341</v>
      </c>
      <c r="W105" s="3">
        <f>+Tabla22[[#This Row],[Meli Full 2026]]</f>
        <v>0</v>
      </c>
      <c r="X105" s="3">
        <v>15131</v>
      </c>
      <c r="Y105" s="3">
        <f>+Tabla22[[#This Row],[Amazon Drop 2026]]</f>
        <v>0</v>
      </c>
      <c r="Z105" s="3">
        <v>11872</v>
      </c>
      <c r="AA105" s="3">
        <f>+Tabla22[[#This Row],[Amazon Full 2026]]</f>
        <v>0</v>
      </c>
      <c r="AB105" s="3">
        <v>0</v>
      </c>
      <c r="AC105" s="3">
        <f>+Tabla22[[#This Row],[TikTok 2026]]</f>
        <v>0</v>
      </c>
      <c r="AD105" s="3">
        <v>0</v>
      </c>
      <c r="AE105" s="3">
        <f>+Tabla22[[#This Row],[Shein 2026]]</f>
        <v>0</v>
      </c>
      <c r="AF105" s="5">
        <f t="shared" si="45"/>
        <v>0</v>
      </c>
      <c r="AG105" s="4">
        <f t="shared" si="46"/>
        <v>0</v>
      </c>
      <c r="AH105" s="5">
        <f t="shared" si="47"/>
        <v>-2536891.1096026246</v>
      </c>
      <c r="AI105" s="17">
        <f t="shared" si="14"/>
        <v>-1</v>
      </c>
      <c r="AJ105" s="17">
        <f t="shared" si="48"/>
        <v>5.182121160569092E-2</v>
      </c>
      <c r="AK105" s="14" t="e">
        <f t="shared" si="16"/>
        <v>#DIV/0!</v>
      </c>
      <c r="AL105" s="14">
        <f t="shared" si="49"/>
        <v>-1</v>
      </c>
    </row>
    <row r="106" spans="1:38" x14ac:dyDescent="0.3">
      <c r="A106" s="63">
        <v>45761</v>
      </c>
      <c r="B106" s="3">
        <v>33282941</v>
      </c>
      <c r="C106" s="3">
        <f t="shared" si="18"/>
        <v>3391252.4137931033</v>
      </c>
      <c r="D106" s="4">
        <f>+Tabla22[[#This Row],[Share diario]]</f>
        <v>2.5658300516458021E-2</v>
      </c>
      <c r="E106" s="3">
        <f>+Tabla22[[#This Row],[Global 2026]]</f>
        <v>0</v>
      </c>
      <c r="F106" s="7">
        <v>46125</v>
      </c>
      <c r="G106" s="3">
        <f>+Tabla2[[#This Row],[Meta Digital]]+Tabla2[[#This Row],[Meta MKPlace]]</f>
        <v>2781141.6631442122</v>
      </c>
      <c r="H106" s="3">
        <v>2306463.1035897387</v>
      </c>
      <c r="I106" s="3">
        <v>474678.55955447338</v>
      </c>
      <c r="J106" s="3">
        <v>2602332</v>
      </c>
      <c r="K106" s="3">
        <f>+Tabla22[[#This Row],[Web + APP 2026]]</f>
        <v>0</v>
      </c>
      <c r="L106" s="3">
        <v>16797.413793103446</v>
      </c>
      <c r="M106" s="3">
        <f>+Tabla22[[#This Row],[Afiliados 2026]]</f>
        <v>0</v>
      </c>
      <c r="N106" s="3">
        <v>67991</v>
      </c>
      <c r="O106" s="3">
        <f>+Tabla22[[#This Row],[TMK 2026]]</f>
        <v>0</v>
      </c>
      <c r="P106" s="3">
        <v>21714</v>
      </c>
      <c r="Q106" s="3">
        <f>+Tabla22[[#This Row],[WA 2026]]</f>
        <v>0</v>
      </c>
      <c r="R106" s="3">
        <v>83069</v>
      </c>
      <c r="S106" s="3">
        <f>+Tabla22[[#This Row],[Ent. en Tienda 2026]]</f>
        <v>0</v>
      </c>
      <c r="T106" s="3">
        <v>470529</v>
      </c>
      <c r="U106" s="3">
        <f>+Tabla22[[#This Row],[Meli Drop 2026]]</f>
        <v>0</v>
      </c>
      <c r="V106" s="3">
        <v>93695</v>
      </c>
      <c r="W106" s="3">
        <f>+Tabla22[[#This Row],[Meli Full 2026]]</f>
        <v>0</v>
      </c>
      <c r="X106" s="3">
        <v>26519</v>
      </c>
      <c r="Y106" s="3">
        <f>+Tabla22[[#This Row],[Amazon Drop 2026]]</f>
        <v>0</v>
      </c>
      <c r="Z106" s="3">
        <v>8606</v>
      </c>
      <c r="AA106" s="3">
        <f>+Tabla22[[#This Row],[Amazon Full 2026]]</f>
        <v>0</v>
      </c>
      <c r="AB106" s="3">
        <v>0</v>
      </c>
      <c r="AC106" s="3">
        <f>+Tabla22[[#This Row],[TikTok 2026]]</f>
        <v>0</v>
      </c>
      <c r="AD106" s="3">
        <v>0</v>
      </c>
      <c r="AE106" s="3">
        <f>+Tabla22[[#This Row],[Shein 2026]]</f>
        <v>0</v>
      </c>
      <c r="AF106" s="5">
        <f t="shared" si="45"/>
        <v>0</v>
      </c>
      <c r="AG106" s="4">
        <f t="shared" si="46"/>
        <v>0</v>
      </c>
      <c r="AH106" s="5">
        <f t="shared" si="47"/>
        <v>-2781141.6631442122</v>
      </c>
      <c r="AI106" s="17">
        <f t="shared" si="14"/>
        <v>-1</v>
      </c>
      <c r="AJ106" s="17">
        <f t="shared" si="48"/>
        <v>9.4189397079498999E-2</v>
      </c>
      <c r="AK106" s="14" t="e">
        <f t="shared" si="16"/>
        <v>#DIV/0!</v>
      </c>
      <c r="AL106" s="14">
        <f t="shared" si="49"/>
        <v>-1</v>
      </c>
    </row>
    <row r="107" spans="1:38" x14ac:dyDescent="0.3">
      <c r="A107" s="7">
        <v>45762</v>
      </c>
      <c r="B107" s="3">
        <v>38043206</v>
      </c>
      <c r="C107" s="3">
        <f t="shared" si="18"/>
        <v>3026574.2758620689</v>
      </c>
      <c r="D107" s="4">
        <f>+Tabla22[[#This Row],[Share diario]]</f>
        <v>4.0831304333571371E-2</v>
      </c>
      <c r="E107" s="3">
        <f>+Tabla22[[#This Row],[Global 2026]]</f>
        <v>0</v>
      </c>
      <c r="F107" s="7">
        <v>46126</v>
      </c>
      <c r="G107" s="3">
        <f>+Tabla2[[#This Row],[Meta Digital]]+Tabla2[[#This Row],[Meta MKPlace]]</f>
        <v>4425766.2961651264</v>
      </c>
      <c r="H107" s="3">
        <v>3670387.165994056</v>
      </c>
      <c r="I107" s="3">
        <v>755379.13017107034</v>
      </c>
      <c r="J107" s="3">
        <v>2444873</v>
      </c>
      <c r="K107" s="3">
        <f>+Tabla22[[#This Row],[Web + APP 2026]]</f>
        <v>0</v>
      </c>
      <c r="L107" s="3">
        <v>19573.275862068964</v>
      </c>
      <c r="M107" s="3">
        <f>+Tabla22[[#This Row],[Afiliados 2026]]</f>
        <v>0</v>
      </c>
      <c r="N107" s="3">
        <v>50256</v>
      </c>
      <c r="O107" s="3">
        <f>+Tabla22[[#This Row],[TMK 2026]]</f>
        <v>0</v>
      </c>
      <c r="P107" s="3">
        <v>13006</v>
      </c>
      <c r="Q107" s="3">
        <f>+Tabla22[[#This Row],[WA 2026]]</f>
        <v>0</v>
      </c>
      <c r="R107" s="3">
        <v>55749</v>
      </c>
      <c r="S107" s="3">
        <f>+Tabla22[[#This Row],[Ent. en Tienda 2026]]</f>
        <v>0</v>
      </c>
      <c r="T107" s="3">
        <v>297114</v>
      </c>
      <c r="U107" s="3">
        <f>+Tabla22[[#This Row],[Meli Drop 2026]]</f>
        <v>0</v>
      </c>
      <c r="V107" s="3">
        <v>118730</v>
      </c>
      <c r="W107" s="3">
        <f>+Tabla22[[#This Row],[Meli Full 2026]]</f>
        <v>0</v>
      </c>
      <c r="X107" s="3">
        <v>16825</v>
      </c>
      <c r="Y107" s="3">
        <f>+Tabla22[[#This Row],[Amazon Drop 2026]]</f>
        <v>0</v>
      </c>
      <c r="Z107" s="3">
        <v>10448</v>
      </c>
      <c r="AA107" s="3">
        <f>+Tabla22[[#This Row],[Amazon Full 2026]]</f>
        <v>0</v>
      </c>
      <c r="AB107" s="3">
        <v>0</v>
      </c>
      <c r="AC107" s="3">
        <f>+Tabla22[[#This Row],[TikTok 2026]]</f>
        <v>0</v>
      </c>
      <c r="AD107" s="3">
        <v>0</v>
      </c>
      <c r="AE107" s="3">
        <f>+Tabla22[[#This Row],[Shein 2026]]</f>
        <v>0</v>
      </c>
      <c r="AF107" s="5">
        <f t="shared" si="45"/>
        <v>0</v>
      </c>
      <c r="AG107" s="4">
        <f t="shared" si="46"/>
        <v>0</v>
      </c>
      <c r="AH107" s="5">
        <f t="shared" si="47"/>
        <v>-4425766.2961651264</v>
      </c>
      <c r="AI107" s="17">
        <f t="shared" si="14"/>
        <v>-1</v>
      </c>
      <c r="AJ107" s="17">
        <f t="shared" si="48"/>
        <v>0.19475834443974993</v>
      </c>
      <c r="AK107" s="14" t="e">
        <f t="shared" si="16"/>
        <v>#DIV/0!</v>
      </c>
      <c r="AL107" s="14">
        <f t="shared" si="49"/>
        <v>-1</v>
      </c>
    </row>
    <row r="108" spans="1:38" x14ac:dyDescent="0.3">
      <c r="A108" s="63">
        <v>45763</v>
      </c>
      <c r="B108" s="3">
        <v>41123227</v>
      </c>
      <c r="C108" s="3">
        <f t="shared" si="18"/>
        <v>2418990.2758620689</v>
      </c>
      <c r="D108" s="4">
        <f>+Tabla22[[#This Row],[Share diario]]</f>
        <v>3.6440512314345808E-2</v>
      </c>
      <c r="E108" s="3">
        <f>+Tabla22[[#This Row],[Global 2026]]</f>
        <v>0</v>
      </c>
      <c r="F108" s="7">
        <v>46127</v>
      </c>
      <c r="G108" s="3">
        <f>+Tabla2[[#This Row],[Meta Digital]]+Tabla2[[#This Row],[Meta MKPlace]]</f>
        <v>3949841.765971221</v>
      </c>
      <c r="H108" s="3">
        <v>3275692.2881558235</v>
      </c>
      <c r="I108" s="3">
        <v>674149.47781539743</v>
      </c>
      <c r="J108" s="3">
        <v>1792566</v>
      </c>
      <c r="K108" s="3">
        <f>+Tabla22[[#This Row],[Web + APP 2026]]</f>
        <v>0</v>
      </c>
      <c r="L108" s="3">
        <v>19598.275862068967</v>
      </c>
      <c r="M108" s="3">
        <f>+Tabla22[[#This Row],[Afiliados 2026]]</f>
        <v>0</v>
      </c>
      <c r="N108" s="3">
        <v>46001</v>
      </c>
      <c r="O108" s="3">
        <f>+Tabla22[[#This Row],[TMK 2026]]</f>
        <v>0</v>
      </c>
      <c r="P108" s="3">
        <v>12990</v>
      </c>
      <c r="Q108" s="3">
        <f>+Tabla22[[#This Row],[WA 2026]]</f>
        <v>0</v>
      </c>
      <c r="R108" s="3">
        <v>70129</v>
      </c>
      <c r="S108" s="3">
        <f>+Tabla22[[#This Row],[Ent. en Tienda 2026]]</f>
        <v>0</v>
      </c>
      <c r="T108" s="3">
        <v>329344</v>
      </c>
      <c r="U108" s="3">
        <f>+Tabla22[[#This Row],[Meli Drop 2026]]</f>
        <v>0</v>
      </c>
      <c r="V108" s="3">
        <v>114466</v>
      </c>
      <c r="W108" s="3">
        <f>+Tabla22[[#This Row],[Meli Full 2026]]</f>
        <v>0</v>
      </c>
      <c r="X108" s="3">
        <v>22862</v>
      </c>
      <c r="Y108" s="3">
        <f>+Tabla22[[#This Row],[Amazon Drop 2026]]</f>
        <v>0</v>
      </c>
      <c r="Z108" s="3">
        <v>11034</v>
      </c>
      <c r="AA108" s="3">
        <f>+Tabla22[[#This Row],[Amazon Full 2026]]</f>
        <v>0</v>
      </c>
      <c r="AB108" s="3">
        <v>0</v>
      </c>
      <c r="AC108" s="3">
        <f>+Tabla22[[#This Row],[TikTok 2026]]</f>
        <v>0</v>
      </c>
      <c r="AD108" s="3">
        <v>0</v>
      </c>
      <c r="AE108" s="3">
        <f>+Tabla22[[#This Row],[Shein 2026]]</f>
        <v>0</v>
      </c>
      <c r="AF108" s="5">
        <f t="shared" si="45"/>
        <v>0</v>
      </c>
      <c r="AG108" s="4">
        <f t="shared" si="46"/>
        <v>0</v>
      </c>
      <c r="AH108" s="5">
        <f t="shared" si="47"/>
        <v>-3949841.765971221</v>
      </c>
      <c r="AI108" s="17">
        <f t="shared" si="14"/>
        <v>-1</v>
      </c>
      <c r="AJ108" s="17">
        <f t="shared" si="48"/>
        <v>8.8033181104417588E-2</v>
      </c>
      <c r="AK108" s="14" t="e">
        <f t="shared" si="16"/>
        <v>#DIV/0!</v>
      </c>
      <c r="AL108" s="14">
        <f t="shared" si="49"/>
        <v>-1</v>
      </c>
    </row>
    <row r="109" spans="1:38" x14ac:dyDescent="0.3">
      <c r="A109" s="7">
        <v>45764</v>
      </c>
      <c r="B109" s="3">
        <v>36004609</v>
      </c>
      <c r="C109" s="3">
        <f t="shared" si="18"/>
        <v>1877662.6896551724</v>
      </c>
      <c r="D109" s="4">
        <f>+Tabla22[[#This Row],[Share diario]]</f>
        <v>2.912508892937268E-2</v>
      </c>
      <c r="E109" s="3">
        <f>+Tabla22[[#This Row],[Global 2026]]</f>
        <v>0</v>
      </c>
      <c r="F109" s="7">
        <v>46128</v>
      </c>
      <c r="G109" s="3">
        <f>+Tabla2[[#This Row],[Meta Digital]]+Tabla2[[#This Row],[Meta MKPlace]]</f>
        <v>3156912.0570671507</v>
      </c>
      <c r="H109" s="3">
        <v>2618097.911873756</v>
      </c>
      <c r="I109" s="3">
        <v>538814.14519339462</v>
      </c>
      <c r="J109" s="3">
        <v>1396188</v>
      </c>
      <c r="K109" s="3">
        <f>+Tabla22[[#This Row],[Web + APP 2026]]</f>
        <v>0</v>
      </c>
      <c r="L109" s="3">
        <v>18720.689655172413</v>
      </c>
      <c r="M109" s="3">
        <f>+Tabla22[[#This Row],[Afiliados 2026]]</f>
        <v>0</v>
      </c>
      <c r="N109" s="3">
        <v>28846</v>
      </c>
      <c r="O109" s="3">
        <f>+Tabla22[[#This Row],[TMK 2026]]</f>
        <v>0</v>
      </c>
      <c r="P109" s="3">
        <v>77</v>
      </c>
      <c r="Q109" s="3">
        <f>+Tabla22[[#This Row],[WA 2026]]</f>
        <v>0</v>
      </c>
      <c r="R109" s="3">
        <v>58156</v>
      </c>
      <c r="S109" s="3">
        <f>+Tabla22[[#This Row],[Ent. en Tienda 2026]]</f>
        <v>0</v>
      </c>
      <c r="T109" s="3">
        <v>252134</v>
      </c>
      <c r="U109" s="3">
        <f>+Tabla22[[#This Row],[Meli Drop 2026]]</f>
        <v>0</v>
      </c>
      <c r="V109" s="3">
        <v>102799</v>
      </c>
      <c r="W109" s="3">
        <f>+Tabla22[[#This Row],[Meli Full 2026]]</f>
        <v>0</v>
      </c>
      <c r="X109" s="3">
        <v>13428</v>
      </c>
      <c r="Y109" s="3">
        <f>+Tabla22[[#This Row],[Amazon Drop 2026]]</f>
        <v>0</v>
      </c>
      <c r="Z109" s="3">
        <v>7314</v>
      </c>
      <c r="AA109" s="3">
        <f>+Tabla22[[#This Row],[Amazon Full 2026]]</f>
        <v>0</v>
      </c>
      <c r="AB109" s="3">
        <v>0</v>
      </c>
      <c r="AC109" s="3">
        <f>+Tabla22[[#This Row],[TikTok 2026]]</f>
        <v>0</v>
      </c>
      <c r="AD109" s="3">
        <v>0</v>
      </c>
      <c r="AE109" s="3">
        <f>+Tabla22[[#This Row],[Shein 2026]]</f>
        <v>0</v>
      </c>
      <c r="AF109" s="5">
        <f t="shared" si="45"/>
        <v>0</v>
      </c>
      <c r="AG109" s="4">
        <f t="shared" si="46"/>
        <v>0</v>
      </c>
      <c r="AH109" s="5">
        <f t="shared" si="47"/>
        <v>-3156912.0570671507</v>
      </c>
      <c r="AI109" s="17">
        <f t="shared" si="14"/>
        <v>-1</v>
      </c>
      <c r="AJ109" s="17">
        <f t="shared" si="48"/>
        <v>6.5358346766637154E-2</v>
      </c>
      <c r="AK109" s="14" t="e">
        <f t="shared" si="16"/>
        <v>#DIV/0!</v>
      </c>
      <c r="AL109" s="14">
        <f t="shared" si="49"/>
        <v>-1</v>
      </c>
    </row>
    <row r="110" spans="1:38" x14ac:dyDescent="0.3">
      <c r="A110" s="63">
        <v>45765</v>
      </c>
      <c r="B110" s="3">
        <v>15540152</v>
      </c>
      <c r="C110" s="3">
        <f t="shared" si="18"/>
        <v>1515798.5172413792</v>
      </c>
      <c r="D110" s="4">
        <f>+Tabla22[[#This Row],[Share diario]]</f>
        <v>2.2607404982677267E-2</v>
      </c>
      <c r="E110" s="3">
        <f>+Tabla22[[#This Row],[Global 2026]]</f>
        <v>0</v>
      </c>
      <c r="F110" s="7">
        <v>46129</v>
      </c>
      <c r="G110" s="3">
        <f>+Tabla2[[#This Row],[Meta Digital]]+Tabla2[[#This Row],[Meta MKPlace]]</f>
        <v>2450450.5219497387</v>
      </c>
      <c r="H110" s="3">
        <v>2032213.5297702092</v>
      </c>
      <c r="I110" s="3">
        <v>418236.99217952945</v>
      </c>
      <c r="J110" s="3">
        <v>1047803</v>
      </c>
      <c r="K110" s="3">
        <f>+Tabla22[[#This Row],[Web + APP 2026]]</f>
        <v>0</v>
      </c>
      <c r="L110" s="3">
        <v>13265.517241379313</v>
      </c>
      <c r="M110" s="3">
        <f>+Tabla22[[#This Row],[Afiliados 2026]]</f>
        <v>0</v>
      </c>
      <c r="N110" s="3">
        <v>10416</v>
      </c>
      <c r="O110" s="3">
        <f>+Tabla22[[#This Row],[TMK 2026]]</f>
        <v>0</v>
      </c>
      <c r="P110" s="3">
        <v>1772</v>
      </c>
      <c r="Q110" s="3">
        <f>+Tabla22[[#This Row],[WA 2026]]</f>
        <v>0</v>
      </c>
      <c r="R110" s="3">
        <v>83897</v>
      </c>
      <c r="S110" s="3">
        <f>+Tabla22[[#This Row],[Ent. en Tienda 2026]]</f>
        <v>0</v>
      </c>
      <c r="T110" s="3">
        <v>262910</v>
      </c>
      <c r="U110" s="3">
        <f>+Tabla22[[#This Row],[Meli Drop 2026]]</f>
        <v>0</v>
      </c>
      <c r="V110" s="3">
        <v>73506</v>
      </c>
      <c r="W110" s="3">
        <f>+Tabla22[[#This Row],[Meli Full 2026]]</f>
        <v>0</v>
      </c>
      <c r="X110" s="3">
        <v>15139</v>
      </c>
      <c r="Y110" s="3">
        <f>+Tabla22[[#This Row],[Amazon Drop 2026]]</f>
        <v>0</v>
      </c>
      <c r="Z110" s="3">
        <v>7090</v>
      </c>
      <c r="AA110" s="3">
        <f>+Tabla22[[#This Row],[Amazon Full 2026]]</f>
        <v>0</v>
      </c>
      <c r="AB110" s="3">
        <v>0</v>
      </c>
      <c r="AC110" s="3">
        <f>+Tabla22[[#This Row],[TikTok 2026]]</f>
        <v>0</v>
      </c>
      <c r="AD110" s="3">
        <v>0</v>
      </c>
      <c r="AE110" s="3">
        <f>+Tabla22[[#This Row],[Shein 2026]]</f>
        <v>0</v>
      </c>
      <c r="AF110" s="5">
        <f t="shared" si="45"/>
        <v>0</v>
      </c>
      <c r="AG110" s="4">
        <f t="shared" si="46"/>
        <v>0</v>
      </c>
      <c r="AH110" s="5">
        <f t="shared" si="47"/>
        <v>-2450450.5219497387</v>
      </c>
      <c r="AI110" s="17">
        <f t="shared" si="14"/>
        <v>-1</v>
      </c>
      <c r="AJ110" s="17">
        <f t="shared" si="48"/>
        <v>6.2612020802733287E-2</v>
      </c>
      <c r="AK110" s="14" t="e">
        <f t="shared" si="16"/>
        <v>#DIV/0!</v>
      </c>
      <c r="AL110" s="14">
        <f t="shared" si="49"/>
        <v>-1</v>
      </c>
    </row>
    <row r="111" spans="1:38" x14ac:dyDescent="0.3">
      <c r="A111" s="7">
        <v>45766</v>
      </c>
      <c r="B111" s="3">
        <v>27478165</v>
      </c>
      <c r="C111" s="3">
        <f t="shared" si="18"/>
        <v>1361861.448275862</v>
      </c>
      <c r="D111" s="4">
        <f>+Tabla22[[#This Row],[Share diario]]</f>
        <v>1.8250493627111931E-2</v>
      </c>
      <c r="E111" s="3">
        <f>+Tabla22[[#This Row],[Global 2026]]</f>
        <v>0</v>
      </c>
      <c r="F111" s="7">
        <v>46130</v>
      </c>
      <c r="G111" s="3">
        <f>+Tabla2[[#This Row],[Meta Digital]]+Tabla2[[#This Row],[Meta MKPlace]]</f>
        <v>1978198.3676881364</v>
      </c>
      <c r="H111" s="3">
        <v>1640564.2355865657</v>
      </c>
      <c r="I111" s="3">
        <v>337634.13210157072</v>
      </c>
      <c r="J111" s="3">
        <v>1029021</v>
      </c>
      <c r="K111" s="3">
        <f>+Tabla22[[#This Row],[Web + APP 2026]]</f>
        <v>0</v>
      </c>
      <c r="L111" s="3">
        <v>15128.448275862071</v>
      </c>
      <c r="M111" s="3">
        <f>+Tabla22[[#This Row],[Afiliados 2026]]</f>
        <v>0</v>
      </c>
      <c r="N111" s="3">
        <v>1459</v>
      </c>
      <c r="O111" s="3">
        <f>+Tabla22[[#This Row],[TMK 2026]]</f>
        <v>0</v>
      </c>
      <c r="P111" s="3">
        <v>1022</v>
      </c>
      <c r="Q111" s="3">
        <f>+Tabla22[[#This Row],[WA 2026]]</f>
        <v>0</v>
      </c>
      <c r="R111" s="3">
        <v>56811</v>
      </c>
      <c r="S111" s="3">
        <f>+Tabla22[[#This Row],[Ent. en Tienda 2026]]</f>
        <v>0</v>
      </c>
      <c r="T111" s="3">
        <v>164386</v>
      </c>
      <c r="U111" s="3">
        <f>+Tabla22[[#This Row],[Meli Drop 2026]]</f>
        <v>0</v>
      </c>
      <c r="V111" s="3">
        <v>71020</v>
      </c>
      <c r="W111" s="3">
        <f>+Tabla22[[#This Row],[Meli Full 2026]]</f>
        <v>0</v>
      </c>
      <c r="X111" s="3">
        <v>15099</v>
      </c>
      <c r="Y111" s="3">
        <f>+Tabla22[[#This Row],[Amazon Drop 2026]]</f>
        <v>0</v>
      </c>
      <c r="Z111" s="3">
        <v>7915</v>
      </c>
      <c r="AA111" s="3">
        <f>+Tabla22[[#This Row],[Amazon Full 2026]]</f>
        <v>0</v>
      </c>
      <c r="AB111" s="3">
        <v>0</v>
      </c>
      <c r="AC111" s="3">
        <f>+Tabla22[[#This Row],[TikTok 2026]]</f>
        <v>0</v>
      </c>
      <c r="AD111" s="3">
        <v>0</v>
      </c>
      <c r="AE111" s="3">
        <f>+Tabla22[[#This Row],[Shein 2026]]</f>
        <v>0</v>
      </c>
      <c r="AF111" s="5">
        <f t="shared" si="45"/>
        <v>0</v>
      </c>
      <c r="AG111" s="4">
        <f t="shared" si="46"/>
        <v>0</v>
      </c>
      <c r="AH111" s="5">
        <f t="shared" si="47"/>
        <v>-1978198.3676881364</v>
      </c>
      <c r="AI111" s="17">
        <f t="shared" si="14"/>
        <v>-1</v>
      </c>
      <c r="AJ111" s="17">
        <f t="shared" si="48"/>
        <v>4.7795214372671091E-2</v>
      </c>
      <c r="AK111" s="14" t="e">
        <f t="shared" si="16"/>
        <v>#DIV/0!</v>
      </c>
      <c r="AL111" s="14">
        <f t="shared" si="49"/>
        <v>-1</v>
      </c>
    </row>
    <row r="112" spans="1:38" x14ac:dyDescent="0.3">
      <c r="A112" s="63">
        <v>45767</v>
      </c>
      <c r="B112" s="3">
        <v>28728736</v>
      </c>
      <c r="C112" s="3">
        <f t="shared" si="18"/>
        <v>1822418.0344827587</v>
      </c>
      <c r="D112" s="4">
        <f>+Tabla22[[#This Row],[Share diario]]</f>
        <v>1.639706293419611E-2</v>
      </c>
      <c r="E112" s="3">
        <f>+Tabla22[[#This Row],[Global 2026]]</f>
        <v>0</v>
      </c>
      <c r="F112" s="7">
        <v>46131</v>
      </c>
      <c r="G112" s="3">
        <f>+Tabla2[[#This Row],[Meta Digital]]+Tabla2[[#This Row],[Meta MKPlace]]</f>
        <v>1777302.2359855678</v>
      </c>
      <c r="H112" s="3">
        <v>1473956.5717029397</v>
      </c>
      <c r="I112" s="3">
        <v>303345.66428262804</v>
      </c>
      <c r="J112" s="3">
        <v>1427487</v>
      </c>
      <c r="K112" s="3">
        <f>+Tabla22[[#This Row],[Web + APP 2026]]</f>
        <v>0</v>
      </c>
      <c r="L112" s="3">
        <v>14906.03448275862</v>
      </c>
      <c r="M112" s="3">
        <f>+Tabla22[[#This Row],[Afiliados 2026]]</f>
        <v>0</v>
      </c>
      <c r="N112" s="3">
        <v>6558</v>
      </c>
      <c r="O112" s="3">
        <f>+Tabla22[[#This Row],[TMK 2026]]</f>
        <v>0</v>
      </c>
      <c r="P112" s="3">
        <v>2552</v>
      </c>
      <c r="Q112" s="3">
        <f>+Tabla22[[#This Row],[WA 2026]]</f>
        <v>0</v>
      </c>
      <c r="R112" s="3">
        <v>23514</v>
      </c>
      <c r="S112" s="3">
        <f>+Tabla22[[#This Row],[Ent. en Tienda 2026]]</f>
        <v>0</v>
      </c>
      <c r="T112" s="3">
        <v>241574</v>
      </c>
      <c r="U112" s="3">
        <f>+Tabla22[[#This Row],[Meli Drop 2026]]</f>
        <v>0</v>
      </c>
      <c r="V112" s="3">
        <v>85791</v>
      </c>
      <c r="W112" s="3">
        <f>+Tabla22[[#This Row],[Meli Full 2026]]</f>
        <v>0</v>
      </c>
      <c r="X112" s="3">
        <v>14358</v>
      </c>
      <c r="Y112" s="3">
        <f>+Tabla22[[#This Row],[Amazon Drop 2026]]</f>
        <v>0</v>
      </c>
      <c r="Z112" s="3">
        <v>5678</v>
      </c>
      <c r="AA112" s="3">
        <f>+Tabla22[[#This Row],[Amazon Full 2026]]</f>
        <v>0</v>
      </c>
      <c r="AB112" s="3">
        <v>0</v>
      </c>
      <c r="AC112" s="3">
        <f>+Tabla22[[#This Row],[TikTok 2026]]</f>
        <v>0</v>
      </c>
      <c r="AD112" s="3">
        <v>0</v>
      </c>
      <c r="AE112" s="3">
        <f>+Tabla22[[#This Row],[Shein 2026]]</f>
        <v>0</v>
      </c>
      <c r="AF112" s="5">
        <f t="shared" si="45"/>
        <v>0</v>
      </c>
      <c r="AG112" s="4">
        <f t="shared" si="46"/>
        <v>0</v>
      </c>
      <c r="AH112" s="5">
        <f t="shared" si="47"/>
        <v>-1777302.2359855678</v>
      </c>
      <c r="AI112" s="17">
        <f t="shared" si="14"/>
        <v>-1</v>
      </c>
      <c r="AJ112" s="17">
        <f t="shared" si="48"/>
        <v>5.7309496536236189E-2</v>
      </c>
      <c r="AK112" s="14" t="e">
        <f t="shared" si="16"/>
        <v>#DIV/0!</v>
      </c>
      <c r="AL112" s="14">
        <f t="shared" si="49"/>
        <v>-1</v>
      </c>
    </row>
    <row r="113" spans="1:38" x14ac:dyDescent="0.3">
      <c r="A113" s="7">
        <v>45768</v>
      </c>
      <c r="B113" s="3">
        <v>24209385</v>
      </c>
      <c r="C113" s="3">
        <f t="shared" si="18"/>
        <v>2934304</v>
      </c>
      <c r="D113" s="4">
        <f>+Tabla22[[#This Row],[Share diario]]</f>
        <v>2.1942249148515981E-2</v>
      </c>
      <c r="E113" s="3">
        <f>+Tabla22[[#This Row],[Global 2026]]</f>
        <v>0</v>
      </c>
      <c r="F113" s="7">
        <v>46132</v>
      </c>
      <c r="G113" s="3">
        <f>+Tabla2[[#This Row],[Meta Digital]]+Tabla2[[#This Row],[Meta MKPlace]]</f>
        <v>2378353.2837993465</v>
      </c>
      <c r="H113" s="3">
        <v>1972421.6745518011</v>
      </c>
      <c r="I113" s="3">
        <v>405931.60924754565</v>
      </c>
      <c r="J113" s="3">
        <v>2363849</v>
      </c>
      <c r="K113" s="3">
        <f>+Tabla22[[#This Row],[Web + APP 2026]]</f>
        <v>0</v>
      </c>
      <c r="L113" s="3">
        <v>17125</v>
      </c>
      <c r="M113" s="3">
        <f>+Tabla22[[#This Row],[Afiliados 2026]]</f>
        <v>0</v>
      </c>
      <c r="N113" s="3">
        <v>35717</v>
      </c>
      <c r="O113" s="3">
        <f>+Tabla22[[#This Row],[TMK 2026]]</f>
        <v>0</v>
      </c>
      <c r="P113" s="3">
        <v>5563</v>
      </c>
      <c r="Q113" s="3">
        <f>+Tabla22[[#This Row],[WA 2026]]</f>
        <v>0</v>
      </c>
      <c r="R113" s="3">
        <v>61395</v>
      </c>
      <c r="S113" s="3">
        <f>+Tabla22[[#This Row],[Ent. en Tienda 2026]]</f>
        <v>0</v>
      </c>
      <c r="T113" s="3">
        <v>313296</v>
      </c>
      <c r="U113" s="3">
        <f>+Tabla22[[#This Row],[Meli Drop 2026]]</f>
        <v>0</v>
      </c>
      <c r="V113" s="3">
        <v>96557</v>
      </c>
      <c r="W113" s="3">
        <f>+Tabla22[[#This Row],[Meli Full 2026]]</f>
        <v>0</v>
      </c>
      <c r="X113" s="3">
        <v>30744</v>
      </c>
      <c r="Y113" s="3">
        <f>+Tabla22[[#This Row],[Amazon Drop 2026]]</f>
        <v>0</v>
      </c>
      <c r="Z113" s="3">
        <v>10058</v>
      </c>
      <c r="AA113" s="3">
        <f>+Tabla22[[#This Row],[Amazon Full 2026]]</f>
        <v>0</v>
      </c>
      <c r="AB113" s="3">
        <v>0</v>
      </c>
      <c r="AC113" s="3">
        <f>+Tabla22[[#This Row],[TikTok 2026]]</f>
        <v>0</v>
      </c>
      <c r="AD113" s="3">
        <v>0</v>
      </c>
      <c r="AE113" s="3">
        <f>+Tabla22[[#This Row],[Shein 2026]]</f>
        <v>0</v>
      </c>
      <c r="AF113" s="5">
        <f t="shared" si="45"/>
        <v>0</v>
      </c>
      <c r="AG113" s="4">
        <f t="shared" si="46"/>
        <v>0</v>
      </c>
      <c r="AH113" s="5">
        <f t="shared" si="47"/>
        <v>-2378353.2837993465</v>
      </c>
      <c r="AI113" s="17">
        <f t="shared" si="14"/>
        <v>-1</v>
      </c>
      <c r="AJ113" s="17">
        <f t="shared" si="48"/>
        <v>8.196480856090993E-2</v>
      </c>
      <c r="AK113" s="14" t="e">
        <f t="shared" si="16"/>
        <v>#DIV/0!</v>
      </c>
      <c r="AL113" s="14">
        <f t="shared" si="49"/>
        <v>-1</v>
      </c>
    </row>
    <row r="114" spans="1:38" x14ac:dyDescent="0.3">
      <c r="A114" s="63">
        <v>45769</v>
      </c>
      <c r="B114" s="3">
        <v>28493678</v>
      </c>
      <c r="C114" s="3">
        <f t="shared" si="18"/>
        <v>3130136.3103448274</v>
      </c>
      <c r="D114" s="4">
        <f>+Tabla22[[#This Row],[Share diario]]</f>
        <v>3.5329561180380296E-2</v>
      </c>
      <c r="E114" s="3">
        <f>+Tabla22[[#This Row],[Global 2026]]</f>
        <v>0</v>
      </c>
      <c r="F114" s="7">
        <v>46133</v>
      </c>
      <c r="G114" s="3">
        <f>+Tabla2[[#This Row],[Meta Digital]]+Tabla2[[#This Row],[Meta MKPlace]]</f>
        <v>3829424.1068824222</v>
      </c>
      <c r="H114" s="3">
        <v>3175827.2250453867</v>
      </c>
      <c r="I114" s="3">
        <v>653596.88183703553</v>
      </c>
      <c r="J114" s="3">
        <v>2523969</v>
      </c>
      <c r="K114" s="3">
        <f>+Tabla22[[#This Row],[Web + APP 2026]]</f>
        <v>0</v>
      </c>
      <c r="L114" s="3">
        <v>18554.310344827587</v>
      </c>
      <c r="M114" s="3">
        <f>+Tabla22[[#This Row],[Afiliados 2026]]</f>
        <v>0</v>
      </c>
      <c r="N114" s="3">
        <v>108487</v>
      </c>
      <c r="O114" s="3">
        <f>+Tabla22[[#This Row],[TMK 2026]]</f>
        <v>0</v>
      </c>
      <c r="P114" s="3">
        <v>10773</v>
      </c>
      <c r="Q114" s="3">
        <f>+Tabla22[[#This Row],[WA 2026]]</f>
        <v>0</v>
      </c>
      <c r="R114" s="3">
        <v>28432</v>
      </c>
      <c r="S114" s="3">
        <f>+Tabla22[[#This Row],[Ent. en Tienda 2026]]</f>
        <v>0</v>
      </c>
      <c r="T114" s="3">
        <v>315822</v>
      </c>
      <c r="U114" s="3">
        <f>+Tabla22[[#This Row],[Meli Drop 2026]]</f>
        <v>0</v>
      </c>
      <c r="V114" s="3">
        <v>99999</v>
      </c>
      <c r="W114" s="3">
        <f>+Tabla22[[#This Row],[Meli Full 2026]]</f>
        <v>0</v>
      </c>
      <c r="X114" s="3">
        <v>19059</v>
      </c>
      <c r="Y114" s="3">
        <f>+Tabla22[[#This Row],[Amazon Drop 2026]]</f>
        <v>0</v>
      </c>
      <c r="Z114" s="3">
        <v>5041</v>
      </c>
      <c r="AA114" s="3">
        <f>+Tabla22[[#This Row],[Amazon Full 2026]]</f>
        <v>0</v>
      </c>
      <c r="AB114" s="3">
        <v>0</v>
      </c>
      <c r="AC114" s="3">
        <f>+Tabla22[[#This Row],[TikTok 2026]]</f>
        <v>0</v>
      </c>
      <c r="AD114" s="3">
        <v>0</v>
      </c>
      <c r="AE114" s="3">
        <f>+Tabla22[[#This Row],[Shein 2026]]</f>
        <v>0</v>
      </c>
      <c r="AF114" s="5">
        <f t="shared" si="45"/>
        <v>0</v>
      </c>
      <c r="AG114" s="4">
        <f t="shared" si="46"/>
        <v>0</v>
      </c>
      <c r="AH114" s="5">
        <f t="shared" si="47"/>
        <v>-3829424.1068824222</v>
      </c>
      <c r="AI114" s="17">
        <f t="shared" si="14"/>
        <v>-1</v>
      </c>
      <c r="AJ114" s="17">
        <f t="shared" si="48"/>
        <v>8.1666001287627007E-2</v>
      </c>
      <c r="AK114" s="14" t="e">
        <f t="shared" si="16"/>
        <v>#DIV/0!</v>
      </c>
      <c r="AL114" s="14">
        <f t="shared" si="49"/>
        <v>-1</v>
      </c>
    </row>
    <row r="115" spans="1:38" x14ac:dyDescent="0.3">
      <c r="A115" s="7">
        <v>45770</v>
      </c>
      <c r="B115" s="3">
        <v>31799582</v>
      </c>
      <c r="C115" s="3">
        <f t="shared" si="18"/>
        <v>3381983.7586206896</v>
      </c>
      <c r="D115" s="4">
        <f>+Tabla22[[#This Row],[Share diario]]</f>
        <v>3.7687418304053512E-2</v>
      </c>
      <c r="E115" s="3">
        <f>+Tabla22[[#This Row],[Global 2026]]</f>
        <v>0</v>
      </c>
      <c r="F115" s="7">
        <v>46134</v>
      </c>
      <c r="G115" s="3">
        <f>+Tabla2[[#This Row],[Meta Digital]]+Tabla2[[#This Row],[Meta MKPlace]]</f>
        <v>4084995.7757146098</v>
      </c>
      <c r="H115" s="3">
        <v>3387778.5370896198</v>
      </c>
      <c r="I115" s="3">
        <v>697217.23862498999</v>
      </c>
      <c r="J115" s="3">
        <v>2790322</v>
      </c>
      <c r="K115" s="3">
        <f>+Tabla22[[#This Row],[Web + APP 2026]]</f>
        <v>0</v>
      </c>
      <c r="L115" s="3">
        <v>14407.758620689654</v>
      </c>
      <c r="M115" s="3">
        <f>+Tabla22[[#This Row],[Afiliados 2026]]</f>
        <v>0</v>
      </c>
      <c r="N115" s="3">
        <v>48820</v>
      </c>
      <c r="O115" s="3">
        <f>+Tabla22[[#This Row],[TMK 2026]]</f>
        <v>0</v>
      </c>
      <c r="P115" s="3">
        <v>26723</v>
      </c>
      <c r="Q115" s="3">
        <f>+Tabla22[[#This Row],[WA 2026]]</f>
        <v>0</v>
      </c>
      <c r="R115" s="3">
        <v>52261</v>
      </c>
      <c r="S115" s="3">
        <f>+Tabla22[[#This Row],[Ent. en Tienda 2026]]</f>
        <v>0</v>
      </c>
      <c r="T115" s="3">
        <v>314535</v>
      </c>
      <c r="U115" s="3">
        <f>+Tabla22[[#This Row],[Meli Drop 2026]]</f>
        <v>0</v>
      </c>
      <c r="V115" s="3">
        <v>102425</v>
      </c>
      <c r="W115" s="3">
        <f>+Tabla22[[#This Row],[Meli Full 2026]]</f>
        <v>0</v>
      </c>
      <c r="X115" s="3">
        <v>23735</v>
      </c>
      <c r="Y115" s="3">
        <f>+Tabla22[[#This Row],[Amazon Drop 2026]]</f>
        <v>0</v>
      </c>
      <c r="Z115" s="3">
        <v>8755</v>
      </c>
      <c r="AA115" s="3">
        <f>+Tabla22[[#This Row],[Amazon Full 2026]]</f>
        <v>0</v>
      </c>
      <c r="AB115" s="3">
        <v>0</v>
      </c>
      <c r="AC115" s="3">
        <f>+Tabla22[[#This Row],[TikTok 2026]]</f>
        <v>0</v>
      </c>
      <c r="AD115" s="3">
        <v>0</v>
      </c>
      <c r="AE115" s="3">
        <f>+Tabla22[[#This Row],[Shein 2026]]</f>
        <v>0</v>
      </c>
      <c r="AF115" s="5">
        <f t="shared" si="45"/>
        <v>0</v>
      </c>
      <c r="AG115" s="4">
        <f t="shared" si="46"/>
        <v>0</v>
      </c>
      <c r="AH115" s="5">
        <f t="shared" si="47"/>
        <v>-4084995.7757146098</v>
      </c>
      <c r="AI115" s="17">
        <f t="shared" si="14"/>
        <v>-1</v>
      </c>
      <c r="AJ115" s="17">
        <f t="shared" si="48"/>
        <v>7.9243259290922893E-2</v>
      </c>
      <c r="AK115" s="14" t="e">
        <f t="shared" si="16"/>
        <v>#DIV/0!</v>
      </c>
      <c r="AL115" s="14">
        <f t="shared" si="49"/>
        <v>-1</v>
      </c>
    </row>
    <row r="116" spans="1:38" x14ac:dyDescent="0.3">
      <c r="A116" s="63">
        <v>45771</v>
      </c>
      <c r="B116" s="3">
        <v>35799559</v>
      </c>
      <c r="C116" s="3">
        <f t="shared" si="18"/>
        <v>2583844.7931034481</v>
      </c>
      <c r="D116" s="4">
        <f>+Tabla22[[#This Row],[Share diario]]</f>
        <v>4.071970801636169E-2</v>
      </c>
      <c r="E116" s="3">
        <f>+Tabla22[[#This Row],[Global 2026]]</f>
        <v>0</v>
      </c>
      <c r="F116" s="7">
        <v>46135</v>
      </c>
      <c r="G116" s="3">
        <f>+Tabla2[[#This Row],[Meta Digital]]+Tabla2[[#This Row],[Meta MKPlace]]</f>
        <v>4413670.204023473</v>
      </c>
      <c r="H116" s="3">
        <v>3660355.6057207817</v>
      </c>
      <c r="I116" s="3">
        <v>753314.59830269124</v>
      </c>
      <c r="J116" s="3">
        <v>2029339</v>
      </c>
      <c r="K116" s="3">
        <f>+Tabla22[[#This Row],[Web + APP 2026]]</f>
        <v>0</v>
      </c>
      <c r="L116" s="3">
        <v>15613.793103448275</v>
      </c>
      <c r="M116" s="3">
        <f>+Tabla22[[#This Row],[Afiliados 2026]]</f>
        <v>0</v>
      </c>
      <c r="N116" s="3">
        <v>42994</v>
      </c>
      <c r="O116" s="3">
        <f>+Tabla22[[#This Row],[TMK 2026]]</f>
        <v>0</v>
      </c>
      <c r="P116" s="3">
        <v>15816</v>
      </c>
      <c r="Q116" s="3">
        <f>+Tabla22[[#This Row],[WA 2026]]</f>
        <v>0</v>
      </c>
      <c r="R116" s="3">
        <v>73103</v>
      </c>
      <c r="S116" s="3">
        <f>+Tabla22[[#This Row],[Ent. en Tienda 2026]]</f>
        <v>0</v>
      </c>
      <c r="T116" s="3">
        <v>277457</v>
      </c>
      <c r="U116" s="3">
        <f>+Tabla22[[#This Row],[Meli Drop 2026]]</f>
        <v>0</v>
      </c>
      <c r="V116" s="3">
        <v>104526</v>
      </c>
      <c r="W116" s="3">
        <f>+Tabla22[[#This Row],[Meli Full 2026]]</f>
        <v>0</v>
      </c>
      <c r="X116" s="3">
        <v>16782</v>
      </c>
      <c r="Y116" s="3">
        <f>+Tabla22[[#This Row],[Amazon Drop 2026]]</f>
        <v>0</v>
      </c>
      <c r="Z116" s="3">
        <v>8214</v>
      </c>
      <c r="AA116" s="3">
        <f>+Tabla22[[#This Row],[Amazon Full 2026]]</f>
        <v>0</v>
      </c>
      <c r="AB116" s="3">
        <v>0</v>
      </c>
      <c r="AC116" s="3">
        <f>+Tabla22[[#This Row],[TikTok 2026]]</f>
        <v>0</v>
      </c>
      <c r="AD116" s="3">
        <v>0</v>
      </c>
      <c r="AE116" s="3">
        <f>+Tabla22[[#This Row],[Shein 2026]]</f>
        <v>0</v>
      </c>
      <c r="AF116" s="5">
        <f t="shared" si="45"/>
        <v>0</v>
      </c>
      <c r="AG116" s="4">
        <f t="shared" si="46"/>
        <v>0</v>
      </c>
      <c r="AH116" s="5">
        <f t="shared" si="47"/>
        <v>-4413670.204023473</v>
      </c>
      <c r="AI116" s="17">
        <f t="shared" si="14"/>
        <v>-1</v>
      </c>
      <c r="AJ116" s="17">
        <f t="shared" si="48"/>
        <v>6.2218501992446842E-2</v>
      </c>
      <c r="AK116" s="14" t="e">
        <f t="shared" si="16"/>
        <v>#DIV/0!</v>
      </c>
      <c r="AL116" s="14">
        <f t="shared" si="49"/>
        <v>-1</v>
      </c>
    </row>
    <row r="117" spans="1:38" x14ac:dyDescent="0.3">
      <c r="A117" s="7">
        <v>45772</v>
      </c>
      <c r="B117" s="3">
        <v>38328512</v>
      </c>
      <c r="C117" s="3">
        <f t="shared" si="18"/>
        <v>2538592.9655172415</v>
      </c>
      <c r="D117" s="4">
        <f>+Tabla22[[#This Row],[Share diario]]</f>
        <v>3.1109967712464468E-2</v>
      </c>
      <c r="E117" s="3">
        <f>+Tabla22[[#This Row],[Global 2026]]</f>
        <v>0</v>
      </c>
      <c r="F117" s="7">
        <v>46136</v>
      </c>
      <c r="G117" s="3">
        <f>+Tabla2[[#This Row],[Meta Digital]]+Tabla2[[#This Row],[Meta MKPlace]]</f>
        <v>3372056.0443474734</v>
      </c>
      <c r="H117" s="3">
        <v>2796521.6416668808</v>
      </c>
      <c r="I117" s="3">
        <v>575534.40268059261</v>
      </c>
      <c r="J117" s="3">
        <v>1938792</v>
      </c>
      <c r="K117" s="3">
        <f>+Tabla22[[#This Row],[Web + APP 2026]]</f>
        <v>0</v>
      </c>
      <c r="L117" s="3">
        <v>18018.965517241377</v>
      </c>
      <c r="M117" s="3">
        <f>+Tabla22[[#This Row],[Afiliados 2026]]</f>
        <v>0</v>
      </c>
      <c r="N117" s="3">
        <v>42050</v>
      </c>
      <c r="O117" s="3">
        <f>+Tabla22[[#This Row],[TMK 2026]]</f>
        <v>0</v>
      </c>
      <c r="P117" s="3">
        <v>8072</v>
      </c>
      <c r="Q117" s="3">
        <f>+Tabla22[[#This Row],[WA 2026]]</f>
        <v>0</v>
      </c>
      <c r="R117" s="3">
        <v>101687</v>
      </c>
      <c r="S117" s="3">
        <f>+Tabla22[[#This Row],[Ent. en Tienda 2026]]</f>
        <v>0</v>
      </c>
      <c r="T117" s="3">
        <v>321502</v>
      </c>
      <c r="U117" s="3">
        <f>+Tabla22[[#This Row],[Meli Drop 2026]]</f>
        <v>0</v>
      </c>
      <c r="V117" s="3">
        <v>81927</v>
      </c>
      <c r="W117" s="3">
        <f>+Tabla22[[#This Row],[Meli Full 2026]]</f>
        <v>0</v>
      </c>
      <c r="X117" s="3">
        <v>14919</v>
      </c>
      <c r="Y117" s="3">
        <f>+Tabla22[[#This Row],[Amazon Drop 2026]]</f>
        <v>0</v>
      </c>
      <c r="Z117" s="3">
        <v>11625</v>
      </c>
      <c r="AA117" s="3">
        <f>+Tabla22[[#This Row],[Amazon Full 2026]]</f>
        <v>0</v>
      </c>
      <c r="AB117" s="3">
        <v>0</v>
      </c>
      <c r="AC117" s="3">
        <f>+Tabla22[[#This Row],[TikTok 2026]]</f>
        <v>0</v>
      </c>
      <c r="AD117" s="3">
        <v>0</v>
      </c>
      <c r="AE117" s="3">
        <f>+Tabla22[[#This Row],[Shein 2026]]</f>
        <v>0</v>
      </c>
      <c r="AF117" s="5">
        <f t="shared" si="45"/>
        <v>0</v>
      </c>
      <c r="AG117" s="4">
        <f t="shared" si="46"/>
        <v>0</v>
      </c>
      <c r="AH117" s="5">
        <f t="shared" si="47"/>
        <v>-3372056.0443474734</v>
      </c>
      <c r="AI117" s="17">
        <f t="shared" si="14"/>
        <v>-1</v>
      </c>
      <c r="AJ117" s="17">
        <f t="shared" si="48"/>
        <v>0.10357615202134368</v>
      </c>
      <c r="AK117" s="14" t="e">
        <f t="shared" si="16"/>
        <v>#DIV/0!</v>
      </c>
      <c r="AL117" s="14">
        <f t="shared" si="49"/>
        <v>-1</v>
      </c>
    </row>
    <row r="118" spans="1:38" x14ac:dyDescent="0.3">
      <c r="A118" s="63">
        <v>45773</v>
      </c>
      <c r="B118" s="3">
        <v>42678504</v>
      </c>
      <c r="C118" s="3">
        <f t="shared" si="18"/>
        <v>2232713.931034483</v>
      </c>
      <c r="D118" s="4">
        <f>+Tabla22[[#This Row],[Share diario]]</f>
        <v>3.0565127364896218E-2</v>
      </c>
      <c r="E118" s="3">
        <f>+Tabla22[[#This Row],[Global 2026]]</f>
        <v>0</v>
      </c>
      <c r="F118" s="7">
        <v>46137</v>
      </c>
      <c r="G118" s="3">
        <f>+Tabla2[[#This Row],[Meta Digital]]+Tabla2[[#This Row],[Meta MKPlace]]</f>
        <v>3312999.9821810769</v>
      </c>
      <c r="H118" s="3">
        <v>2747545.125930497</v>
      </c>
      <c r="I118" s="3">
        <v>565454.85625058005</v>
      </c>
      <c r="J118" s="3">
        <v>1752638</v>
      </c>
      <c r="K118" s="3">
        <f>+Tabla22[[#This Row],[Web + APP 2026]]</f>
        <v>0</v>
      </c>
      <c r="L118" s="3">
        <v>19887.931034482754</v>
      </c>
      <c r="M118" s="3">
        <f>+Tabla22[[#This Row],[Afiliados 2026]]</f>
        <v>0</v>
      </c>
      <c r="N118" s="3">
        <v>25737</v>
      </c>
      <c r="O118" s="3">
        <f>+Tabla22[[#This Row],[TMK 2026]]</f>
        <v>0</v>
      </c>
      <c r="P118" s="3">
        <v>1459</v>
      </c>
      <c r="Q118" s="3">
        <f>+Tabla22[[#This Row],[WA 2026]]</f>
        <v>0</v>
      </c>
      <c r="R118" s="3">
        <v>72841</v>
      </c>
      <c r="S118" s="3">
        <f>+Tabla22[[#This Row],[Ent. en Tienda 2026]]</f>
        <v>0</v>
      </c>
      <c r="T118" s="3">
        <v>250845</v>
      </c>
      <c r="U118" s="3">
        <f>+Tabla22[[#This Row],[Meli Drop 2026]]</f>
        <v>0</v>
      </c>
      <c r="V118" s="3">
        <v>82494</v>
      </c>
      <c r="W118" s="3">
        <f>+Tabla22[[#This Row],[Meli Full 2026]]</f>
        <v>0</v>
      </c>
      <c r="X118" s="3">
        <v>16169</v>
      </c>
      <c r="Y118" s="3">
        <f>+Tabla22[[#This Row],[Amazon Drop 2026]]</f>
        <v>0</v>
      </c>
      <c r="Z118" s="3">
        <v>10643</v>
      </c>
      <c r="AA118" s="3">
        <f>+Tabla22[[#This Row],[Amazon Full 2026]]</f>
        <v>0</v>
      </c>
      <c r="AB118" s="3">
        <v>0</v>
      </c>
      <c r="AC118" s="3">
        <f>+Tabla22[[#This Row],[TikTok 2026]]</f>
        <v>0</v>
      </c>
      <c r="AD118" s="3">
        <v>0</v>
      </c>
      <c r="AE118" s="3">
        <f>+Tabla22[[#This Row],[Shein 2026]]</f>
        <v>0</v>
      </c>
      <c r="AF118" s="5">
        <f t="shared" si="45"/>
        <v>0</v>
      </c>
      <c r="AG118" s="4">
        <f t="shared" si="46"/>
        <v>0</v>
      </c>
      <c r="AH118" s="5">
        <f t="shared" si="47"/>
        <v>-3312999.9821810769</v>
      </c>
      <c r="AI118" s="17">
        <f t="shared" si="14"/>
        <v>-1</v>
      </c>
      <c r="AJ118" s="17">
        <f t="shared" si="48"/>
        <v>8.4174409820860205E-2</v>
      </c>
      <c r="AK118" s="14" t="e">
        <f t="shared" si="16"/>
        <v>#DIV/0!</v>
      </c>
      <c r="AL118" s="14">
        <f t="shared" si="49"/>
        <v>-1</v>
      </c>
    </row>
    <row r="119" spans="1:38" x14ac:dyDescent="0.3">
      <c r="A119" s="7">
        <v>45774</v>
      </c>
      <c r="B119" s="3">
        <v>41528560</v>
      </c>
      <c r="C119" s="3">
        <f t="shared" si="18"/>
        <v>2438760.9655172415</v>
      </c>
      <c r="D119" s="4">
        <f>+Tabla22[[#This Row],[Share diario]]</f>
        <v>2.6882287392434513E-2</v>
      </c>
      <c r="E119" s="3">
        <f>+Tabla22[[#This Row],[Global 2026]]</f>
        <v>0</v>
      </c>
      <c r="F119" s="7">
        <v>46138</v>
      </c>
      <c r="G119" s="3">
        <f>+Tabla2[[#This Row],[Meta Digital]]+Tabla2[[#This Row],[Meta MKPlace]]</f>
        <v>2913811.4357870445</v>
      </c>
      <c r="H119" s="3">
        <v>2416489.119027006</v>
      </c>
      <c r="I119" s="3">
        <v>497322.31676003849</v>
      </c>
      <c r="J119" s="3">
        <v>1946010</v>
      </c>
      <c r="K119" s="3">
        <f>+Tabla22[[#This Row],[Web + APP 2026]]</f>
        <v>0</v>
      </c>
      <c r="L119" s="3">
        <v>18168.965517241377</v>
      </c>
      <c r="M119" s="3">
        <f>+Tabla22[[#This Row],[Afiliados 2026]]</f>
        <v>0</v>
      </c>
      <c r="N119" s="3">
        <v>19936</v>
      </c>
      <c r="O119" s="3">
        <f>+Tabla22[[#This Row],[TMK 2026]]</f>
        <v>0</v>
      </c>
      <c r="P119" s="3">
        <v>3572</v>
      </c>
      <c r="Q119" s="3">
        <f>+Tabla22[[#This Row],[WA 2026]]</f>
        <v>0</v>
      </c>
      <c r="R119" s="3">
        <v>72272</v>
      </c>
      <c r="S119" s="3">
        <f>+Tabla22[[#This Row],[Ent. en Tienda 2026]]</f>
        <v>0</v>
      </c>
      <c r="T119" s="3">
        <v>273543</v>
      </c>
      <c r="U119" s="3">
        <f>+Tabla22[[#This Row],[Meli Drop 2026]]</f>
        <v>0</v>
      </c>
      <c r="V119" s="3">
        <v>81092</v>
      </c>
      <c r="W119" s="3">
        <f>+Tabla22[[#This Row],[Meli Full 2026]]</f>
        <v>0</v>
      </c>
      <c r="X119" s="3">
        <v>16940</v>
      </c>
      <c r="Y119" s="3">
        <f>+Tabla22[[#This Row],[Amazon Drop 2026]]</f>
        <v>0</v>
      </c>
      <c r="Z119" s="3">
        <v>7227</v>
      </c>
      <c r="AA119" s="3">
        <f>+Tabla22[[#This Row],[Amazon Full 2026]]</f>
        <v>0</v>
      </c>
      <c r="AB119" s="3">
        <v>0</v>
      </c>
      <c r="AC119" s="3">
        <f>+Tabla22[[#This Row],[TikTok 2026]]</f>
        <v>0</v>
      </c>
      <c r="AD119" s="3">
        <v>0</v>
      </c>
      <c r="AE119" s="3">
        <f>+Tabla22[[#This Row],[Shein 2026]]</f>
        <v>0</v>
      </c>
      <c r="AF119" s="5">
        <f t="shared" si="45"/>
        <v>0</v>
      </c>
      <c r="AG119" s="4">
        <f t="shared" si="46"/>
        <v>0</v>
      </c>
      <c r="AH119" s="5">
        <f t="shared" si="47"/>
        <v>-2913811.4357870445</v>
      </c>
      <c r="AI119" s="17">
        <f t="shared" si="14"/>
        <v>-1</v>
      </c>
      <c r="AJ119" s="17" t="e">
        <f>+C119/#REF!</f>
        <v>#REF!</v>
      </c>
      <c r="AK119" s="14" t="e">
        <f t="shared" si="16"/>
        <v>#DIV/0!</v>
      </c>
      <c r="AL119" s="14" t="e">
        <f>+E119/#REF!-1</f>
        <v>#REF!</v>
      </c>
    </row>
    <row r="120" spans="1:38" x14ac:dyDescent="0.3">
      <c r="A120" s="63">
        <v>45775</v>
      </c>
      <c r="B120" s="3">
        <v>24509435</v>
      </c>
      <c r="C120" s="3">
        <f t="shared" si="18"/>
        <v>3201083.1724137929</v>
      </c>
      <c r="D120" s="4">
        <f>+Tabla22[[#This Row],[Share diario]]</f>
        <v>2.9363131678096309E-2</v>
      </c>
      <c r="E120" s="3">
        <f>+Tabla22[[#This Row],[Global 2026]]</f>
        <v>0</v>
      </c>
      <c r="F120" s="7">
        <v>46139</v>
      </c>
      <c r="G120" s="3">
        <f>+Tabla2[[#This Row],[Meta Digital]]+Tabla2[[#This Row],[Meta MKPlace]]</f>
        <v>3182713.8675050633</v>
      </c>
      <c r="H120" s="3">
        <v>2639495.9314602814</v>
      </c>
      <c r="I120" s="3">
        <v>543217.9360447817</v>
      </c>
      <c r="J120" s="3">
        <v>2632448</v>
      </c>
      <c r="K120" s="3">
        <f>+Tabla22[[#This Row],[Web + APP 2026]]</f>
        <v>0</v>
      </c>
      <c r="L120" s="3">
        <v>14455.172413793103</v>
      </c>
      <c r="M120" s="3">
        <f>+Tabla22[[#This Row],[Afiliados 2026]]</f>
        <v>0</v>
      </c>
      <c r="N120" s="3">
        <v>64714</v>
      </c>
      <c r="O120" s="3">
        <f>+Tabla22[[#This Row],[TMK 2026]]</f>
        <v>0</v>
      </c>
      <c r="P120" s="3">
        <v>9783</v>
      </c>
      <c r="Q120" s="3">
        <f>+Tabla22[[#This Row],[WA 2026]]</f>
        <v>0</v>
      </c>
      <c r="R120" s="3">
        <v>89766</v>
      </c>
      <c r="S120" s="3">
        <f>+Tabla22[[#This Row],[Ent. en Tienda 2026]]</f>
        <v>0</v>
      </c>
      <c r="T120" s="3">
        <v>268976</v>
      </c>
      <c r="U120" s="3">
        <f>+Tabla22[[#This Row],[Meli Drop 2026]]</f>
        <v>0</v>
      </c>
      <c r="V120" s="3">
        <v>80501</v>
      </c>
      <c r="W120" s="3">
        <f>+Tabla22[[#This Row],[Meli Full 2026]]</f>
        <v>0</v>
      </c>
      <c r="X120" s="3">
        <v>31107</v>
      </c>
      <c r="Y120" s="3">
        <f>+Tabla22[[#This Row],[Amazon Drop 2026]]</f>
        <v>0</v>
      </c>
      <c r="Z120" s="3">
        <v>9333</v>
      </c>
      <c r="AA120" s="3">
        <f>+Tabla22[[#This Row],[Amazon Full 2026]]</f>
        <v>0</v>
      </c>
      <c r="AB120" s="3">
        <v>0</v>
      </c>
      <c r="AC120" s="3">
        <f>+Tabla22[[#This Row],[TikTok 2026]]</f>
        <v>0</v>
      </c>
      <c r="AD120" s="3">
        <v>0</v>
      </c>
      <c r="AE120" s="3">
        <f>+Tabla22[[#This Row],[Shein 2026]]</f>
        <v>0</v>
      </c>
      <c r="AF120" s="5">
        <f t="shared" si="45"/>
        <v>0</v>
      </c>
      <c r="AG120" s="4">
        <f t="shared" si="46"/>
        <v>0</v>
      </c>
      <c r="AH120" s="5">
        <f t="shared" si="47"/>
        <v>-3182713.8675050633</v>
      </c>
      <c r="AI120" s="17">
        <f t="shared" si="14"/>
        <v>-1</v>
      </c>
      <c r="AJ120" s="17" t="e">
        <f>+C120/#REF!</f>
        <v>#REF!</v>
      </c>
      <c r="AK120" s="14" t="e">
        <f t="shared" si="16"/>
        <v>#DIV/0!</v>
      </c>
      <c r="AL120" s="14" t="e">
        <f>+E120/#REF!-1</f>
        <v>#REF!</v>
      </c>
    </row>
    <row r="121" spans="1:38" x14ac:dyDescent="0.3">
      <c r="A121" s="7">
        <v>45776</v>
      </c>
      <c r="B121" s="3">
        <v>26524854</v>
      </c>
      <c r="C121" s="3">
        <f t="shared" si="18"/>
        <v>3535092.2068965519</v>
      </c>
      <c r="D121" s="4">
        <f>+Tabla22[[#This Row],[Share diario]]</f>
        <v>3.8541631604386915E-2</v>
      </c>
      <c r="E121" s="3">
        <f>+Tabla22[[#This Row],[Global 2026]]</f>
        <v>0</v>
      </c>
      <c r="F121" s="7">
        <v>46140</v>
      </c>
      <c r="G121" s="3">
        <f>+Tabla2[[#This Row],[Meta Digital]]+Tabla2[[#This Row],[Meta MKPlace]]</f>
        <v>4177585.236082233</v>
      </c>
      <c r="H121" s="3">
        <v>3464565.051401075</v>
      </c>
      <c r="I121" s="3">
        <v>713020.18468115793</v>
      </c>
      <c r="J121" s="3">
        <v>3065439</v>
      </c>
      <c r="K121" s="3">
        <f>+Tabla22[[#This Row],[Web + APP 2026]]</f>
        <v>0</v>
      </c>
      <c r="L121" s="3">
        <v>17661.206896551721</v>
      </c>
      <c r="M121" s="3">
        <f>+Tabla22[[#This Row],[Afiliados 2026]]</f>
        <v>0</v>
      </c>
      <c r="N121" s="3">
        <v>28804</v>
      </c>
      <c r="O121" s="3">
        <f>+Tabla22[[#This Row],[TMK 2026]]</f>
        <v>0</v>
      </c>
      <c r="P121" s="3">
        <v>996</v>
      </c>
      <c r="Q121" s="3">
        <f>+Tabla22[[#This Row],[WA 2026]]</f>
        <v>0</v>
      </c>
      <c r="R121" s="3">
        <v>85432</v>
      </c>
      <c r="S121" s="3">
        <f>+Tabla22[[#This Row],[Ent. en Tienda 2026]]</f>
        <v>0</v>
      </c>
      <c r="T121" s="3">
        <v>243921</v>
      </c>
      <c r="U121" s="3">
        <f>+Tabla22[[#This Row],[Meli Drop 2026]]</f>
        <v>0</v>
      </c>
      <c r="V121" s="3">
        <v>68863</v>
      </c>
      <c r="W121" s="3">
        <f>+Tabla22[[#This Row],[Meli Full 2026]]</f>
        <v>0</v>
      </c>
      <c r="X121" s="3">
        <v>14584</v>
      </c>
      <c r="Y121" s="3">
        <f>+Tabla22[[#This Row],[Amazon Drop 2026]]</f>
        <v>0</v>
      </c>
      <c r="Z121" s="3">
        <v>9392</v>
      </c>
      <c r="AA121" s="3">
        <f>+Tabla22[[#This Row],[Amazon Full 2026]]</f>
        <v>0</v>
      </c>
      <c r="AB121" s="3">
        <v>0</v>
      </c>
      <c r="AC121" s="3">
        <f>+Tabla22[[#This Row],[TikTok 2026]]</f>
        <v>0</v>
      </c>
      <c r="AD121" s="3">
        <v>0</v>
      </c>
      <c r="AE121" s="3">
        <f>+Tabla22[[#This Row],[Shein 2026]]</f>
        <v>0</v>
      </c>
      <c r="AF121" s="5">
        <f t="shared" si="45"/>
        <v>0</v>
      </c>
      <c r="AG121" s="4">
        <f t="shared" si="46"/>
        <v>0</v>
      </c>
      <c r="AH121" s="5">
        <f t="shared" si="47"/>
        <v>-4177585.236082233</v>
      </c>
      <c r="AI121" s="17">
        <f t="shared" si="14"/>
        <v>-1</v>
      </c>
      <c r="AJ121" s="17" t="e">
        <f>+C121/#REF!</f>
        <v>#REF!</v>
      </c>
      <c r="AK121" s="14" t="e">
        <f t="shared" si="16"/>
        <v>#DIV/0!</v>
      </c>
      <c r="AL121" s="14" t="e">
        <f>+E121/#REF!-1</f>
        <v>#REF!</v>
      </c>
    </row>
    <row r="122" spans="1:38" x14ac:dyDescent="0.3">
      <c r="A122" s="63">
        <v>45777</v>
      </c>
      <c r="B122" s="3">
        <v>25819285</v>
      </c>
      <c r="C122" s="3">
        <f t="shared" si="18"/>
        <v>3278850.1724137929</v>
      </c>
      <c r="D122" s="4">
        <f>+Tabla22[[#This Row],[Share diario]]</f>
        <v>4.2563161963394838E-2</v>
      </c>
      <c r="E122" s="3">
        <f>+Tabla22[[#This Row],[Global 2026]]</f>
        <v>0</v>
      </c>
      <c r="F122" s="7">
        <v>46141</v>
      </c>
      <c r="G122" s="3">
        <f>+Tabla2[[#This Row],[Meta Digital]]+Tabla2[[#This Row],[Meta MKPlace]]</f>
        <v>4613484.9412814211</v>
      </c>
      <c r="H122" s="3">
        <v>3826066.4449586165</v>
      </c>
      <c r="I122" s="3">
        <v>787418.49632280448</v>
      </c>
      <c r="J122" s="3">
        <v>2779622</v>
      </c>
      <c r="K122" s="3">
        <f>+Tabla22[[#This Row],[Web + APP 2026]]</f>
        <v>0</v>
      </c>
      <c r="L122" s="3">
        <v>15955.172413793105</v>
      </c>
      <c r="M122" s="3">
        <f>+Tabla22[[#This Row],[Afiliados 2026]]</f>
        <v>0</v>
      </c>
      <c r="N122" s="3">
        <v>51237</v>
      </c>
      <c r="O122" s="3">
        <f>+Tabla22[[#This Row],[TMK 2026]]</f>
        <v>0</v>
      </c>
      <c r="P122" s="3">
        <v>13462</v>
      </c>
      <c r="Q122" s="3">
        <f>+Tabla22[[#This Row],[WA 2026]]</f>
        <v>0</v>
      </c>
      <c r="R122" s="3">
        <v>80785</v>
      </c>
      <c r="S122" s="3">
        <f>+Tabla22[[#This Row],[Ent. en Tienda 2026]]</f>
        <v>0</v>
      </c>
      <c r="T122" s="3">
        <v>259639</v>
      </c>
      <c r="U122" s="3">
        <f>+Tabla22[[#This Row],[Meli Drop 2026]]</f>
        <v>0</v>
      </c>
      <c r="V122" s="3">
        <v>53075</v>
      </c>
      <c r="W122" s="3">
        <f>+Tabla22[[#This Row],[Meli Full 2026]]</f>
        <v>0</v>
      </c>
      <c r="X122" s="3">
        <v>18341</v>
      </c>
      <c r="Y122" s="3">
        <f>+Tabla22[[#This Row],[Amazon Drop 2026]]</f>
        <v>0</v>
      </c>
      <c r="Z122" s="3">
        <v>6734</v>
      </c>
      <c r="AA122" s="3">
        <f>+Tabla22[[#This Row],[Amazon Full 2026]]</f>
        <v>0</v>
      </c>
      <c r="AB122" s="3">
        <v>0</v>
      </c>
      <c r="AC122" s="3">
        <f>+Tabla22[[#This Row],[TikTok 2026]]</f>
        <v>0</v>
      </c>
      <c r="AD122" s="3">
        <v>0</v>
      </c>
      <c r="AE122" s="3">
        <f>+Tabla22[[#This Row],[Shein 2026]]</f>
        <v>0</v>
      </c>
      <c r="AF122" s="5">
        <f t="shared" si="45"/>
        <v>0</v>
      </c>
      <c r="AG122" s="4">
        <f t="shared" si="46"/>
        <v>0</v>
      </c>
      <c r="AH122" s="5">
        <f t="shared" si="47"/>
        <v>-4613484.9412814211</v>
      </c>
      <c r="AI122" s="17">
        <f t="shared" si="14"/>
        <v>-1</v>
      </c>
      <c r="AJ122" s="17">
        <f t="shared" si="15"/>
        <v>0.12699229170806989</v>
      </c>
      <c r="AK122" s="14" t="e">
        <f t="shared" si="16"/>
        <v>#DIV/0!</v>
      </c>
      <c r="AL122" s="14">
        <f t="shared" si="17"/>
        <v>-1</v>
      </c>
    </row>
    <row r="123" spans="1:38" x14ac:dyDescent="0.3">
      <c r="A123" s="7">
        <v>45778</v>
      </c>
      <c r="B123" s="3">
        <v>39998805</v>
      </c>
      <c r="C123" s="3">
        <f t="shared" si="18"/>
        <v>2881877.7241379311</v>
      </c>
      <c r="D123" s="4">
        <f>+Tabla22[[#This Row],[Share diario]]</f>
        <v>3.9477960622891689E-2</v>
      </c>
      <c r="E123" s="3">
        <f>+Tabla22[[#This Row],[Global 2026]]</f>
        <v>0</v>
      </c>
      <c r="F123" s="7">
        <v>46142</v>
      </c>
      <c r="G123" s="3">
        <f>+Tabla2[[#This Row],[Meta Digital]]+Tabla2[[#This Row],[Meta MKPlace]]</f>
        <v>4279075.3422607081</v>
      </c>
      <c r="H123" s="3">
        <v>3548733.070737212</v>
      </c>
      <c r="I123" s="3">
        <v>730342.27152349625</v>
      </c>
      <c r="J123" s="3">
        <v>2265014</v>
      </c>
      <c r="K123" s="3">
        <f>+Tabla22[[#This Row],[Web + APP 2026]]</f>
        <v>0</v>
      </c>
      <c r="L123" s="3">
        <v>19726.724137931029</v>
      </c>
      <c r="M123" s="3">
        <f>+Tabla22[[#This Row],[Afiliados 2026]]</f>
        <v>0</v>
      </c>
      <c r="N123" s="3">
        <v>14608</v>
      </c>
      <c r="O123" s="3">
        <f>+Tabla22[[#This Row],[TMK 2026]]</f>
        <v>0</v>
      </c>
      <c r="P123" s="3">
        <v>195</v>
      </c>
      <c r="Q123" s="3">
        <f>+Tabla22[[#This Row],[WA 2026]]</f>
        <v>0</v>
      </c>
      <c r="R123" s="3">
        <v>107730</v>
      </c>
      <c r="S123" s="3">
        <f>+Tabla22[[#This Row],[Ent. en Tienda 2026]]</f>
        <v>0</v>
      </c>
      <c r="T123" s="3">
        <v>402948</v>
      </c>
      <c r="U123" s="3">
        <f>+Tabla22[[#This Row],[Meli Drop 2026]]</f>
        <v>0</v>
      </c>
      <c r="V123" s="3">
        <v>54211</v>
      </c>
      <c r="W123" s="3">
        <f>+Tabla22[[#This Row],[Meli Full 2026]]</f>
        <v>0</v>
      </c>
      <c r="X123" s="3">
        <v>12681</v>
      </c>
      <c r="Y123" s="3">
        <f>+Tabla22[[#This Row],[Amazon Drop 2026]]</f>
        <v>0</v>
      </c>
      <c r="Z123" s="3">
        <v>4764</v>
      </c>
      <c r="AA123" s="3">
        <f>+Tabla22[[#This Row],[Amazon Full 2026]]</f>
        <v>0</v>
      </c>
      <c r="AB123" s="3">
        <v>0</v>
      </c>
      <c r="AC123" s="3">
        <f>+Tabla22[[#This Row],[TikTok 2026]]</f>
        <v>0</v>
      </c>
      <c r="AD123" s="3">
        <v>0</v>
      </c>
      <c r="AE123" s="3">
        <f>+Tabla22[[#This Row],[Shein 2026]]</f>
        <v>0</v>
      </c>
      <c r="AF123" s="5">
        <f t="shared" si="45"/>
        <v>0</v>
      </c>
      <c r="AG123" s="4">
        <f t="shared" si="46"/>
        <v>0</v>
      </c>
      <c r="AH123" s="5">
        <f t="shared" si="47"/>
        <v>-4279075.3422607081</v>
      </c>
      <c r="AI123" s="17">
        <f t="shared" si="14"/>
        <v>-1</v>
      </c>
      <c r="AJ123" s="17">
        <f t="shared" si="15"/>
        <v>7.204909557017844E-2</v>
      </c>
      <c r="AK123" s="14" t="e">
        <f t="shared" si="16"/>
        <v>#DIV/0!</v>
      </c>
      <c r="AL123" s="14">
        <f t="shared" si="17"/>
        <v>-1</v>
      </c>
    </row>
    <row r="124" spans="1:38" x14ac:dyDescent="0.3">
      <c r="A124" s="63">
        <v>45779</v>
      </c>
      <c r="B124" s="3">
        <v>34113604</v>
      </c>
      <c r="C124" s="3">
        <f t="shared" si="18"/>
        <v>2988782.9655172415</v>
      </c>
      <c r="D124" s="4">
        <f>+Tabla22[[#This Row],[Share diario]]</f>
        <v>2.6996729414422931E-2</v>
      </c>
      <c r="E124" s="3">
        <f>+Tabla22[[#This Row],[Global 2026]]</f>
        <v>0</v>
      </c>
      <c r="F124" s="7">
        <v>46143</v>
      </c>
      <c r="G124" s="3">
        <f>+Tabla2[[#This Row],[Meta Digital]]+Tabla2[[#This Row],[Meta MKPlace]]</f>
        <v>3759995.0962186973</v>
      </c>
      <c r="H124" s="3">
        <v>2941994.1949616824</v>
      </c>
      <c r="I124" s="3">
        <v>818000.90125701483</v>
      </c>
      <c r="J124" s="3">
        <v>2379275</v>
      </c>
      <c r="K124" s="3">
        <f>+Tabla22[[#This Row],[Web + APP 2026]]</f>
        <v>0</v>
      </c>
      <c r="L124" s="3">
        <v>17493.965517241377</v>
      </c>
      <c r="M124" s="3">
        <f>+Tabla22[[#This Row],[Afiliados 2026]]</f>
        <v>0</v>
      </c>
      <c r="N124" s="3">
        <v>63530</v>
      </c>
      <c r="O124" s="3">
        <f>+Tabla22[[#This Row],[TMK 2026]]</f>
        <v>0</v>
      </c>
      <c r="P124" s="3">
        <v>10847</v>
      </c>
      <c r="Q124" s="3">
        <f>+Tabla22[[#This Row],[WA 2026]]</f>
        <v>0</v>
      </c>
      <c r="R124" s="3">
        <v>83416</v>
      </c>
      <c r="S124" s="3">
        <f>+Tabla22[[#This Row],[Ent. en Tienda 2026]]</f>
        <v>0</v>
      </c>
      <c r="T124" s="3">
        <v>355472</v>
      </c>
      <c r="U124" s="3">
        <f>+Tabla22[[#This Row],[Meli Drop 2026]]</f>
        <v>0</v>
      </c>
      <c r="V124" s="3">
        <v>50730</v>
      </c>
      <c r="W124" s="3">
        <f>+Tabla22[[#This Row],[Meli Full 2026]]</f>
        <v>0</v>
      </c>
      <c r="X124" s="3">
        <v>19076</v>
      </c>
      <c r="Y124" s="3">
        <f>+Tabla22[[#This Row],[Amazon Drop 2026]]</f>
        <v>0</v>
      </c>
      <c r="Z124" s="3">
        <v>8943</v>
      </c>
      <c r="AA124" s="3">
        <f>+Tabla22[[#This Row],[Amazon Full 2026]]</f>
        <v>0</v>
      </c>
      <c r="AB124" s="3">
        <v>0</v>
      </c>
      <c r="AC124" s="3">
        <f>+Tabla22[[#This Row],[TikTok 2026]]</f>
        <v>0</v>
      </c>
      <c r="AD124" s="3">
        <v>0</v>
      </c>
      <c r="AE124" s="3">
        <f>+Tabla22[[#This Row],[Shein 2026]]</f>
        <v>0</v>
      </c>
      <c r="AF124" s="5">
        <f t="shared" si="45"/>
        <v>0</v>
      </c>
      <c r="AG124" s="4">
        <f t="shared" si="46"/>
        <v>0</v>
      </c>
      <c r="AH124" s="5">
        <f t="shared" si="47"/>
        <v>-3759995.0962186973</v>
      </c>
      <c r="AI124" s="17">
        <f t="shared" si="14"/>
        <v>-1</v>
      </c>
      <c r="AJ124" s="17">
        <f t="shared" si="15"/>
        <v>8.7612641734284111E-2</v>
      </c>
      <c r="AK124" s="14" t="e">
        <f t="shared" si="16"/>
        <v>#DIV/0!</v>
      </c>
      <c r="AL124" s="14">
        <f t="shared" si="17"/>
        <v>-1</v>
      </c>
    </row>
    <row r="125" spans="1:38" x14ac:dyDescent="0.3">
      <c r="A125" s="7">
        <v>45780</v>
      </c>
      <c r="B125" s="3">
        <v>37655000</v>
      </c>
      <c r="C125" s="3">
        <f t="shared" si="18"/>
        <v>2280489.8275862066</v>
      </c>
      <c r="D125" s="4">
        <f>+Tabla22[[#This Row],[Share diario]]</f>
        <v>2.7998191707679716E-2</v>
      </c>
      <c r="E125" s="3">
        <f>+Tabla22[[#This Row],[Global 2026]]</f>
        <v>0</v>
      </c>
      <c r="F125" s="7">
        <v>46144</v>
      </c>
      <c r="G125" s="3">
        <f>+Tabla2[[#This Row],[Meta Digital]]+Tabla2[[#This Row],[Meta MKPlace]]</f>
        <v>3899474.7070222832</v>
      </c>
      <c r="H125" s="3">
        <v>3051129.4982795878</v>
      </c>
      <c r="I125" s="3">
        <v>848345.20874269539</v>
      </c>
      <c r="J125" s="3">
        <v>1689171</v>
      </c>
      <c r="K125" s="3">
        <f>+Tabla22[[#This Row],[Web + APP 2026]]</f>
        <v>0</v>
      </c>
      <c r="L125" s="3">
        <v>20994.827586206891</v>
      </c>
      <c r="M125" s="3">
        <f>+Tabla22[[#This Row],[Afiliados 2026]]</f>
        <v>0</v>
      </c>
      <c r="N125" s="3">
        <v>23268</v>
      </c>
      <c r="O125" s="3">
        <f>+Tabla22[[#This Row],[TMK 2026]]</f>
        <v>0</v>
      </c>
      <c r="P125" s="3">
        <v>3184</v>
      </c>
      <c r="Q125" s="3">
        <f>+Tabla22[[#This Row],[WA 2026]]</f>
        <v>0</v>
      </c>
      <c r="R125" s="3">
        <v>72034</v>
      </c>
      <c r="S125" s="3">
        <f>+Tabla22[[#This Row],[Ent. en Tienda 2026]]</f>
        <v>0</v>
      </c>
      <c r="T125" s="3">
        <v>398776</v>
      </c>
      <c r="U125" s="3">
        <f>+Tabla22[[#This Row],[Meli Drop 2026]]</f>
        <v>0</v>
      </c>
      <c r="V125" s="3">
        <v>45043</v>
      </c>
      <c r="W125" s="3">
        <f>+Tabla22[[#This Row],[Meli Full 2026]]</f>
        <v>0</v>
      </c>
      <c r="X125" s="3">
        <v>18901</v>
      </c>
      <c r="Y125" s="3">
        <f>+Tabla22[[#This Row],[Amazon Drop 2026]]</f>
        <v>0</v>
      </c>
      <c r="Z125" s="3">
        <v>9118</v>
      </c>
      <c r="AA125" s="3">
        <f>+Tabla22[[#This Row],[Amazon Full 2026]]</f>
        <v>0</v>
      </c>
      <c r="AB125" s="3">
        <v>0</v>
      </c>
      <c r="AC125" s="3">
        <f>+Tabla22[[#This Row],[TikTok 2026]]</f>
        <v>0</v>
      </c>
      <c r="AD125" s="3">
        <v>0</v>
      </c>
      <c r="AE125" s="3">
        <f>+Tabla22[[#This Row],[Shein 2026]]</f>
        <v>0</v>
      </c>
      <c r="AF125" s="5">
        <f t="shared" si="45"/>
        <v>0</v>
      </c>
      <c r="AG125" s="4">
        <f t="shared" si="46"/>
        <v>0</v>
      </c>
      <c r="AH125" s="5">
        <f t="shared" si="47"/>
        <v>-3899474.7070222832</v>
      </c>
      <c r="AI125" s="17">
        <f t="shared" si="14"/>
        <v>-1</v>
      </c>
      <c r="AJ125" s="17">
        <f t="shared" si="15"/>
        <v>6.0562736093113974E-2</v>
      </c>
      <c r="AK125" s="14" t="e">
        <f t="shared" si="16"/>
        <v>#DIV/0!</v>
      </c>
      <c r="AL125" s="14">
        <f t="shared" si="17"/>
        <v>-1</v>
      </c>
    </row>
    <row r="126" spans="1:38" x14ac:dyDescent="0.3">
      <c r="A126" s="63">
        <v>45781</v>
      </c>
      <c r="B126" s="3">
        <v>39231400</v>
      </c>
      <c r="C126" s="3">
        <f t="shared" si="18"/>
        <v>2982288.8965517241</v>
      </c>
      <c r="D126" s="4">
        <f>+Tabla22[[#This Row],[Share diario]]</f>
        <v>2.136307390560967E-2</v>
      </c>
      <c r="E126" s="3">
        <f>+Tabla22[[#This Row],[Global 2026]]</f>
        <v>0</v>
      </c>
      <c r="F126" s="7">
        <v>46145</v>
      </c>
      <c r="G126" s="3">
        <f>+Tabla2[[#This Row],[Meta Digital]]+Tabla2[[#This Row],[Meta MKPlace]]</f>
        <v>2975362.3815756189</v>
      </c>
      <c r="H126" s="3">
        <v>2328061.2422356457</v>
      </c>
      <c r="I126" s="3">
        <v>647301.13933997299</v>
      </c>
      <c r="J126" s="3">
        <v>2360873</v>
      </c>
      <c r="K126" s="3">
        <f>+Tabla22[[#This Row],[Web + APP 2026]]</f>
        <v>0</v>
      </c>
      <c r="L126" s="3">
        <v>20781.896551724134</v>
      </c>
      <c r="M126" s="3">
        <f>+Tabla22[[#This Row],[Afiliados 2026]]</f>
        <v>0</v>
      </c>
      <c r="N126" s="3">
        <v>21236</v>
      </c>
      <c r="O126" s="3">
        <f>+Tabla22[[#This Row],[TMK 2026]]</f>
        <v>0</v>
      </c>
      <c r="P126" s="3">
        <v>2543</v>
      </c>
      <c r="Q126" s="3">
        <f>+Tabla22[[#This Row],[WA 2026]]</f>
        <v>0</v>
      </c>
      <c r="R126" s="3">
        <v>57471</v>
      </c>
      <c r="S126" s="3">
        <f>+Tabla22[[#This Row],[Ent. en Tienda 2026]]</f>
        <v>0</v>
      </c>
      <c r="T126" s="3">
        <v>451270</v>
      </c>
      <c r="U126" s="3">
        <f>+Tabla22[[#This Row],[Meli Drop 2026]]</f>
        <v>0</v>
      </c>
      <c r="V126" s="3">
        <v>37594</v>
      </c>
      <c r="W126" s="3">
        <f>+Tabla22[[#This Row],[Meli Full 2026]]</f>
        <v>0</v>
      </c>
      <c r="X126" s="3">
        <v>17703</v>
      </c>
      <c r="Y126" s="3">
        <f>+Tabla22[[#This Row],[Amazon Drop 2026]]</f>
        <v>0</v>
      </c>
      <c r="Z126" s="3">
        <v>12817</v>
      </c>
      <c r="AA126" s="3">
        <f>+Tabla22[[#This Row],[Amazon Full 2026]]</f>
        <v>0</v>
      </c>
      <c r="AB126" s="3">
        <v>0</v>
      </c>
      <c r="AC126" s="3">
        <f>+Tabla22[[#This Row],[TikTok 2026]]</f>
        <v>0</v>
      </c>
      <c r="AD126" s="3">
        <v>0</v>
      </c>
      <c r="AE126" s="3">
        <f>+Tabla22[[#This Row],[Shein 2026]]</f>
        <v>0</v>
      </c>
      <c r="AF126" s="5">
        <f t="shared" si="45"/>
        <v>0</v>
      </c>
      <c r="AG126" s="4">
        <f t="shared" si="46"/>
        <v>0</v>
      </c>
      <c r="AH126" s="5">
        <f t="shared" si="47"/>
        <v>-2975362.3815756189</v>
      </c>
      <c r="AI126" s="17">
        <f t="shared" si="14"/>
        <v>-1</v>
      </c>
      <c r="AJ126" s="17">
        <f t="shared" si="15"/>
        <v>7.6017906486939651E-2</v>
      </c>
      <c r="AK126" s="14" t="e">
        <f t="shared" si="16"/>
        <v>#DIV/0!</v>
      </c>
      <c r="AL126" s="14">
        <f t="shared" si="17"/>
        <v>-1</v>
      </c>
    </row>
    <row r="127" spans="1:38" x14ac:dyDescent="0.3">
      <c r="A127" s="7">
        <v>45782</v>
      </c>
      <c r="B127" s="3">
        <v>35100553</v>
      </c>
      <c r="C127" s="3">
        <f t="shared" si="18"/>
        <v>4513269.1034482755</v>
      </c>
      <c r="D127" s="4">
        <f>+Tabla22[[#This Row],[Share diario]]</f>
        <v>2.7937356849492553E-2</v>
      </c>
      <c r="E127" s="3">
        <f>+Tabla22[[#This Row],[Global 2026]]</f>
        <v>0</v>
      </c>
      <c r="F127" s="7">
        <v>46146</v>
      </c>
      <c r="G127" s="3">
        <f>+Tabla2[[#This Row],[Meta Digital]]+Tabla2[[#This Row],[Meta MKPlace]]</f>
        <v>3891001.8744449904</v>
      </c>
      <c r="H127" s="3">
        <v>3044499.9619053658</v>
      </c>
      <c r="I127" s="3">
        <v>846501.91253962438</v>
      </c>
      <c r="J127" s="3">
        <v>3556029</v>
      </c>
      <c r="K127" s="3">
        <f>+Tabla22[[#This Row],[Web + APP 2026]]</f>
        <v>0</v>
      </c>
      <c r="L127" s="3">
        <v>14493.103448275862</v>
      </c>
      <c r="M127" s="3">
        <f>+Tabla22[[#This Row],[Afiliados 2026]]</f>
        <v>0</v>
      </c>
      <c r="N127" s="3">
        <v>86421</v>
      </c>
      <c r="O127" s="3">
        <f>+Tabla22[[#This Row],[TMK 2026]]</f>
        <v>0</v>
      </c>
      <c r="P127" s="3">
        <v>8958</v>
      </c>
      <c r="Q127" s="3">
        <f>+Tabla22[[#This Row],[WA 2026]]</f>
        <v>0</v>
      </c>
      <c r="R127" s="3">
        <v>100498</v>
      </c>
      <c r="S127" s="3">
        <f>+Tabla22[[#This Row],[Ent. en Tienda 2026]]</f>
        <v>0</v>
      </c>
      <c r="T127" s="3">
        <v>625936</v>
      </c>
      <c r="U127" s="3">
        <f>+Tabla22[[#This Row],[Meli Drop 2026]]</f>
        <v>0</v>
      </c>
      <c r="V127" s="3">
        <v>72774</v>
      </c>
      <c r="W127" s="3">
        <f>+Tabla22[[#This Row],[Meli Full 2026]]</f>
        <v>0</v>
      </c>
      <c r="X127" s="3">
        <v>35858</v>
      </c>
      <c r="Y127" s="3">
        <f>+Tabla22[[#This Row],[Amazon Drop 2026]]</f>
        <v>0</v>
      </c>
      <c r="Z127" s="3">
        <v>12302</v>
      </c>
      <c r="AA127" s="3">
        <f>+Tabla22[[#This Row],[Amazon Full 2026]]</f>
        <v>0</v>
      </c>
      <c r="AB127" s="3">
        <v>0</v>
      </c>
      <c r="AC127" s="3">
        <f>+Tabla22[[#This Row],[TikTok 2026]]</f>
        <v>0</v>
      </c>
      <c r="AD127" s="3">
        <v>0</v>
      </c>
      <c r="AE127" s="3">
        <f>+Tabla22[[#This Row],[Shein 2026]]</f>
        <v>0</v>
      </c>
      <c r="AF127" s="5">
        <f t="shared" si="45"/>
        <v>0</v>
      </c>
      <c r="AG127" s="4">
        <f t="shared" si="46"/>
        <v>0</v>
      </c>
      <c r="AH127" s="5">
        <f t="shared" si="47"/>
        <v>-3891001.8744449904</v>
      </c>
      <c r="AI127" s="17">
        <f t="shared" si="14"/>
        <v>-1</v>
      </c>
      <c r="AJ127" s="17">
        <f t="shared" si="15"/>
        <v>0.12858113954638481</v>
      </c>
      <c r="AK127" s="14" t="e">
        <f t="shared" si="16"/>
        <v>#DIV/0!</v>
      </c>
      <c r="AL127" s="14">
        <f t="shared" si="17"/>
        <v>-1</v>
      </c>
    </row>
    <row r="128" spans="1:38" x14ac:dyDescent="0.3">
      <c r="A128" s="63">
        <v>45783</v>
      </c>
      <c r="B128" s="3">
        <v>33135134</v>
      </c>
      <c r="C128" s="3">
        <f t="shared" si="18"/>
        <v>4819689.3103448274</v>
      </c>
      <c r="D128" s="4">
        <f>+Tabla22[[#This Row],[Share diario]]</f>
        <v>4.2279206969725217E-2</v>
      </c>
      <c r="E128" s="3">
        <f>+Tabla22[[#This Row],[Global 2026]]</f>
        <v>0</v>
      </c>
      <c r="F128" s="7">
        <v>46147</v>
      </c>
      <c r="G128" s="3">
        <f>+Tabla2[[#This Row],[Meta Digital]]+Tabla2[[#This Row],[Meta MKPlace]]</f>
        <v>5888476.6535183731</v>
      </c>
      <c r="H128" s="3">
        <v>4607416.682335699</v>
      </c>
      <c r="I128" s="3">
        <v>1281059.9711826742</v>
      </c>
      <c r="J128" s="3">
        <v>3803392</v>
      </c>
      <c r="K128" s="3">
        <f>+Tabla22[[#This Row],[Web + APP 2026]]</f>
        <v>0</v>
      </c>
      <c r="L128" s="3">
        <v>19229.310344827587</v>
      </c>
      <c r="M128" s="3">
        <f>+Tabla22[[#This Row],[Afiliados 2026]]</f>
        <v>0</v>
      </c>
      <c r="N128" s="3">
        <v>89988</v>
      </c>
      <c r="O128" s="3">
        <f>+Tabla22[[#This Row],[TMK 2026]]</f>
        <v>0</v>
      </c>
      <c r="P128" s="3">
        <v>20578</v>
      </c>
      <c r="Q128" s="3">
        <f>+Tabla22[[#This Row],[WA 2026]]</f>
        <v>0</v>
      </c>
      <c r="R128" s="3">
        <v>75155</v>
      </c>
      <c r="S128" s="3">
        <f>+Tabla22[[#This Row],[Ent. en Tienda 2026]]</f>
        <v>0</v>
      </c>
      <c r="T128" s="3">
        <v>719475</v>
      </c>
      <c r="U128" s="3">
        <f>+Tabla22[[#This Row],[Meli Drop 2026]]</f>
        <v>0</v>
      </c>
      <c r="V128" s="3">
        <v>54500</v>
      </c>
      <c r="W128" s="3">
        <f>+Tabla22[[#This Row],[Meli Full 2026]]</f>
        <v>0</v>
      </c>
      <c r="X128" s="3">
        <v>28166</v>
      </c>
      <c r="Y128" s="3">
        <f>+Tabla22[[#This Row],[Amazon Drop 2026]]</f>
        <v>0</v>
      </c>
      <c r="Z128" s="3">
        <v>9206</v>
      </c>
      <c r="AA128" s="3">
        <f>+Tabla22[[#This Row],[Amazon Full 2026]]</f>
        <v>0</v>
      </c>
      <c r="AB128" s="3">
        <v>0</v>
      </c>
      <c r="AC128" s="3">
        <f>+Tabla22[[#This Row],[TikTok 2026]]</f>
        <v>0</v>
      </c>
      <c r="AD128" s="3">
        <v>0</v>
      </c>
      <c r="AE128" s="3">
        <f>+Tabla22[[#This Row],[Shein 2026]]</f>
        <v>0</v>
      </c>
      <c r="AF128" s="5">
        <f t="shared" si="45"/>
        <v>0</v>
      </c>
      <c r="AG128" s="4">
        <f t="shared" si="46"/>
        <v>0</v>
      </c>
      <c r="AH128" s="5">
        <f t="shared" si="47"/>
        <v>-5888476.6535183731</v>
      </c>
      <c r="AI128" s="17">
        <f t="shared" si="14"/>
        <v>-1</v>
      </c>
      <c r="AJ128" s="17">
        <f t="shared" si="15"/>
        <v>0.14545555513204889</v>
      </c>
      <c r="AK128" s="14" t="e">
        <f t="shared" si="16"/>
        <v>#DIV/0!</v>
      </c>
      <c r="AL128" s="14">
        <f t="shared" si="17"/>
        <v>-1</v>
      </c>
    </row>
    <row r="129" spans="1:38" x14ac:dyDescent="0.3">
      <c r="A129" s="7">
        <v>45784</v>
      </c>
      <c r="B129" s="3">
        <v>39489714</v>
      </c>
      <c r="C129" s="3">
        <f t="shared" si="18"/>
        <v>4218832.7241379311</v>
      </c>
      <c r="D129" s="4">
        <f>+Tabla22[[#This Row],[Share diario]]</f>
        <v>4.514967692180212E-2</v>
      </c>
      <c r="E129" s="3">
        <f>+Tabla22[[#This Row],[Global 2026]]</f>
        <v>0</v>
      </c>
      <c r="F129" s="7">
        <v>46148</v>
      </c>
      <c r="G129" s="3">
        <f>+Tabla2[[#This Row],[Meta Digital]]+Tabla2[[#This Row],[Meta MKPlace]]</f>
        <v>6288264.0788013097</v>
      </c>
      <c r="H129" s="3">
        <v>4920228.8680707058</v>
      </c>
      <c r="I129" s="3">
        <v>1368035.2107306044</v>
      </c>
      <c r="J129" s="3">
        <v>3212527</v>
      </c>
      <c r="K129" s="3">
        <f>+Tabla22[[#This Row],[Web + APP 2026]]</f>
        <v>0</v>
      </c>
      <c r="L129" s="3">
        <v>17851.724137931036</v>
      </c>
      <c r="M129" s="3">
        <f>+Tabla22[[#This Row],[Afiliados 2026]]</f>
        <v>0</v>
      </c>
      <c r="N129" s="3">
        <v>61190</v>
      </c>
      <c r="O129" s="3">
        <f>+Tabla22[[#This Row],[TMK 2026]]</f>
        <v>0</v>
      </c>
      <c r="P129" s="3">
        <v>12303</v>
      </c>
      <c r="Q129" s="3">
        <f>+Tabla22[[#This Row],[WA 2026]]</f>
        <v>0</v>
      </c>
      <c r="R129" s="3">
        <v>116730</v>
      </c>
      <c r="S129" s="3">
        <f>+Tabla22[[#This Row],[Ent. en Tienda 2026]]</f>
        <v>0</v>
      </c>
      <c r="T129" s="3">
        <v>705144</v>
      </c>
      <c r="U129" s="3">
        <f>+Tabla22[[#This Row],[Meli Drop 2026]]</f>
        <v>0</v>
      </c>
      <c r="V129" s="3">
        <v>60042</v>
      </c>
      <c r="W129" s="3">
        <f>+Tabla22[[#This Row],[Meli Full 2026]]</f>
        <v>0</v>
      </c>
      <c r="X129" s="3">
        <v>17079</v>
      </c>
      <c r="Y129" s="3">
        <f>+Tabla22[[#This Row],[Amazon Drop 2026]]</f>
        <v>0</v>
      </c>
      <c r="Z129" s="3">
        <v>15966</v>
      </c>
      <c r="AA129" s="3">
        <f>+Tabla22[[#This Row],[Amazon Full 2026]]</f>
        <v>0</v>
      </c>
      <c r="AB129" s="3">
        <v>0</v>
      </c>
      <c r="AC129" s="3">
        <f>+Tabla22[[#This Row],[TikTok 2026]]</f>
        <v>0</v>
      </c>
      <c r="AD129" s="3">
        <v>0</v>
      </c>
      <c r="AE129" s="3">
        <f>+Tabla22[[#This Row],[Shein 2026]]</f>
        <v>0</v>
      </c>
      <c r="AF129" s="5">
        <f t="shared" si="45"/>
        <v>0</v>
      </c>
      <c r="AG129" s="4">
        <f t="shared" si="46"/>
        <v>0</v>
      </c>
      <c r="AH129" s="5">
        <f t="shared" si="47"/>
        <v>-6288264.0788013097</v>
      </c>
      <c r="AI129" s="17">
        <f t="shared" si="14"/>
        <v>-1</v>
      </c>
      <c r="AJ129" s="17">
        <f t="shared" si="15"/>
        <v>0.10683371178980762</v>
      </c>
      <c r="AK129" s="14" t="e">
        <f t="shared" si="16"/>
        <v>#DIV/0!</v>
      </c>
      <c r="AL129" s="14">
        <f t="shared" si="17"/>
        <v>-1</v>
      </c>
    </row>
    <row r="130" spans="1:38" x14ac:dyDescent="0.3">
      <c r="A130" s="63">
        <v>45785</v>
      </c>
      <c r="B130" s="3">
        <v>45546209</v>
      </c>
      <c r="C130" s="3">
        <f t="shared" si="18"/>
        <v>2913787.7931034481</v>
      </c>
      <c r="D130" s="4">
        <f>+Tabla22[[#This Row],[Share diario]]</f>
        <v>3.9520998599041651E-2</v>
      </c>
      <c r="E130" s="3">
        <f>+Tabla22[[#This Row],[Global 2026]]</f>
        <v>0</v>
      </c>
      <c r="F130" s="7">
        <v>46149</v>
      </c>
      <c r="G130" s="3">
        <f>+Tabla2[[#This Row],[Meta Digital]]+Tabla2[[#This Row],[Meta MKPlace]]</f>
        <v>5504324.5664667115</v>
      </c>
      <c r="H130" s="3">
        <v>4306838.3089157492</v>
      </c>
      <c r="I130" s="3">
        <v>1197486.257550962</v>
      </c>
      <c r="J130" s="3">
        <v>2020027</v>
      </c>
      <c r="K130" s="3">
        <f>+Tabla22[[#This Row],[Web + APP 2026]]</f>
        <v>0</v>
      </c>
      <c r="L130" s="3">
        <v>18313.793103448275</v>
      </c>
      <c r="M130" s="3">
        <f>+Tabla22[[#This Row],[Afiliados 2026]]</f>
        <v>0</v>
      </c>
      <c r="N130" s="3">
        <v>30809</v>
      </c>
      <c r="O130" s="3">
        <f>+Tabla22[[#This Row],[TMK 2026]]</f>
        <v>0</v>
      </c>
      <c r="P130" s="3">
        <v>14752</v>
      </c>
      <c r="Q130" s="3">
        <f>+Tabla22[[#This Row],[WA 2026]]</f>
        <v>0</v>
      </c>
      <c r="R130" s="3">
        <v>72647</v>
      </c>
      <c r="S130" s="3">
        <f>+Tabla22[[#This Row],[Ent. en Tienda 2026]]</f>
        <v>0</v>
      </c>
      <c r="T130" s="3">
        <v>653374</v>
      </c>
      <c r="U130" s="3">
        <f>+Tabla22[[#This Row],[Meli Drop 2026]]</f>
        <v>0</v>
      </c>
      <c r="V130" s="3">
        <v>69136</v>
      </c>
      <c r="W130" s="3">
        <f>+Tabla22[[#This Row],[Meli Full 2026]]</f>
        <v>0</v>
      </c>
      <c r="X130" s="3">
        <v>20501</v>
      </c>
      <c r="Y130" s="3">
        <f>+Tabla22[[#This Row],[Amazon Drop 2026]]</f>
        <v>0</v>
      </c>
      <c r="Z130" s="3">
        <v>14228</v>
      </c>
      <c r="AA130" s="3">
        <f>+Tabla22[[#This Row],[Amazon Full 2026]]</f>
        <v>0</v>
      </c>
      <c r="AB130" s="3">
        <v>0</v>
      </c>
      <c r="AC130" s="3">
        <f>+Tabla22[[#This Row],[TikTok 2026]]</f>
        <v>0</v>
      </c>
      <c r="AD130" s="3">
        <v>0</v>
      </c>
      <c r="AE130" s="3">
        <f>+Tabla22[[#This Row],[Shein 2026]]</f>
        <v>0</v>
      </c>
      <c r="AF130" s="5">
        <f t="shared" si="45"/>
        <v>0</v>
      </c>
      <c r="AG130" s="4">
        <f t="shared" si="46"/>
        <v>0</v>
      </c>
      <c r="AH130" s="5">
        <f t="shared" si="47"/>
        <v>-5504324.5664667115</v>
      </c>
      <c r="AI130" s="17">
        <f t="shared" si="14"/>
        <v>-1</v>
      </c>
      <c r="AJ130" s="17">
        <f t="shared" si="15"/>
        <v>6.3974320960575398E-2</v>
      </c>
      <c r="AK130" s="14" t="e">
        <f t="shared" si="16"/>
        <v>#DIV/0!</v>
      </c>
      <c r="AL130" s="14">
        <f t="shared" si="17"/>
        <v>-1</v>
      </c>
    </row>
    <row r="131" spans="1:38" x14ac:dyDescent="0.3">
      <c r="A131" s="7">
        <v>45786</v>
      </c>
      <c r="B131" s="3">
        <v>51077737</v>
      </c>
      <c r="C131" s="3">
        <f t="shared" si="18"/>
        <v>2105204.0344827585</v>
      </c>
      <c r="D131" s="4">
        <f>+Tabla22[[#This Row],[Share diario]]</f>
        <v>2.729565517738719E-2</v>
      </c>
      <c r="E131" s="3">
        <f>+Tabla22[[#This Row],[Global 2026]]</f>
        <v>0</v>
      </c>
      <c r="F131" s="7">
        <v>46150</v>
      </c>
      <c r="G131" s="3">
        <f>+Tabla2[[#This Row],[Meta Digital]]+Tabla2[[#This Row],[Meta MKPlace]]</f>
        <v>3801628.2653935738</v>
      </c>
      <c r="H131" s="3">
        <v>2974569.9135187422</v>
      </c>
      <c r="I131" s="3">
        <v>827058.35187483183</v>
      </c>
      <c r="J131" s="3">
        <v>1388636</v>
      </c>
      <c r="K131" s="3">
        <f>+Tabla22[[#This Row],[Web + APP 2026]]</f>
        <v>0</v>
      </c>
      <c r="L131" s="3">
        <v>19131.03448275862</v>
      </c>
      <c r="M131" s="3">
        <f>+Tabla22[[#This Row],[Afiliados 2026]]</f>
        <v>0</v>
      </c>
      <c r="N131" s="3">
        <v>16561</v>
      </c>
      <c r="O131" s="3">
        <f>+Tabla22[[#This Row],[TMK 2026]]</f>
        <v>0</v>
      </c>
      <c r="P131" s="3">
        <v>4452</v>
      </c>
      <c r="Q131" s="3">
        <f>+Tabla22[[#This Row],[WA 2026]]</f>
        <v>0</v>
      </c>
      <c r="R131" s="3">
        <v>114101</v>
      </c>
      <c r="S131" s="3">
        <f>+Tabla22[[#This Row],[Ent. en Tienda 2026]]</f>
        <v>0</v>
      </c>
      <c r="T131" s="3">
        <v>495524</v>
      </c>
      <c r="U131" s="3">
        <f>+Tabla22[[#This Row],[Meli Drop 2026]]</f>
        <v>0</v>
      </c>
      <c r="V131" s="3">
        <v>50019</v>
      </c>
      <c r="W131" s="3">
        <f>+Tabla22[[#This Row],[Meli Full 2026]]</f>
        <v>0</v>
      </c>
      <c r="X131" s="3">
        <v>9383</v>
      </c>
      <c r="Y131" s="3">
        <f>+Tabla22[[#This Row],[Amazon Drop 2026]]</f>
        <v>0</v>
      </c>
      <c r="Z131" s="3">
        <v>7397</v>
      </c>
      <c r="AA131" s="3">
        <f>+Tabla22[[#This Row],[Amazon Full 2026]]</f>
        <v>0</v>
      </c>
      <c r="AB131" s="3">
        <v>0</v>
      </c>
      <c r="AC131" s="3">
        <f>+Tabla22[[#This Row],[TikTok 2026]]</f>
        <v>0</v>
      </c>
      <c r="AD131" s="3">
        <v>0</v>
      </c>
      <c r="AE131" s="3">
        <f>+Tabla22[[#This Row],[Shein 2026]]</f>
        <v>0</v>
      </c>
      <c r="AF131" s="5">
        <f t="shared" si="45"/>
        <v>0</v>
      </c>
      <c r="AG131" s="4">
        <f t="shared" si="46"/>
        <v>0</v>
      </c>
      <c r="AH131" s="5">
        <f t="shared" si="47"/>
        <v>-3801628.2653935738</v>
      </c>
      <c r="AI131" s="17">
        <f t="shared" si="14"/>
        <v>-1</v>
      </c>
      <c r="AJ131" s="17">
        <f t="shared" si="15"/>
        <v>4.1215687266700135E-2</v>
      </c>
      <c r="AK131" s="14" t="e">
        <f t="shared" si="16"/>
        <v>#DIV/0!</v>
      </c>
      <c r="AL131" s="14">
        <f t="shared" si="17"/>
        <v>-1</v>
      </c>
    </row>
    <row r="132" spans="1:38" x14ac:dyDescent="0.3">
      <c r="A132" s="63">
        <v>45787</v>
      </c>
      <c r="B132" s="3">
        <v>40072359</v>
      </c>
      <c r="C132" s="3">
        <f t="shared" si="18"/>
        <v>1764213.8275862068</v>
      </c>
      <c r="D132" s="4">
        <f>+Tabla22[[#This Row],[Share diario]]</f>
        <v>1.9721039239471345E-2</v>
      </c>
      <c r="E132" s="3">
        <f>+Tabla22[[#This Row],[Global 2026]]</f>
        <v>0</v>
      </c>
      <c r="F132" s="7">
        <v>46151</v>
      </c>
      <c r="G132" s="3">
        <f>+Tabla2[[#This Row],[Meta Digital]]+Tabla2[[#This Row],[Meta MKPlace]]</f>
        <v>2746666.4459411809</v>
      </c>
      <c r="H132" s="3">
        <v>2149118.9569851989</v>
      </c>
      <c r="I132" s="3">
        <v>597547.4889559818</v>
      </c>
      <c r="J132" s="3">
        <v>1118094</v>
      </c>
      <c r="K132" s="3">
        <f>+Tabla22[[#This Row],[Web + APP 2026]]</f>
        <v>0</v>
      </c>
      <c r="L132" s="3">
        <v>16069.827586206895</v>
      </c>
      <c r="M132" s="3">
        <f>+Tabla22[[#This Row],[Afiliados 2026]]</f>
        <v>0</v>
      </c>
      <c r="N132" s="3">
        <v>8962</v>
      </c>
      <c r="O132" s="3">
        <f>+Tabla22[[#This Row],[TMK 2026]]</f>
        <v>0</v>
      </c>
      <c r="P132" s="3">
        <v>3222</v>
      </c>
      <c r="Q132" s="3">
        <f>+Tabla22[[#This Row],[WA 2026]]</f>
        <v>0</v>
      </c>
      <c r="R132" s="3">
        <v>74464</v>
      </c>
      <c r="S132" s="3">
        <f>+Tabla22[[#This Row],[Ent. en Tienda 2026]]</f>
        <v>0</v>
      </c>
      <c r="T132" s="3">
        <v>461097</v>
      </c>
      <c r="U132" s="3">
        <f>+Tabla22[[#This Row],[Meli Drop 2026]]</f>
        <v>0</v>
      </c>
      <c r="V132" s="3">
        <v>61803</v>
      </c>
      <c r="W132" s="3">
        <f>+Tabla22[[#This Row],[Meli Full 2026]]</f>
        <v>0</v>
      </c>
      <c r="X132" s="3">
        <v>8257</v>
      </c>
      <c r="Y132" s="3">
        <f>+Tabla22[[#This Row],[Amazon Drop 2026]]</f>
        <v>0</v>
      </c>
      <c r="Z132" s="3">
        <v>12245</v>
      </c>
      <c r="AA132" s="3">
        <f>+Tabla22[[#This Row],[Amazon Full 2026]]</f>
        <v>0</v>
      </c>
      <c r="AB132" s="3">
        <v>0</v>
      </c>
      <c r="AC132" s="3">
        <f>+Tabla22[[#This Row],[TikTok 2026]]</f>
        <v>0</v>
      </c>
      <c r="AD132" s="3">
        <v>0</v>
      </c>
      <c r="AE132" s="3">
        <f>+Tabla22[[#This Row],[Shein 2026]]</f>
        <v>0</v>
      </c>
      <c r="AF132" s="5">
        <f t="shared" si="45"/>
        <v>0</v>
      </c>
      <c r="AG132" s="4">
        <f t="shared" si="46"/>
        <v>0</v>
      </c>
      <c r="AH132" s="5">
        <f t="shared" si="47"/>
        <v>-2746666.4459411809</v>
      </c>
      <c r="AI132" s="17">
        <f t="shared" ref="AI132:AI195" si="50">+AF132/C132-1</f>
        <v>-1</v>
      </c>
      <c r="AJ132" s="17">
        <f t="shared" ref="AJ132:AJ195" si="51">+C132/B132</f>
        <v>4.4025704291234931E-2</v>
      </c>
      <c r="AK132" s="14" t="e">
        <f t="shared" ref="AK132:AK195" si="52">+AF132/E132</f>
        <v>#DIV/0!</v>
      </c>
      <c r="AL132" s="14">
        <f t="shared" ref="AL132:AL195" si="53">+E132/B132-1</f>
        <v>-1</v>
      </c>
    </row>
    <row r="133" spans="1:38" x14ac:dyDescent="0.3">
      <c r="A133" s="7">
        <v>45788</v>
      </c>
      <c r="B133" s="3">
        <v>40325337</v>
      </c>
      <c r="C133" s="3">
        <f t="shared" ref="C133:C196" si="54">+J133+L133+N133+P133+R133+T133+V133+X133+Z133+AB133+AD133</f>
        <v>2124804.2758620689</v>
      </c>
      <c r="D133" s="4">
        <f>+Tabla22[[#This Row],[Share diario]]</f>
        <v>1.6526725937609097E-2</v>
      </c>
      <c r="E133" s="3">
        <f>+Tabla22[[#This Row],[Global 2026]]</f>
        <v>0</v>
      </c>
      <c r="F133" s="7">
        <v>46152</v>
      </c>
      <c r="G133" s="3">
        <f>+Tabla2[[#This Row],[Meta Digital]]+Tabla2[[#This Row],[Meta MKPlace]]</f>
        <v>2301775.4309439501</v>
      </c>
      <c r="H133" s="3">
        <v>1801015.6350343945</v>
      </c>
      <c r="I133" s="3">
        <v>500759.79590955563</v>
      </c>
      <c r="J133" s="3">
        <v>1562577</v>
      </c>
      <c r="K133" s="3">
        <f>+Tabla22[[#This Row],[Web + APP 2026]]</f>
        <v>0</v>
      </c>
      <c r="L133" s="3">
        <v>20098.275862068964</v>
      </c>
      <c r="M133" s="3">
        <f>+Tabla22[[#This Row],[Afiliados 2026]]</f>
        <v>0</v>
      </c>
      <c r="N133" s="3">
        <v>2643</v>
      </c>
      <c r="O133" s="3">
        <f>+Tabla22[[#This Row],[TMK 2026]]</f>
        <v>0</v>
      </c>
      <c r="P133" s="3">
        <v>4578</v>
      </c>
      <c r="Q133" s="3">
        <f>+Tabla22[[#This Row],[WA 2026]]</f>
        <v>0</v>
      </c>
      <c r="R133" s="3">
        <v>64714</v>
      </c>
      <c r="S133" s="3">
        <f>+Tabla22[[#This Row],[Ent. en Tienda 2026]]</f>
        <v>0</v>
      </c>
      <c r="T133" s="3">
        <v>382228</v>
      </c>
      <c r="U133" s="3">
        <f>+Tabla22[[#This Row],[Meli Drop 2026]]</f>
        <v>0</v>
      </c>
      <c r="V133" s="3">
        <v>63782</v>
      </c>
      <c r="W133" s="3">
        <f>+Tabla22[[#This Row],[Meli Full 2026]]</f>
        <v>0</v>
      </c>
      <c r="X133" s="3">
        <v>16117</v>
      </c>
      <c r="Y133" s="3">
        <f>+Tabla22[[#This Row],[Amazon Drop 2026]]</f>
        <v>0</v>
      </c>
      <c r="Z133" s="3">
        <v>8067</v>
      </c>
      <c r="AA133" s="3">
        <f>+Tabla22[[#This Row],[Amazon Full 2026]]</f>
        <v>0</v>
      </c>
      <c r="AB133" s="3">
        <v>0</v>
      </c>
      <c r="AC133" s="3">
        <f>+Tabla22[[#This Row],[TikTok 2026]]</f>
        <v>0</v>
      </c>
      <c r="AD133" s="3">
        <v>0</v>
      </c>
      <c r="AE133" s="3">
        <f>+Tabla22[[#This Row],[Shein 2026]]</f>
        <v>0</v>
      </c>
      <c r="AF133" s="5">
        <f t="shared" si="45"/>
        <v>0</v>
      </c>
      <c r="AG133" s="4">
        <f t="shared" si="46"/>
        <v>0</v>
      </c>
      <c r="AH133" s="5">
        <f t="shared" si="47"/>
        <v>-2301775.4309439501</v>
      </c>
      <c r="AI133" s="17">
        <f t="shared" si="50"/>
        <v>-1</v>
      </c>
      <c r="AJ133" s="17">
        <f t="shared" si="51"/>
        <v>5.2691544173879286E-2</v>
      </c>
      <c r="AK133" s="14" t="e">
        <f t="shared" si="52"/>
        <v>#DIV/0!</v>
      </c>
      <c r="AL133" s="14">
        <f t="shared" si="53"/>
        <v>-1</v>
      </c>
    </row>
    <row r="134" spans="1:38" x14ac:dyDescent="0.3">
      <c r="A134" s="63">
        <v>45789</v>
      </c>
      <c r="B134" s="3">
        <v>23242388</v>
      </c>
      <c r="C134" s="3">
        <f t="shared" si="54"/>
        <v>3113321.5517241377</v>
      </c>
      <c r="D134" s="4">
        <f>+Tabla22[[#This Row],[Share diario]]</f>
        <v>1.9904649532351798E-2</v>
      </c>
      <c r="E134" s="3">
        <f>+Tabla22[[#This Row],[Global 2026]]</f>
        <v>0</v>
      </c>
      <c r="F134" s="7">
        <v>46153</v>
      </c>
      <c r="G134" s="3">
        <f>+Tabla2[[#This Row],[Meta Digital]]+Tabla2[[#This Row],[Meta MKPlace]]</f>
        <v>2772238.9436407336</v>
      </c>
      <c r="H134" s="3">
        <v>2169128.0628104741</v>
      </c>
      <c r="I134" s="3">
        <v>603110.88083025953</v>
      </c>
      <c r="J134" s="3">
        <v>2459466</v>
      </c>
      <c r="K134" s="3">
        <f>+Tabla22[[#This Row],[Web + APP 2026]]</f>
        <v>0</v>
      </c>
      <c r="L134" s="3">
        <v>21396.551724137928</v>
      </c>
      <c r="M134" s="3">
        <f>+Tabla22[[#This Row],[Afiliados 2026]]</f>
        <v>0</v>
      </c>
      <c r="N134" s="3">
        <v>14035</v>
      </c>
      <c r="O134" s="3">
        <f>+Tabla22[[#This Row],[TMK 2026]]</f>
        <v>0</v>
      </c>
      <c r="P134" s="3">
        <v>14004</v>
      </c>
      <c r="Q134" s="3">
        <f>+Tabla22[[#This Row],[WA 2026]]</f>
        <v>0</v>
      </c>
      <c r="R134" s="3">
        <v>75997</v>
      </c>
      <c r="S134" s="3">
        <f>+Tabla22[[#This Row],[Ent. en Tienda 2026]]</f>
        <v>0</v>
      </c>
      <c r="T134" s="3">
        <v>401282</v>
      </c>
      <c r="U134" s="3">
        <f>+Tabla22[[#This Row],[Meli Drop 2026]]</f>
        <v>0</v>
      </c>
      <c r="V134" s="3">
        <v>95820</v>
      </c>
      <c r="W134" s="3">
        <f>+Tabla22[[#This Row],[Meli Full 2026]]</f>
        <v>0</v>
      </c>
      <c r="X134" s="3">
        <v>24006</v>
      </c>
      <c r="Y134" s="3">
        <f>+Tabla22[[#This Row],[Amazon Drop 2026]]</f>
        <v>0</v>
      </c>
      <c r="Z134" s="3">
        <v>7315</v>
      </c>
      <c r="AA134" s="3">
        <f>+Tabla22[[#This Row],[Amazon Full 2026]]</f>
        <v>0</v>
      </c>
      <c r="AB134" s="3">
        <v>0</v>
      </c>
      <c r="AC134" s="3">
        <f>+Tabla22[[#This Row],[TikTok 2026]]</f>
        <v>0</v>
      </c>
      <c r="AD134" s="3">
        <v>0</v>
      </c>
      <c r="AE134" s="3">
        <f>+Tabla22[[#This Row],[Shein 2026]]</f>
        <v>0</v>
      </c>
      <c r="AF134" s="5">
        <f t="shared" si="45"/>
        <v>0</v>
      </c>
      <c r="AG134" s="4">
        <f t="shared" si="46"/>
        <v>0</v>
      </c>
      <c r="AH134" s="5">
        <f t="shared" si="47"/>
        <v>-2772238.9436407336</v>
      </c>
      <c r="AI134" s="17">
        <f t="shared" si="50"/>
        <v>-1</v>
      </c>
      <c r="AJ134" s="17">
        <f t="shared" si="51"/>
        <v>0.13395015829372342</v>
      </c>
      <c r="AK134" s="14" t="e">
        <f t="shared" si="52"/>
        <v>#DIV/0!</v>
      </c>
      <c r="AL134" s="14">
        <f t="shared" si="53"/>
        <v>-1</v>
      </c>
    </row>
    <row r="135" spans="1:38" x14ac:dyDescent="0.3">
      <c r="A135" s="7">
        <v>45790</v>
      </c>
      <c r="B135" s="3">
        <v>25300042</v>
      </c>
      <c r="C135" s="3">
        <f t="shared" si="54"/>
        <v>3485281.4137931033</v>
      </c>
      <c r="D135" s="4">
        <f>+Tabla22[[#This Row],[Share diario]]</f>
        <v>2.9164838885428413E-2</v>
      </c>
      <c r="E135" s="3">
        <f>+Tabla22[[#This Row],[Global 2026]]</f>
        <v>0</v>
      </c>
      <c r="F135" s="7">
        <v>46154</v>
      </c>
      <c r="G135" s="3">
        <f>+Tabla2[[#This Row],[Meta Digital]]+Tabla2[[#This Row],[Meta MKPlace]]</f>
        <v>4061960.5992951812</v>
      </c>
      <c r="H135" s="3">
        <v>3178265.9810667001</v>
      </c>
      <c r="I135" s="3">
        <v>883694.61822848092</v>
      </c>
      <c r="J135" s="3">
        <v>2836483</v>
      </c>
      <c r="K135" s="3">
        <f>+Tabla22[[#This Row],[Web + APP 2026]]</f>
        <v>0</v>
      </c>
      <c r="L135" s="3">
        <v>23572.413793103442</v>
      </c>
      <c r="M135" s="3">
        <f>+Tabla22[[#This Row],[Afiliados 2026]]</f>
        <v>0</v>
      </c>
      <c r="N135" s="3">
        <v>40509</v>
      </c>
      <c r="O135" s="3">
        <f>+Tabla22[[#This Row],[TMK 2026]]</f>
        <v>0</v>
      </c>
      <c r="P135" s="3">
        <v>1759</v>
      </c>
      <c r="Q135" s="3">
        <f>+Tabla22[[#This Row],[WA 2026]]</f>
        <v>0</v>
      </c>
      <c r="R135" s="3">
        <v>46794</v>
      </c>
      <c r="S135" s="3">
        <f>+Tabla22[[#This Row],[Ent. en Tienda 2026]]</f>
        <v>0</v>
      </c>
      <c r="T135" s="3">
        <v>386009</v>
      </c>
      <c r="U135" s="3">
        <f>+Tabla22[[#This Row],[Meli Drop 2026]]</f>
        <v>0</v>
      </c>
      <c r="V135" s="3">
        <v>119690</v>
      </c>
      <c r="W135" s="3">
        <f>+Tabla22[[#This Row],[Meli Full 2026]]</f>
        <v>0</v>
      </c>
      <c r="X135" s="3">
        <v>21353</v>
      </c>
      <c r="Y135" s="3">
        <f>+Tabla22[[#This Row],[Amazon Drop 2026]]</f>
        <v>0</v>
      </c>
      <c r="Z135" s="3">
        <v>9112</v>
      </c>
      <c r="AA135" s="3">
        <f>+Tabla22[[#This Row],[Amazon Full 2026]]</f>
        <v>0</v>
      </c>
      <c r="AB135" s="3">
        <v>0</v>
      </c>
      <c r="AC135" s="3">
        <f>+Tabla22[[#This Row],[TikTok 2026]]</f>
        <v>0</v>
      </c>
      <c r="AD135" s="3">
        <v>0</v>
      </c>
      <c r="AE135" s="3">
        <f>+Tabla22[[#This Row],[Shein 2026]]</f>
        <v>0</v>
      </c>
      <c r="AF135" s="5">
        <f t="shared" si="45"/>
        <v>0</v>
      </c>
      <c r="AG135" s="4">
        <f t="shared" si="46"/>
        <v>0</v>
      </c>
      <c r="AH135" s="5">
        <f t="shared" si="47"/>
        <v>-4061960.5992951812</v>
      </c>
      <c r="AI135" s="17">
        <f t="shared" si="50"/>
        <v>-1</v>
      </c>
      <c r="AJ135" s="17">
        <f t="shared" si="51"/>
        <v>0.13775792995889505</v>
      </c>
      <c r="AK135" s="14" t="e">
        <f t="shared" si="52"/>
        <v>#DIV/0!</v>
      </c>
      <c r="AL135" s="14">
        <f t="shared" si="53"/>
        <v>-1</v>
      </c>
    </row>
    <row r="136" spans="1:38" x14ac:dyDescent="0.3">
      <c r="A136" s="63">
        <v>45791</v>
      </c>
      <c r="B136" s="3">
        <v>28389964</v>
      </c>
      <c r="C136" s="3">
        <f t="shared" si="54"/>
        <v>3503850.3103448274</v>
      </c>
      <c r="D136" s="4">
        <f>+Tabla22[[#This Row],[Share diario]]</f>
        <v>3.2649268382625683E-2</v>
      </c>
      <c r="E136" s="3">
        <f>+Tabla22[[#This Row],[Global 2026]]</f>
        <v>0</v>
      </c>
      <c r="F136" s="7">
        <v>46155</v>
      </c>
      <c r="G136" s="3">
        <f>+Tabla2[[#This Row],[Meta Digital]]+Tabla2[[#This Row],[Meta MKPlace]]</f>
        <v>4547257.8225796465</v>
      </c>
      <c r="H136" s="3">
        <v>3557984.9905860885</v>
      </c>
      <c r="I136" s="3">
        <v>989272.83199355821</v>
      </c>
      <c r="J136" s="3">
        <v>2798237</v>
      </c>
      <c r="K136" s="3">
        <f>+Tabla22[[#This Row],[Web + APP 2026]]</f>
        <v>0</v>
      </c>
      <c r="L136" s="3">
        <v>17204.310344827583</v>
      </c>
      <c r="M136" s="3">
        <f>+Tabla22[[#This Row],[Afiliados 2026]]</f>
        <v>0</v>
      </c>
      <c r="N136" s="3">
        <v>30525</v>
      </c>
      <c r="O136" s="3">
        <f>+Tabla22[[#This Row],[TMK 2026]]</f>
        <v>0</v>
      </c>
      <c r="P136" s="3">
        <v>2915</v>
      </c>
      <c r="Q136" s="3">
        <f>+Tabla22[[#This Row],[WA 2026]]</f>
        <v>0</v>
      </c>
      <c r="R136" s="3">
        <v>51632</v>
      </c>
      <c r="S136" s="3">
        <f>+Tabla22[[#This Row],[Ent. en Tienda 2026]]</f>
        <v>0</v>
      </c>
      <c r="T136" s="3">
        <v>406451</v>
      </c>
      <c r="U136" s="3">
        <f>+Tabla22[[#This Row],[Meli Drop 2026]]</f>
        <v>0</v>
      </c>
      <c r="V136" s="3">
        <v>166963</v>
      </c>
      <c r="W136" s="3">
        <f>+Tabla22[[#This Row],[Meli Full 2026]]</f>
        <v>0</v>
      </c>
      <c r="X136" s="3">
        <v>21663</v>
      </c>
      <c r="Y136" s="3">
        <f>+Tabla22[[#This Row],[Amazon Drop 2026]]</f>
        <v>0</v>
      </c>
      <c r="Z136" s="3">
        <v>8260</v>
      </c>
      <c r="AA136" s="3">
        <f>+Tabla22[[#This Row],[Amazon Full 2026]]</f>
        <v>0</v>
      </c>
      <c r="AB136" s="3">
        <v>0</v>
      </c>
      <c r="AC136" s="3">
        <f>+Tabla22[[#This Row],[TikTok 2026]]</f>
        <v>0</v>
      </c>
      <c r="AD136" s="3">
        <v>0</v>
      </c>
      <c r="AE136" s="3">
        <f>+Tabla22[[#This Row],[Shein 2026]]</f>
        <v>0</v>
      </c>
      <c r="AF136" s="5">
        <f t="shared" si="45"/>
        <v>0</v>
      </c>
      <c r="AG136" s="4">
        <f t="shared" si="46"/>
        <v>0</v>
      </c>
      <c r="AH136" s="5">
        <f t="shared" si="47"/>
        <v>-4547257.8225796465</v>
      </c>
      <c r="AI136" s="17">
        <f t="shared" si="50"/>
        <v>-1</v>
      </c>
      <c r="AJ136" s="17">
        <f t="shared" si="51"/>
        <v>0.12341862463597443</v>
      </c>
      <c r="AK136" s="14" t="e">
        <f t="shared" si="52"/>
        <v>#DIV/0!</v>
      </c>
      <c r="AL136" s="14">
        <f t="shared" si="53"/>
        <v>-1</v>
      </c>
    </row>
    <row r="137" spans="1:38" x14ac:dyDescent="0.3">
      <c r="A137" s="7">
        <v>45792</v>
      </c>
      <c r="B137" s="3">
        <v>37812054</v>
      </c>
      <c r="C137" s="3">
        <f t="shared" si="54"/>
        <v>3162638.8620689656</v>
      </c>
      <c r="D137" s="4">
        <f>+Tabla22[[#This Row],[Share diario]]</f>
        <v>3.282321728806762E-2</v>
      </c>
      <c r="E137" s="3">
        <f>+Tabla22[[#This Row],[Global 2026]]</f>
        <v>0</v>
      </c>
      <c r="F137" s="7">
        <v>46156</v>
      </c>
      <c r="G137" s="3">
        <f>+Tabla2[[#This Row],[Meta Digital]]+Tabla2[[#This Row],[Meta MKPlace]]</f>
        <v>4571484.7213796498</v>
      </c>
      <c r="H137" s="3">
        <v>3576941.2375512011</v>
      </c>
      <c r="I137" s="3">
        <v>994543.48382844892</v>
      </c>
      <c r="J137" s="3">
        <v>2365155</v>
      </c>
      <c r="K137" s="3">
        <f>+Tabla22[[#This Row],[Web + APP 2026]]</f>
        <v>0</v>
      </c>
      <c r="L137" s="3">
        <v>17875.862068965514</v>
      </c>
      <c r="M137" s="3">
        <f>+Tabla22[[#This Row],[Afiliados 2026]]</f>
        <v>0</v>
      </c>
      <c r="N137" s="3">
        <v>48768</v>
      </c>
      <c r="O137" s="3">
        <f>+Tabla22[[#This Row],[TMK 2026]]</f>
        <v>0</v>
      </c>
      <c r="P137" s="3">
        <v>1400</v>
      </c>
      <c r="Q137" s="3">
        <f>+Tabla22[[#This Row],[WA 2026]]</f>
        <v>0</v>
      </c>
      <c r="R137" s="3">
        <v>88607</v>
      </c>
      <c r="S137" s="3">
        <f>+Tabla22[[#This Row],[Ent. en Tienda 2026]]</f>
        <v>0</v>
      </c>
      <c r="T137" s="3">
        <v>449212</v>
      </c>
      <c r="U137" s="3">
        <f>+Tabla22[[#This Row],[Meli Drop 2026]]</f>
        <v>0</v>
      </c>
      <c r="V137" s="3">
        <v>166991</v>
      </c>
      <c r="W137" s="3">
        <f>+Tabla22[[#This Row],[Meli Full 2026]]</f>
        <v>0</v>
      </c>
      <c r="X137" s="3">
        <v>16715</v>
      </c>
      <c r="Y137" s="3">
        <f>+Tabla22[[#This Row],[Amazon Drop 2026]]</f>
        <v>0</v>
      </c>
      <c r="Z137" s="3">
        <v>7915</v>
      </c>
      <c r="AA137" s="3">
        <f>+Tabla22[[#This Row],[Amazon Full 2026]]</f>
        <v>0</v>
      </c>
      <c r="AB137" s="3">
        <v>0</v>
      </c>
      <c r="AC137" s="3">
        <f>+Tabla22[[#This Row],[TikTok 2026]]</f>
        <v>0</v>
      </c>
      <c r="AD137" s="3">
        <v>0</v>
      </c>
      <c r="AE137" s="3">
        <f>+Tabla22[[#This Row],[Shein 2026]]</f>
        <v>0</v>
      </c>
      <c r="AF137" s="5">
        <f t="shared" si="45"/>
        <v>0</v>
      </c>
      <c r="AG137" s="4">
        <f t="shared" si="46"/>
        <v>0</v>
      </c>
      <c r="AH137" s="5">
        <f t="shared" si="47"/>
        <v>-4571484.7213796498</v>
      </c>
      <c r="AI137" s="17">
        <f t="shared" si="50"/>
        <v>-1</v>
      </c>
      <c r="AJ137" s="17">
        <f t="shared" si="51"/>
        <v>8.3641022570976054E-2</v>
      </c>
      <c r="AK137" s="14" t="e">
        <f t="shared" si="52"/>
        <v>#DIV/0!</v>
      </c>
      <c r="AL137" s="14">
        <f t="shared" si="53"/>
        <v>-1</v>
      </c>
    </row>
    <row r="138" spans="1:38" x14ac:dyDescent="0.3">
      <c r="A138" s="63">
        <v>45793</v>
      </c>
      <c r="B138" s="3">
        <v>38245451</v>
      </c>
      <c r="C138" s="3">
        <f t="shared" si="54"/>
        <v>2795727.5517241377</v>
      </c>
      <c r="D138" s="4">
        <f>+Tabla22[[#This Row],[Share diario]]</f>
        <v>2.9626831450787761E-2</v>
      </c>
      <c r="E138" s="3">
        <f>+Tabla22[[#This Row],[Global 2026]]</f>
        <v>0</v>
      </c>
      <c r="F138" s="7">
        <v>46157</v>
      </c>
      <c r="G138" s="3">
        <f>+Tabla2[[#This Row],[Meta Digital]]+Tabla2[[#This Row],[Meta MKPlace]]</f>
        <v>4126305.0520462836</v>
      </c>
      <c r="H138" s="3">
        <v>3228612.0590874143</v>
      </c>
      <c r="I138" s="3">
        <v>897692.9929588692</v>
      </c>
      <c r="J138" s="3">
        <v>2141315</v>
      </c>
      <c r="K138" s="3">
        <f>+Tabla22[[#This Row],[Web + APP 2026]]</f>
        <v>0</v>
      </c>
      <c r="L138" s="3">
        <v>25296.55172413792</v>
      </c>
      <c r="M138" s="3">
        <f>+Tabla22[[#This Row],[Afiliados 2026]]</f>
        <v>0</v>
      </c>
      <c r="N138" s="3">
        <v>27754</v>
      </c>
      <c r="O138" s="3">
        <f>+Tabla22[[#This Row],[TMK 2026]]</f>
        <v>0</v>
      </c>
      <c r="P138" s="3">
        <v>1869</v>
      </c>
      <c r="Q138" s="3">
        <f>+Tabla22[[#This Row],[WA 2026]]</f>
        <v>0</v>
      </c>
      <c r="R138" s="3">
        <v>86382</v>
      </c>
      <c r="S138" s="3">
        <f>+Tabla22[[#This Row],[Ent. en Tienda 2026]]</f>
        <v>0</v>
      </c>
      <c r="T138" s="3">
        <v>369211</v>
      </c>
      <c r="U138" s="3">
        <f>+Tabla22[[#This Row],[Meli Drop 2026]]</f>
        <v>0</v>
      </c>
      <c r="V138" s="3">
        <v>113629</v>
      </c>
      <c r="W138" s="3">
        <f>+Tabla22[[#This Row],[Meli Full 2026]]</f>
        <v>0</v>
      </c>
      <c r="X138" s="3">
        <v>16988</v>
      </c>
      <c r="Y138" s="3">
        <f>+Tabla22[[#This Row],[Amazon Drop 2026]]</f>
        <v>0</v>
      </c>
      <c r="Z138" s="3">
        <v>13283</v>
      </c>
      <c r="AA138" s="3">
        <f>+Tabla22[[#This Row],[Amazon Full 2026]]</f>
        <v>0</v>
      </c>
      <c r="AB138" s="3">
        <v>0</v>
      </c>
      <c r="AC138" s="3">
        <f>+Tabla22[[#This Row],[TikTok 2026]]</f>
        <v>0</v>
      </c>
      <c r="AD138" s="3">
        <v>0</v>
      </c>
      <c r="AE138" s="3">
        <f>+Tabla22[[#This Row],[Shein 2026]]</f>
        <v>0</v>
      </c>
      <c r="AF138" s="5">
        <f t="shared" si="45"/>
        <v>0</v>
      </c>
      <c r="AG138" s="4">
        <f t="shared" si="46"/>
        <v>0</v>
      </c>
      <c r="AH138" s="5">
        <f t="shared" si="47"/>
        <v>-4126305.0520462836</v>
      </c>
      <c r="AI138" s="17">
        <f t="shared" si="50"/>
        <v>-1</v>
      </c>
      <c r="AJ138" s="17">
        <f t="shared" si="51"/>
        <v>7.3099609983005243E-2</v>
      </c>
      <c r="AK138" s="14" t="e">
        <f t="shared" si="52"/>
        <v>#DIV/0!</v>
      </c>
      <c r="AL138" s="14">
        <f t="shared" si="53"/>
        <v>-1</v>
      </c>
    </row>
    <row r="139" spans="1:38" x14ac:dyDescent="0.3">
      <c r="A139" s="7">
        <v>45794</v>
      </c>
      <c r="B139" s="3">
        <v>44431907</v>
      </c>
      <c r="C139" s="3">
        <f t="shared" si="54"/>
        <v>2745804.7931034481</v>
      </c>
      <c r="D139" s="4">
        <f>+Tabla22[[#This Row],[Share diario]]</f>
        <v>2.6189695557926891E-2</v>
      </c>
      <c r="E139" s="3">
        <f>+Tabla22[[#This Row],[Global 2026]]</f>
        <v>0</v>
      </c>
      <c r="F139" s="7">
        <v>46158</v>
      </c>
      <c r="G139" s="3">
        <f>+Tabla2[[#This Row],[Meta Digital]]+Tabla2[[#This Row],[Meta MKPlace]]</f>
        <v>3647594.6903648521</v>
      </c>
      <c r="H139" s="3">
        <v>2854046.9149596673</v>
      </c>
      <c r="I139" s="3">
        <v>793547.77540518483</v>
      </c>
      <c r="J139" s="3">
        <v>2132828</v>
      </c>
      <c r="K139" s="3">
        <f>+Tabla22[[#This Row],[Web + APP 2026]]</f>
        <v>0</v>
      </c>
      <c r="L139" s="3">
        <v>21563.793103448275</v>
      </c>
      <c r="M139" s="3">
        <f>+Tabla22[[#This Row],[Afiliados 2026]]</f>
        <v>0</v>
      </c>
      <c r="N139" s="3">
        <v>-607</v>
      </c>
      <c r="O139" s="3">
        <f>+Tabla22[[#This Row],[TMK 2026]]</f>
        <v>0</v>
      </c>
      <c r="P139" s="3">
        <v>4423</v>
      </c>
      <c r="Q139" s="3">
        <f>+Tabla22[[#This Row],[WA 2026]]</f>
        <v>0</v>
      </c>
      <c r="R139" s="3">
        <v>79497</v>
      </c>
      <c r="S139" s="3">
        <f>+Tabla22[[#This Row],[Ent. en Tienda 2026]]</f>
        <v>0</v>
      </c>
      <c r="T139" s="3">
        <v>366239</v>
      </c>
      <c r="U139" s="3">
        <f>+Tabla22[[#This Row],[Meli Drop 2026]]</f>
        <v>0</v>
      </c>
      <c r="V139" s="3">
        <v>114522</v>
      </c>
      <c r="W139" s="3">
        <f>+Tabla22[[#This Row],[Meli Full 2026]]</f>
        <v>0</v>
      </c>
      <c r="X139" s="3">
        <v>20368</v>
      </c>
      <c r="Y139" s="3">
        <f>+Tabla22[[#This Row],[Amazon Drop 2026]]</f>
        <v>0</v>
      </c>
      <c r="Z139" s="3">
        <v>6971</v>
      </c>
      <c r="AA139" s="3">
        <f>+Tabla22[[#This Row],[Amazon Full 2026]]</f>
        <v>0</v>
      </c>
      <c r="AB139" s="3">
        <v>0</v>
      </c>
      <c r="AC139" s="3">
        <f>+Tabla22[[#This Row],[TikTok 2026]]</f>
        <v>0</v>
      </c>
      <c r="AD139" s="3">
        <v>0</v>
      </c>
      <c r="AE139" s="3">
        <f>+Tabla22[[#This Row],[Shein 2026]]</f>
        <v>0</v>
      </c>
      <c r="AF139" s="5">
        <f t="shared" si="45"/>
        <v>0</v>
      </c>
      <c r="AG139" s="4">
        <f t="shared" si="46"/>
        <v>0</v>
      </c>
      <c r="AH139" s="5">
        <f t="shared" si="47"/>
        <v>-3647594.6903648521</v>
      </c>
      <c r="AI139" s="17">
        <f t="shared" si="50"/>
        <v>-1</v>
      </c>
      <c r="AJ139" s="17">
        <f t="shared" si="51"/>
        <v>6.1798040608597962E-2</v>
      </c>
      <c r="AK139" s="14" t="e">
        <f t="shared" si="52"/>
        <v>#DIV/0!</v>
      </c>
      <c r="AL139" s="14">
        <f t="shared" si="53"/>
        <v>-1</v>
      </c>
    </row>
    <row r="140" spans="1:38" x14ac:dyDescent="0.3">
      <c r="A140" s="63">
        <v>45795</v>
      </c>
      <c r="B140" s="3">
        <v>45518633</v>
      </c>
      <c r="C140" s="3">
        <f t="shared" si="54"/>
        <v>3393026</v>
      </c>
      <c r="D140" s="4">
        <f>+Tabla22[[#This Row],[Share diario]]</f>
        <v>2.5722031300413166E-2</v>
      </c>
      <c r="E140" s="3">
        <f>+Tabla22[[#This Row],[Global 2026]]</f>
        <v>0</v>
      </c>
      <c r="F140" s="7">
        <v>46159</v>
      </c>
      <c r="G140" s="3">
        <f>+Tabla2[[#This Row],[Meta Digital]]+Tabla2[[#This Row],[Meta MKPlace]]</f>
        <v>3582460.3073092168</v>
      </c>
      <c r="H140" s="3">
        <v>2803082.7589066979</v>
      </c>
      <c r="I140" s="3">
        <v>779377.54840251897</v>
      </c>
      <c r="J140" s="3">
        <v>2699305</v>
      </c>
      <c r="K140" s="3">
        <f>+Tabla22[[#This Row],[Web + APP 2026]]</f>
        <v>0</v>
      </c>
      <c r="L140" s="3">
        <v>20974.999999999996</v>
      </c>
      <c r="M140" s="3">
        <f>+Tabla22[[#This Row],[Afiliados 2026]]</f>
        <v>0</v>
      </c>
      <c r="N140" s="3">
        <v>22100</v>
      </c>
      <c r="O140" s="3">
        <f>+Tabla22[[#This Row],[TMK 2026]]</f>
        <v>0</v>
      </c>
      <c r="P140" s="3">
        <v>-481</v>
      </c>
      <c r="Q140" s="3">
        <f>+Tabla22[[#This Row],[WA 2026]]</f>
        <v>0</v>
      </c>
      <c r="R140" s="3">
        <v>76910</v>
      </c>
      <c r="S140" s="3">
        <f>+Tabla22[[#This Row],[Ent. en Tienda 2026]]</f>
        <v>0</v>
      </c>
      <c r="T140" s="3">
        <v>427036</v>
      </c>
      <c r="U140" s="3">
        <f>+Tabla22[[#This Row],[Meli Drop 2026]]</f>
        <v>0</v>
      </c>
      <c r="V140" s="3">
        <v>120368</v>
      </c>
      <c r="W140" s="3">
        <f>+Tabla22[[#This Row],[Meli Full 2026]]</f>
        <v>0</v>
      </c>
      <c r="X140" s="3">
        <v>16748</v>
      </c>
      <c r="Y140" s="3">
        <f>+Tabla22[[#This Row],[Amazon Drop 2026]]</f>
        <v>0</v>
      </c>
      <c r="Z140" s="3">
        <v>10065</v>
      </c>
      <c r="AA140" s="3">
        <f>+Tabla22[[#This Row],[Amazon Full 2026]]</f>
        <v>0</v>
      </c>
      <c r="AB140" s="3">
        <v>0</v>
      </c>
      <c r="AC140" s="3">
        <f>+Tabla22[[#This Row],[TikTok 2026]]</f>
        <v>0</v>
      </c>
      <c r="AD140" s="3">
        <v>0</v>
      </c>
      <c r="AE140" s="3">
        <f>+Tabla22[[#This Row],[Shein 2026]]</f>
        <v>0</v>
      </c>
      <c r="AF140" s="5">
        <f t="shared" si="45"/>
        <v>0</v>
      </c>
      <c r="AG140" s="4">
        <f t="shared" si="46"/>
        <v>0</v>
      </c>
      <c r="AH140" s="5">
        <f t="shared" si="47"/>
        <v>-3582460.3073092168</v>
      </c>
      <c r="AI140" s="17">
        <f t="shared" si="50"/>
        <v>-1</v>
      </c>
      <c r="AJ140" s="17">
        <f t="shared" si="51"/>
        <v>7.4541474037675956E-2</v>
      </c>
      <c r="AK140" s="14" t="e">
        <f t="shared" si="52"/>
        <v>#DIV/0!</v>
      </c>
      <c r="AL140" s="14">
        <f t="shared" si="53"/>
        <v>-1</v>
      </c>
    </row>
    <row r="141" spans="1:38" x14ac:dyDescent="0.3">
      <c r="A141" s="7">
        <v>45796</v>
      </c>
      <c r="B141" s="3">
        <v>26117094</v>
      </c>
      <c r="C141" s="3">
        <f t="shared" si="54"/>
        <v>3978624.2068965519</v>
      </c>
      <c r="D141" s="4">
        <f>+Tabla22[[#This Row],[Share diario]]</f>
        <v>3.1785042110175812E-2</v>
      </c>
      <c r="E141" s="3">
        <f>+Tabla22[[#This Row],[Global 2026]]</f>
        <v>0</v>
      </c>
      <c r="F141" s="7">
        <v>46160</v>
      </c>
      <c r="G141" s="3">
        <f>+Tabla2[[#This Row],[Meta Digital]]+Tabla2[[#This Row],[Meta MKPlace]]</f>
        <v>4426891.888745497</v>
      </c>
      <c r="H141" s="3">
        <v>3463805.11280717</v>
      </c>
      <c r="I141" s="3">
        <v>963086.77593832707</v>
      </c>
      <c r="J141" s="3">
        <v>3148606</v>
      </c>
      <c r="K141" s="3">
        <f>+Tabla22[[#This Row],[Web + APP 2026]]</f>
        <v>0</v>
      </c>
      <c r="L141" s="3">
        <v>20161.206896551717</v>
      </c>
      <c r="M141" s="3">
        <f>+Tabla22[[#This Row],[Afiliados 2026]]</f>
        <v>0</v>
      </c>
      <c r="N141" s="3">
        <v>63309</v>
      </c>
      <c r="O141" s="3">
        <f>+Tabla22[[#This Row],[TMK 2026]]</f>
        <v>0</v>
      </c>
      <c r="P141" s="3">
        <v>9654</v>
      </c>
      <c r="Q141" s="3">
        <f>+Tabla22[[#This Row],[WA 2026]]</f>
        <v>0</v>
      </c>
      <c r="R141" s="3">
        <v>164587</v>
      </c>
      <c r="S141" s="3">
        <f>+Tabla22[[#This Row],[Ent. en Tienda 2026]]</f>
        <v>0</v>
      </c>
      <c r="T141" s="3">
        <v>398765</v>
      </c>
      <c r="U141" s="3">
        <f>+Tabla22[[#This Row],[Meli Drop 2026]]</f>
        <v>0</v>
      </c>
      <c r="V141" s="3">
        <v>133448</v>
      </c>
      <c r="W141" s="3">
        <f>+Tabla22[[#This Row],[Meli Full 2026]]</f>
        <v>0</v>
      </c>
      <c r="X141" s="3">
        <v>26159</v>
      </c>
      <c r="Y141" s="3">
        <f>+Tabla22[[#This Row],[Amazon Drop 2026]]</f>
        <v>0</v>
      </c>
      <c r="Z141" s="3">
        <v>13935</v>
      </c>
      <c r="AA141" s="3">
        <f>+Tabla22[[#This Row],[Amazon Full 2026]]</f>
        <v>0</v>
      </c>
      <c r="AB141" s="3">
        <v>0</v>
      </c>
      <c r="AC141" s="3">
        <f>+Tabla22[[#This Row],[TikTok 2026]]</f>
        <v>0</v>
      </c>
      <c r="AD141" s="3">
        <v>0</v>
      </c>
      <c r="AE141" s="3">
        <f>+Tabla22[[#This Row],[Shein 2026]]</f>
        <v>0</v>
      </c>
      <c r="AF141" s="5">
        <f t="shared" si="45"/>
        <v>0</v>
      </c>
      <c r="AG141" s="4">
        <f t="shared" si="46"/>
        <v>0</v>
      </c>
      <c r="AH141" s="5">
        <f t="shared" si="47"/>
        <v>-4426891.888745497</v>
      </c>
      <c r="AI141" s="17">
        <f t="shared" si="50"/>
        <v>-1</v>
      </c>
      <c r="AJ141" s="17">
        <f t="shared" si="51"/>
        <v>0.15233793648315361</v>
      </c>
      <c r="AK141" s="14" t="e">
        <f t="shared" si="52"/>
        <v>#DIV/0!</v>
      </c>
      <c r="AL141" s="14">
        <f t="shared" si="53"/>
        <v>-1</v>
      </c>
    </row>
    <row r="142" spans="1:38" x14ac:dyDescent="0.3">
      <c r="A142" s="63">
        <v>45797</v>
      </c>
      <c r="B142" s="3">
        <v>29370833</v>
      </c>
      <c r="C142" s="3">
        <f t="shared" si="54"/>
        <v>3996685.5172413792</v>
      </c>
      <c r="D142" s="4">
        <f>+Tabla22[[#This Row],[Share diario]]</f>
        <v>3.7270783647626558E-2</v>
      </c>
      <c r="E142" s="3">
        <f>+Tabla22[[#This Row],[Global 2026]]</f>
        <v>0</v>
      </c>
      <c r="F142" s="7">
        <v>46161</v>
      </c>
      <c r="G142" s="3">
        <f>+Tabla2[[#This Row],[Meta Digital]]+Tabla2[[#This Row],[Meta MKPlace]]</f>
        <v>5190923.7447272241</v>
      </c>
      <c r="H142" s="3">
        <v>4061619.0002041389</v>
      </c>
      <c r="I142" s="3">
        <v>1129304.7445230847</v>
      </c>
      <c r="J142" s="3">
        <v>3264277</v>
      </c>
      <c r="K142" s="3">
        <f>+Tabla22[[#This Row],[Web + APP 2026]]</f>
        <v>0</v>
      </c>
      <c r="L142" s="3">
        <v>22440.517241379308</v>
      </c>
      <c r="M142" s="3">
        <f>+Tabla22[[#This Row],[Afiliados 2026]]</f>
        <v>0</v>
      </c>
      <c r="N142" s="3">
        <v>94697</v>
      </c>
      <c r="O142" s="3">
        <f>+Tabla22[[#This Row],[TMK 2026]]</f>
        <v>0</v>
      </c>
      <c r="P142" s="3">
        <v>6895</v>
      </c>
      <c r="Q142" s="3">
        <f>+Tabla22[[#This Row],[WA 2026]]</f>
        <v>0</v>
      </c>
      <c r="R142" s="3">
        <v>104955</v>
      </c>
      <c r="S142" s="3">
        <f>+Tabla22[[#This Row],[Ent. en Tienda 2026]]</f>
        <v>0</v>
      </c>
      <c r="T142" s="3">
        <v>334212</v>
      </c>
      <c r="U142" s="3">
        <f>+Tabla22[[#This Row],[Meli Drop 2026]]</f>
        <v>0</v>
      </c>
      <c r="V142" s="3">
        <v>131940</v>
      </c>
      <c r="W142" s="3">
        <f>+Tabla22[[#This Row],[Meli Full 2026]]</f>
        <v>0</v>
      </c>
      <c r="X142" s="3">
        <v>26309</v>
      </c>
      <c r="Y142" s="3">
        <f>+Tabla22[[#This Row],[Amazon Drop 2026]]</f>
        <v>0</v>
      </c>
      <c r="Z142" s="3">
        <v>10960</v>
      </c>
      <c r="AA142" s="3">
        <f>+Tabla22[[#This Row],[Amazon Full 2026]]</f>
        <v>0</v>
      </c>
      <c r="AB142" s="3">
        <v>0</v>
      </c>
      <c r="AC142" s="3">
        <f>+Tabla22[[#This Row],[TikTok 2026]]</f>
        <v>0</v>
      </c>
      <c r="AD142" s="3">
        <v>0</v>
      </c>
      <c r="AE142" s="3">
        <f>+Tabla22[[#This Row],[Shein 2026]]</f>
        <v>0</v>
      </c>
      <c r="AF142" s="5">
        <f t="shared" si="45"/>
        <v>0</v>
      </c>
      <c r="AG142" s="4">
        <f t="shared" si="46"/>
        <v>0</v>
      </c>
      <c r="AH142" s="5">
        <f t="shared" si="47"/>
        <v>-5190923.7447272241</v>
      </c>
      <c r="AI142" s="17">
        <f t="shared" si="50"/>
        <v>-1</v>
      </c>
      <c r="AJ142" s="17">
        <f t="shared" si="51"/>
        <v>0.13607668251157123</v>
      </c>
      <c r="AK142" s="14" t="e">
        <f t="shared" si="52"/>
        <v>#DIV/0!</v>
      </c>
      <c r="AL142" s="14">
        <f t="shared" si="53"/>
        <v>-1</v>
      </c>
    </row>
    <row r="143" spans="1:38" x14ac:dyDescent="0.3">
      <c r="A143" s="7">
        <v>45798</v>
      </c>
      <c r="B143" s="3">
        <v>32364229</v>
      </c>
      <c r="C143" s="3">
        <f t="shared" si="54"/>
        <v>3556195.2413793104</v>
      </c>
      <c r="D143" s="4">
        <f>+Tabla22[[#This Row],[Share diario]]</f>
        <v>3.7439977608968229E-2</v>
      </c>
      <c r="E143" s="3">
        <f>+Tabla22[[#This Row],[Global 2026]]</f>
        <v>0</v>
      </c>
      <c r="F143" s="7">
        <v>46162</v>
      </c>
      <c r="G143" s="3">
        <f>+Tabla2[[#This Row],[Meta Digital]]+Tabla2[[#This Row],[Meta MKPlace]]</f>
        <v>5214488.3941774871</v>
      </c>
      <c r="H143" s="3">
        <v>4080057.0726257497</v>
      </c>
      <c r="I143" s="3">
        <v>1134431.3215517374</v>
      </c>
      <c r="J143" s="3">
        <v>2759403</v>
      </c>
      <c r="K143" s="3">
        <f>+Tabla22[[#This Row],[Web + APP 2026]]</f>
        <v>0</v>
      </c>
      <c r="L143" s="3">
        <v>22517.241379310341</v>
      </c>
      <c r="M143" s="3">
        <f>+Tabla22[[#This Row],[Afiliados 2026]]</f>
        <v>0</v>
      </c>
      <c r="N143" s="3">
        <v>59374</v>
      </c>
      <c r="O143" s="3">
        <f>+Tabla22[[#This Row],[TMK 2026]]</f>
        <v>0</v>
      </c>
      <c r="P143" s="3">
        <v>11701</v>
      </c>
      <c r="Q143" s="3">
        <f>+Tabla22[[#This Row],[WA 2026]]</f>
        <v>0</v>
      </c>
      <c r="R143" s="3">
        <v>96289</v>
      </c>
      <c r="S143" s="3">
        <f>+Tabla22[[#This Row],[Ent. en Tienda 2026]]</f>
        <v>0</v>
      </c>
      <c r="T143" s="3">
        <v>374047</v>
      </c>
      <c r="U143" s="3">
        <f>+Tabla22[[#This Row],[Meli Drop 2026]]</f>
        <v>0</v>
      </c>
      <c r="V143" s="3">
        <v>193832</v>
      </c>
      <c r="W143" s="3">
        <f>+Tabla22[[#This Row],[Meli Full 2026]]</f>
        <v>0</v>
      </c>
      <c r="X143" s="3">
        <v>28023</v>
      </c>
      <c r="Y143" s="3">
        <f>+Tabla22[[#This Row],[Amazon Drop 2026]]</f>
        <v>0</v>
      </c>
      <c r="Z143" s="3">
        <v>11009</v>
      </c>
      <c r="AA143" s="3">
        <f>+Tabla22[[#This Row],[Amazon Full 2026]]</f>
        <v>0</v>
      </c>
      <c r="AB143" s="3">
        <v>0</v>
      </c>
      <c r="AC143" s="3">
        <f>+Tabla22[[#This Row],[TikTok 2026]]</f>
        <v>0</v>
      </c>
      <c r="AD143" s="3">
        <v>0</v>
      </c>
      <c r="AE143" s="3">
        <f>+Tabla22[[#This Row],[Shein 2026]]</f>
        <v>0</v>
      </c>
      <c r="AF143" s="5">
        <f t="shared" si="45"/>
        <v>0</v>
      </c>
      <c r="AG143" s="4">
        <f t="shared" si="46"/>
        <v>0</v>
      </c>
      <c r="AH143" s="5">
        <f t="shared" si="47"/>
        <v>-5214488.3941774871</v>
      </c>
      <c r="AI143" s="17">
        <f t="shared" si="50"/>
        <v>-1</v>
      </c>
      <c r="AJ143" s="17">
        <f t="shared" si="51"/>
        <v>0.10988042512550848</v>
      </c>
      <c r="AK143" s="14" t="e">
        <f t="shared" si="52"/>
        <v>#DIV/0!</v>
      </c>
      <c r="AL143" s="14">
        <f t="shared" si="53"/>
        <v>-1</v>
      </c>
    </row>
    <row r="144" spans="1:38" x14ac:dyDescent="0.3">
      <c r="A144" s="63">
        <v>45799</v>
      </c>
      <c r="B144" s="3">
        <v>36223027</v>
      </c>
      <c r="C144" s="3">
        <f t="shared" si="54"/>
        <v>3482785.4137931033</v>
      </c>
      <c r="D144" s="4">
        <f>+Tabla22[[#This Row],[Share diario]]</f>
        <v>3.3313571867485903E-2</v>
      </c>
      <c r="E144" s="3">
        <f>+Tabla22[[#This Row],[Global 2026]]</f>
        <v>0</v>
      </c>
      <c r="F144" s="7">
        <v>46163</v>
      </c>
      <c r="G144" s="3">
        <f>+Tabla2[[#This Row],[Meta Digital]]+Tabla2[[#This Row],[Meta MKPlace]]</f>
        <v>4639779.3205408398</v>
      </c>
      <c r="H144" s="3">
        <v>3630378.0929560172</v>
      </c>
      <c r="I144" s="3">
        <v>1009401.2275848228</v>
      </c>
      <c r="J144" s="3">
        <v>2725438</v>
      </c>
      <c r="K144" s="3">
        <f>+Tabla22[[#This Row],[Web + APP 2026]]</f>
        <v>0</v>
      </c>
      <c r="L144" s="3">
        <v>22197.413793103446</v>
      </c>
      <c r="M144" s="3">
        <f>+Tabla22[[#This Row],[Afiliados 2026]]</f>
        <v>0</v>
      </c>
      <c r="N144" s="3">
        <v>57018</v>
      </c>
      <c r="O144" s="3">
        <f>+Tabla22[[#This Row],[TMK 2026]]</f>
        <v>0</v>
      </c>
      <c r="P144" s="3">
        <v>2723</v>
      </c>
      <c r="Q144" s="3">
        <f>+Tabla22[[#This Row],[WA 2026]]</f>
        <v>0</v>
      </c>
      <c r="R144" s="3">
        <v>100755</v>
      </c>
      <c r="S144" s="3">
        <f>+Tabla22[[#This Row],[Ent. en Tienda 2026]]</f>
        <v>0</v>
      </c>
      <c r="T144" s="3">
        <v>368227</v>
      </c>
      <c r="U144" s="3">
        <f>+Tabla22[[#This Row],[Meli Drop 2026]]</f>
        <v>0</v>
      </c>
      <c r="V144" s="3">
        <v>184282</v>
      </c>
      <c r="W144" s="3">
        <f>+Tabla22[[#This Row],[Meli Full 2026]]</f>
        <v>0</v>
      </c>
      <c r="X144" s="3">
        <v>13230</v>
      </c>
      <c r="Y144" s="3">
        <f>+Tabla22[[#This Row],[Amazon Drop 2026]]</f>
        <v>0</v>
      </c>
      <c r="Z144" s="3">
        <v>8915</v>
      </c>
      <c r="AA144" s="3">
        <f>+Tabla22[[#This Row],[Amazon Full 2026]]</f>
        <v>0</v>
      </c>
      <c r="AB144" s="3">
        <v>0</v>
      </c>
      <c r="AC144" s="3">
        <f>+Tabla22[[#This Row],[TikTok 2026]]</f>
        <v>0</v>
      </c>
      <c r="AD144" s="3">
        <v>0</v>
      </c>
      <c r="AE144" s="3">
        <f>+Tabla22[[#This Row],[Shein 2026]]</f>
        <v>0</v>
      </c>
      <c r="AF144" s="5">
        <f t="shared" si="45"/>
        <v>0</v>
      </c>
      <c r="AG144" s="4">
        <f t="shared" si="46"/>
        <v>0</v>
      </c>
      <c r="AH144" s="5">
        <f t="shared" si="47"/>
        <v>-4639779.3205408398</v>
      </c>
      <c r="AI144" s="17">
        <f t="shared" si="50"/>
        <v>-1</v>
      </c>
      <c r="AJ144" s="17">
        <f t="shared" si="51"/>
        <v>9.6148381354023871E-2</v>
      </c>
      <c r="AK144" s="14" t="e">
        <f t="shared" si="52"/>
        <v>#DIV/0!</v>
      </c>
      <c r="AL144" s="14">
        <f t="shared" si="53"/>
        <v>-1</v>
      </c>
    </row>
    <row r="145" spans="1:38" x14ac:dyDescent="0.3">
      <c r="A145" s="7">
        <v>45800</v>
      </c>
      <c r="B145" s="3">
        <v>37119549</v>
      </c>
      <c r="C145" s="3">
        <f t="shared" si="54"/>
        <v>2560420.2758620689</v>
      </c>
      <c r="D145" s="4">
        <f>+Tabla22[[#This Row],[Share diario]]</f>
        <v>3.2625886461854374E-2</v>
      </c>
      <c r="E145" s="3">
        <f>+Tabla22[[#This Row],[Global 2026]]</f>
        <v>0</v>
      </c>
      <c r="F145" s="7">
        <v>46164</v>
      </c>
      <c r="G145" s="3">
        <f>+Tabla2[[#This Row],[Meta Digital]]+Tabla2[[#This Row],[Meta MKPlace]]</f>
        <v>4544001.2833859278</v>
      </c>
      <c r="H145" s="3">
        <v>3555436.9235917404</v>
      </c>
      <c r="I145" s="3">
        <v>988564.35979418748</v>
      </c>
      <c r="J145" s="3">
        <v>1842077</v>
      </c>
      <c r="K145" s="3">
        <f>+Tabla22[[#This Row],[Web + APP 2026]]</f>
        <v>0</v>
      </c>
      <c r="L145" s="3">
        <v>21773.275862068964</v>
      </c>
      <c r="M145" s="3">
        <f>+Tabla22[[#This Row],[Afiliados 2026]]</f>
        <v>0</v>
      </c>
      <c r="N145" s="3">
        <v>44511</v>
      </c>
      <c r="O145" s="3">
        <f>+Tabla22[[#This Row],[TMK 2026]]</f>
        <v>0</v>
      </c>
      <c r="P145" s="3">
        <v>5468</v>
      </c>
      <c r="Q145" s="3">
        <f>+Tabla22[[#This Row],[WA 2026]]</f>
        <v>0</v>
      </c>
      <c r="R145" s="3">
        <v>104707</v>
      </c>
      <c r="S145" s="3">
        <f>+Tabla22[[#This Row],[Ent. en Tienda 2026]]</f>
        <v>0</v>
      </c>
      <c r="T145" s="3">
        <v>359912</v>
      </c>
      <c r="U145" s="3">
        <f>+Tabla22[[#This Row],[Meli Drop 2026]]</f>
        <v>0</v>
      </c>
      <c r="V145" s="3">
        <v>161958</v>
      </c>
      <c r="W145" s="3">
        <f>+Tabla22[[#This Row],[Meli Full 2026]]</f>
        <v>0</v>
      </c>
      <c r="X145" s="3">
        <v>14507</v>
      </c>
      <c r="Y145" s="3">
        <f>+Tabla22[[#This Row],[Amazon Drop 2026]]</f>
        <v>0</v>
      </c>
      <c r="Z145" s="3">
        <v>5507</v>
      </c>
      <c r="AA145" s="3">
        <f>+Tabla22[[#This Row],[Amazon Full 2026]]</f>
        <v>0</v>
      </c>
      <c r="AB145" s="3">
        <v>0</v>
      </c>
      <c r="AC145" s="3">
        <f>+Tabla22[[#This Row],[TikTok 2026]]</f>
        <v>0</v>
      </c>
      <c r="AD145" s="3">
        <v>0</v>
      </c>
      <c r="AE145" s="3">
        <f>+Tabla22[[#This Row],[Shein 2026]]</f>
        <v>0</v>
      </c>
      <c r="AF145" s="5">
        <f t="shared" si="45"/>
        <v>0</v>
      </c>
      <c r="AG145" s="4">
        <f t="shared" si="46"/>
        <v>0</v>
      </c>
      <c r="AH145" s="5">
        <f t="shared" si="47"/>
        <v>-4544001.2833859278</v>
      </c>
      <c r="AI145" s="17">
        <f t="shared" si="50"/>
        <v>-1</v>
      </c>
      <c r="AJ145" s="17">
        <f t="shared" si="51"/>
        <v>6.8977677392095163E-2</v>
      </c>
      <c r="AK145" s="14" t="e">
        <f t="shared" si="52"/>
        <v>#DIV/0!</v>
      </c>
      <c r="AL145" s="14">
        <f t="shared" si="53"/>
        <v>-1</v>
      </c>
    </row>
    <row r="146" spans="1:38" x14ac:dyDescent="0.3">
      <c r="A146" s="63">
        <v>45801</v>
      </c>
      <c r="B146" s="3">
        <v>45670035</v>
      </c>
      <c r="C146" s="3">
        <f t="shared" si="54"/>
        <v>2085942.1379310344</v>
      </c>
      <c r="D146" s="4">
        <f>+Tabla22[[#This Row],[Share diario]]</f>
        <v>2.3985394243375629E-2</v>
      </c>
      <c r="E146" s="3">
        <f>+Tabla22[[#This Row],[Global 2026]]</f>
        <v>0</v>
      </c>
      <c r="F146" s="7">
        <v>46165</v>
      </c>
      <c r="G146" s="3">
        <f>+Tabla2[[#This Row],[Meta Digital]]+Tabla2[[#This Row],[Meta MKPlace]]</f>
        <v>3340588.5339497253</v>
      </c>
      <c r="H146" s="3">
        <v>2613831.0883754441</v>
      </c>
      <c r="I146" s="3">
        <v>726757.4455742815</v>
      </c>
      <c r="J146" s="3">
        <v>1490912</v>
      </c>
      <c r="K146" s="3">
        <f>+Tabla22[[#This Row],[Web + APP 2026]]</f>
        <v>0</v>
      </c>
      <c r="L146" s="3">
        <v>21924.137931034478</v>
      </c>
      <c r="M146" s="3">
        <f>+Tabla22[[#This Row],[Afiliados 2026]]</f>
        <v>0</v>
      </c>
      <c r="N146" s="3">
        <v>4053</v>
      </c>
      <c r="O146" s="3">
        <f>+Tabla22[[#This Row],[TMK 2026]]</f>
        <v>0</v>
      </c>
      <c r="P146" s="3">
        <v>-155</v>
      </c>
      <c r="Q146" s="3">
        <f>+Tabla22[[#This Row],[WA 2026]]</f>
        <v>0</v>
      </c>
      <c r="R146" s="3">
        <v>60410</v>
      </c>
      <c r="S146" s="3">
        <f>+Tabla22[[#This Row],[Ent. en Tienda 2026]]</f>
        <v>0</v>
      </c>
      <c r="T146" s="3">
        <v>342742</v>
      </c>
      <c r="U146" s="3">
        <f>+Tabla22[[#This Row],[Meli Drop 2026]]</f>
        <v>0</v>
      </c>
      <c r="V146" s="3">
        <v>137614</v>
      </c>
      <c r="W146" s="3">
        <f>+Tabla22[[#This Row],[Meli Full 2026]]</f>
        <v>0</v>
      </c>
      <c r="X146" s="3">
        <v>23925</v>
      </c>
      <c r="Y146" s="3">
        <f>+Tabla22[[#This Row],[Amazon Drop 2026]]</f>
        <v>0</v>
      </c>
      <c r="Z146" s="3">
        <v>4517</v>
      </c>
      <c r="AA146" s="3">
        <f>+Tabla22[[#This Row],[Amazon Full 2026]]</f>
        <v>0</v>
      </c>
      <c r="AB146" s="3">
        <v>0</v>
      </c>
      <c r="AC146" s="3">
        <f>+Tabla22[[#This Row],[TikTok 2026]]</f>
        <v>0</v>
      </c>
      <c r="AD146" s="3">
        <v>0</v>
      </c>
      <c r="AE146" s="3">
        <f>+Tabla22[[#This Row],[Shein 2026]]</f>
        <v>0</v>
      </c>
      <c r="AF146" s="5">
        <f t="shared" si="45"/>
        <v>0</v>
      </c>
      <c r="AG146" s="4">
        <f t="shared" si="46"/>
        <v>0</v>
      </c>
      <c r="AH146" s="5">
        <f t="shared" si="47"/>
        <v>-3340588.5339497253</v>
      </c>
      <c r="AI146" s="17">
        <f t="shared" si="50"/>
        <v>-1</v>
      </c>
      <c r="AJ146" s="17">
        <f t="shared" si="51"/>
        <v>4.5674196175479929E-2</v>
      </c>
      <c r="AK146" s="14" t="e">
        <f t="shared" si="52"/>
        <v>#DIV/0!</v>
      </c>
      <c r="AL146" s="14">
        <f t="shared" si="53"/>
        <v>-1</v>
      </c>
    </row>
    <row r="147" spans="1:38" x14ac:dyDescent="0.3">
      <c r="A147" s="7">
        <v>45802</v>
      </c>
      <c r="B147" s="3">
        <v>43078411</v>
      </c>
      <c r="C147" s="3">
        <f t="shared" si="54"/>
        <v>2357823.931034483</v>
      </c>
      <c r="D147" s="4">
        <f>+Tabla22[[#This Row],[Share diario]]</f>
        <v>1.9540598478622946E-2</v>
      </c>
      <c r="E147" s="3">
        <f>+Tabla22[[#This Row],[Global 2026]]</f>
        <v>0</v>
      </c>
      <c r="F147" s="7">
        <v>46166</v>
      </c>
      <c r="G147" s="3">
        <f>+Tabla2[[#This Row],[Meta Digital]]+Tabla2[[#This Row],[Meta MKPlace]]</f>
        <v>2721535.3878217665</v>
      </c>
      <c r="H147" s="3">
        <v>2129455.2539194915</v>
      </c>
      <c r="I147" s="3">
        <v>592080.13390227524</v>
      </c>
      <c r="J147" s="3">
        <v>1648534</v>
      </c>
      <c r="K147" s="3">
        <f>+Tabla22[[#This Row],[Web + APP 2026]]</f>
        <v>0</v>
      </c>
      <c r="L147" s="3">
        <v>27512.931034482754</v>
      </c>
      <c r="M147" s="3">
        <f>+Tabla22[[#This Row],[Afiliados 2026]]</f>
        <v>0</v>
      </c>
      <c r="N147" s="3">
        <v>7700</v>
      </c>
      <c r="O147" s="3">
        <f>+Tabla22[[#This Row],[TMK 2026]]</f>
        <v>0</v>
      </c>
      <c r="P147" s="3">
        <v>-1294</v>
      </c>
      <c r="Q147" s="3">
        <f>+Tabla22[[#This Row],[WA 2026]]</f>
        <v>0</v>
      </c>
      <c r="R147" s="3">
        <v>100831</v>
      </c>
      <c r="S147" s="3">
        <f>+Tabla22[[#This Row],[Ent. en Tienda 2026]]</f>
        <v>0</v>
      </c>
      <c r="T147" s="3">
        <v>396662</v>
      </c>
      <c r="U147" s="3">
        <f>+Tabla22[[#This Row],[Meli Drop 2026]]</f>
        <v>0</v>
      </c>
      <c r="V147" s="3">
        <v>149588</v>
      </c>
      <c r="W147" s="3">
        <f>+Tabla22[[#This Row],[Meli Full 2026]]</f>
        <v>0</v>
      </c>
      <c r="X147" s="3">
        <v>19789</v>
      </c>
      <c r="Y147" s="3">
        <f>+Tabla22[[#This Row],[Amazon Drop 2026]]</f>
        <v>0</v>
      </c>
      <c r="Z147" s="3">
        <v>8501</v>
      </c>
      <c r="AA147" s="3">
        <f>+Tabla22[[#This Row],[Amazon Full 2026]]</f>
        <v>0</v>
      </c>
      <c r="AB147" s="3">
        <v>0</v>
      </c>
      <c r="AC147" s="3">
        <f>+Tabla22[[#This Row],[TikTok 2026]]</f>
        <v>0</v>
      </c>
      <c r="AD147" s="3">
        <v>0</v>
      </c>
      <c r="AE147" s="3">
        <f>+Tabla22[[#This Row],[Shein 2026]]</f>
        <v>0</v>
      </c>
      <c r="AF147" s="5">
        <f t="shared" si="45"/>
        <v>0</v>
      </c>
      <c r="AG147" s="4">
        <f t="shared" si="46"/>
        <v>0</v>
      </c>
      <c r="AH147" s="5">
        <f t="shared" si="47"/>
        <v>-2721535.3878217665</v>
      </c>
      <c r="AI147" s="17">
        <f t="shared" si="50"/>
        <v>-1</v>
      </c>
      <c r="AJ147" s="17">
        <f t="shared" si="51"/>
        <v>5.4733307851918746E-2</v>
      </c>
      <c r="AK147" s="14" t="e">
        <f t="shared" si="52"/>
        <v>#DIV/0!</v>
      </c>
      <c r="AL147" s="14">
        <f t="shared" si="53"/>
        <v>-1</v>
      </c>
    </row>
    <row r="148" spans="1:38" x14ac:dyDescent="0.3">
      <c r="A148" s="63">
        <v>45803</v>
      </c>
      <c r="B148" s="3">
        <v>26417617</v>
      </c>
      <c r="C148" s="3">
        <f t="shared" si="54"/>
        <v>4587640.8965517245</v>
      </c>
      <c r="D148" s="4">
        <f>+Tabla22[[#This Row],[Share diario]]</f>
        <v>2.2087520972816393E-2</v>
      </c>
      <c r="E148" s="3">
        <f>+Tabla22[[#This Row],[Global 2026]]</f>
        <v>0</v>
      </c>
      <c r="F148" s="7">
        <v>46167</v>
      </c>
      <c r="G148" s="3">
        <f>+Tabla2[[#This Row],[Meta Digital]]+Tabla2[[#This Row],[Meta MKPlace]]</f>
        <v>3076260.4340157062</v>
      </c>
      <c r="H148" s="3">
        <v>2407008.5485393694</v>
      </c>
      <c r="I148" s="3">
        <v>669251.8854763367</v>
      </c>
      <c r="J148" s="3">
        <v>3471403</v>
      </c>
      <c r="K148" s="3">
        <f>+Tabla22[[#This Row],[Web + APP 2026]]</f>
        <v>0</v>
      </c>
      <c r="L148" s="3">
        <v>24606.89655172413</v>
      </c>
      <c r="M148" s="3">
        <f>+Tabla22[[#This Row],[Afiliados 2026]]</f>
        <v>0</v>
      </c>
      <c r="N148" s="3">
        <v>37482</v>
      </c>
      <c r="O148" s="3">
        <f>+Tabla22[[#This Row],[TMK 2026]]</f>
        <v>0</v>
      </c>
      <c r="P148" s="3">
        <v>8128</v>
      </c>
      <c r="Q148" s="3">
        <f>+Tabla22[[#This Row],[WA 2026]]</f>
        <v>0</v>
      </c>
      <c r="R148" s="3">
        <v>96490</v>
      </c>
      <c r="S148" s="3">
        <f>+Tabla22[[#This Row],[Ent. en Tienda 2026]]</f>
        <v>0</v>
      </c>
      <c r="T148" s="3">
        <v>729673</v>
      </c>
      <c r="U148" s="3">
        <f>+Tabla22[[#This Row],[Meli Drop 2026]]</f>
        <v>0</v>
      </c>
      <c r="V148" s="3">
        <v>173445</v>
      </c>
      <c r="W148" s="3">
        <f>+Tabla22[[#This Row],[Meli Full 2026]]</f>
        <v>0</v>
      </c>
      <c r="X148" s="3">
        <v>31849</v>
      </c>
      <c r="Y148" s="3">
        <f>+Tabla22[[#This Row],[Amazon Drop 2026]]</f>
        <v>0</v>
      </c>
      <c r="Z148" s="3">
        <v>14564</v>
      </c>
      <c r="AA148" s="3">
        <f>+Tabla22[[#This Row],[Amazon Full 2026]]</f>
        <v>0</v>
      </c>
      <c r="AB148" s="3">
        <v>0</v>
      </c>
      <c r="AC148" s="3">
        <f>+Tabla22[[#This Row],[TikTok 2026]]</f>
        <v>0</v>
      </c>
      <c r="AD148" s="3">
        <v>0</v>
      </c>
      <c r="AE148" s="3">
        <f>+Tabla22[[#This Row],[Shein 2026]]</f>
        <v>0</v>
      </c>
      <c r="AF148" s="5">
        <f t="shared" si="45"/>
        <v>0</v>
      </c>
      <c r="AG148" s="4">
        <f t="shared" si="46"/>
        <v>0</v>
      </c>
      <c r="AH148" s="5">
        <f t="shared" si="47"/>
        <v>-3076260.4340157062</v>
      </c>
      <c r="AI148" s="17">
        <f t="shared" si="50"/>
        <v>-1</v>
      </c>
      <c r="AJ148" s="17">
        <f t="shared" si="51"/>
        <v>0.17365839229752345</v>
      </c>
      <c r="AK148" s="14" t="e">
        <f t="shared" si="52"/>
        <v>#DIV/0!</v>
      </c>
      <c r="AL148" s="14">
        <f t="shared" si="53"/>
        <v>-1</v>
      </c>
    </row>
    <row r="149" spans="1:38" x14ac:dyDescent="0.3">
      <c r="A149" s="7">
        <v>45804</v>
      </c>
      <c r="B149" s="3">
        <v>31571706</v>
      </c>
      <c r="C149" s="3">
        <f t="shared" si="54"/>
        <v>5881489.5517241377</v>
      </c>
      <c r="D149" s="4">
        <f>+Tabla22[[#This Row],[Share diario]]</f>
        <v>4.2975903834294608E-2</v>
      </c>
      <c r="E149" s="3">
        <f>+Tabla22[[#This Row],[Global 2026]]</f>
        <v>0</v>
      </c>
      <c r="F149" s="7">
        <v>46168</v>
      </c>
      <c r="G149" s="3">
        <f>+Tabla2[[#This Row],[Meta Digital]]+Tabla2[[#This Row],[Meta MKPlace]]</f>
        <v>5985509.7701644348</v>
      </c>
      <c r="H149" s="3">
        <v>4683339.883985308</v>
      </c>
      <c r="I149" s="3">
        <v>1302169.8861791266</v>
      </c>
      <c r="J149" s="3">
        <v>4105033</v>
      </c>
      <c r="K149" s="3">
        <f>+Tabla22[[#This Row],[Web + APP 2026]]</f>
        <v>0</v>
      </c>
      <c r="L149" s="3">
        <v>24421.551724137928</v>
      </c>
      <c r="M149" s="3">
        <f>+Tabla22[[#This Row],[Afiliados 2026]]</f>
        <v>0</v>
      </c>
      <c r="N149" s="3">
        <v>55831</v>
      </c>
      <c r="O149" s="3">
        <f>+Tabla22[[#This Row],[TMK 2026]]</f>
        <v>0</v>
      </c>
      <c r="P149" s="3">
        <v>10097</v>
      </c>
      <c r="Q149" s="3">
        <f>+Tabla22[[#This Row],[WA 2026]]</f>
        <v>0</v>
      </c>
      <c r="R149" s="3">
        <v>119447</v>
      </c>
      <c r="S149" s="3">
        <f>+Tabla22[[#This Row],[Ent. en Tienda 2026]]</f>
        <v>0</v>
      </c>
      <c r="T149" s="3">
        <v>1213906</v>
      </c>
      <c r="U149" s="3">
        <f>+Tabla22[[#This Row],[Meli Drop 2026]]</f>
        <v>0</v>
      </c>
      <c r="V149" s="3">
        <v>294966</v>
      </c>
      <c r="W149" s="3">
        <f>+Tabla22[[#This Row],[Meli Full 2026]]</f>
        <v>0</v>
      </c>
      <c r="X149" s="3">
        <v>45119</v>
      </c>
      <c r="Y149" s="3">
        <f>+Tabla22[[#This Row],[Amazon Drop 2026]]</f>
        <v>0</v>
      </c>
      <c r="Z149" s="3">
        <v>12669</v>
      </c>
      <c r="AA149" s="3">
        <f>+Tabla22[[#This Row],[Amazon Full 2026]]</f>
        <v>0</v>
      </c>
      <c r="AB149" s="3">
        <v>0</v>
      </c>
      <c r="AC149" s="3">
        <f>+Tabla22[[#This Row],[TikTok 2026]]</f>
        <v>0</v>
      </c>
      <c r="AD149" s="3">
        <v>0</v>
      </c>
      <c r="AE149" s="3">
        <f>+Tabla22[[#This Row],[Shein 2026]]</f>
        <v>0</v>
      </c>
      <c r="AF149" s="5">
        <f t="shared" si="45"/>
        <v>0</v>
      </c>
      <c r="AG149" s="4">
        <f t="shared" si="46"/>
        <v>0</v>
      </c>
      <c r="AH149" s="5">
        <f t="shared" si="47"/>
        <v>-5985509.7701644348</v>
      </c>
      <c r="AI149" s="17">
        <f t="shared" si="50"/>
        <v>-1</v>
      </c>
      <c r="AJ149" s="17">
        <f t="shared" si="51"/>
        <v>0.18628988727198137</v>
      </c>
      <c r="AK149" s="14" t="e">
        <f t="shared" si="52"/>
        <v>#DIV/0!</v>
      </c>
      <c r="AL149" s="14">
        <f t="shared" si="53"/>
        <v>-1</v>
      </c>
    </row>
    <row r="150" spans="1:38" x14ac:dyDescent="0.3">
      <c r="A150" s="63">
        <v>45805</v>
      </c>
      <c r="B150" s="3">
        <v>34320185</v>
      </c>
      <c r="C150" s="3">
        <f t="shared" si="54"/>
        <v>5700435.2758620689</v>
      </c>
      <c r="D150" s="4">
        <f>+Tabla22[[#This Row],[Share diario]]</f>
        <v>5.50963632675113E-2</v>
      </c>
      <c r="E150" s="3">
        <f>+Tabla22[[#This Row],[Global 2026]]</f>
        <v>0</v>
      </c>
      <c r="F150" s="7">
        <v>46169</v>
      </c>
      <c r="G150" s="3">
        <f>+Tabla2[[#This Row],[Meta Digital]]+Tabla2[[#This Row],[Meta MKPlace]]</f>
        <v>7673598.2542630024</v>
      </c>
      <c r="H150" s="3">
        <v>6004178.4472574098</v>
      </c>
      <c r="I150" s="3">
        <v>1669419.8070055924</v>
      </c>
      <c r="J150" s="3">
        <v>3686445</v>
      </c>
      <c r="K150" s="3">
        <f>+Tabla22[[#This Row],[Web + APP 2026]]</f>
        <v>0</v>
      </c>
      <c r="L150" s="3">
        <v>31223.275862068956</v>
      </c>
      <c r="M150" s="3">
        <f>+Tabla22[[#This Row],[Afiliados 2026]]</f>
        <v>0</v>
      </c>
      <c r="N150" s="3">
        <v>60377</v>
      </c>
      <c r="O150" s="3">
        <f>+Tabla22[[#This Row],[TMK 2026]]</f>
        <v>0</v>
      </c>
      <c r="P150" s="3">
        <v>8759</v>
      </c>
      <c r="Q150" s="3">
        <f>+Tabla22[[#This Row],[WA 2026]]</f>
        <v>0</v>
      </c>
      <c r="R150" s="3">
        <v>88703</v>
      </c>
      <c r="S150" s="3">
        <f>+Tabla22[[#This Row],[Ent. en Tienda 2026]]</f>
        <v>0</v>
      </c>
      <c r="T150" s="3">
        <v>1382114</v>
      </c>
      <c r="U150" s="3">
        <f>+Tabla22[[#This Row],[Meli Drop 2026]]</f>
        <v>0</v>
      </c>
      <c r="V150" s="3">
        <v>371492</v>
      </c>
      <c r="W150" s="3">
        <f>+Tabla22[[#This Row],[Meli Full 2026]]</f>
        <v>0</v>
      </c>
      <c r="X150" s="3">
        <v>45166</v>
      </c>
      <c r="Y150" s="3">
        <f>+Tabla22[[#This Row],[Amazon Drop 2026]]</f>
        <v>0</v>
      </c>
      <c r="Z150" s="3">
        <v>26156</v>
      </c>
      <c r="AA150" s="3">
        <f>+Tabla22[[#This Row],[Amazon Full 2026]]</f>
        <v>0</v>
      </c>
      <c r="AB150" s="3">
        <v>0</v>
      </c>
      <c r="AC150" s="3">
        <f>+Tabla22[[#This Row],[TikTok 2026]]</f>
        <v>0</v>
      </c>
      <c r="AD150" s="3">
        <v>0</v>
      </c>
      <c r="AE150" s="3">
        <f>+Tabla22[[#This Row],[Shein 2026]]</f>
        <v>0</v>
      </c>
      <c r="AF150" s="5">
        <f t="shared" ref="AF150:AF213" si="55">+AE150+AC150+AA150+Y150+W150+U150+S150+Q150+O150+M150+K150</f>
        <v>0</v>
      </c>
      <c r="AG150" s="4">
        <f t="shared" ref="AG150:AG213" si="56">+AF150/G150</f>
        <v>0</v>
      </c>
      <c r="AH150" s="5">
        <f t="shared" ref="AH150:AH213" si="57">+AF150-G150</f>
        <v>-7673598.2542630024</v>
      </c>
      <c r="AI150" s="17">
        <f t="shared" si="50"/>
        <v>-1</v>
      </c>
      <c r="AJ150" s="17">
        <f t="shared" si="51"/>
        <v>0.16609570361762527</v>
      </c>
      <c r="AK150" s="14" t="e">
        <f t="shared" si="52"/>
        <v>#DIV/0!</v>
      </c>
      <c r="AL150" s="14">
        <f t="shared" si="53"/>
        <v>-1</v>
      </c>
    </row>
    <row r="151" spans="1:38" x14ac:dyDescent="0.3">
      <c r="A151" s="7">
        <v>45806</v>
      </c>
      <c r="B151" s="3">
        <v>37519109</v>
      </c>
      <c r="C151" s="3">
        <f t="shared" si="54"/>
        <v>4735860.3793103453</v>
      </c>
      <c r="D151" s="4">
        <f>+Tabla22[[#This Row],[Share diario]]</f>
        <v>5.3400290858250876E-2</v>
      </c>
      <c r="E151" s="3">
        <f>+Tabla22[[#This Row],[Global 2026]]</f>
        <v>0</v>
      </c>
      <c r="F151" s="7">
        <v>46170</v>
      </c>
      <c r="G151" s="3">
        <f>+Tabla2[[#This Row],[Meta Digital]]+Tabla2[[#This Row],[Meta MKPlace]]</f>
        <v>7437376.1606991785</v>
      </c>
      <c r="H151" s="3">
        <v>5819347.3476941772</v>
      </c>
      <c r="I151" s="3">
        <v>1618028.8130050015</v>
      </c>
      <c r="J151" s="3">
        <v>3006591</v>
      </c>
      <c r="K151" s="3">
        <f>+Tabla22[[#This Row],[Web + APP 2026]]</f>
        <v>0</v>
      </c>
      <c r="L151" s="3">
        <v>27291.379310344819</v>
      </c>
      <c r="M151" s="3">
        <f>+Tabla22[[#This Row],[Afiliados 2026]]</f>
        <v>0</v>
      </c>
      <c r="N151" s="3">
        <v>44594</v>
      </c>
      <c r="O151" s="3">
        <f>+Tabla22[[#This Row],[TMK 2026]]</f>
        <v>0</v>
      </c>
      <c r="P151" s="3">
        <v>8693</v>
      </c>
      <c r="Q151" s="3">
        <f>+Tabla22[[#This Row],[WA 2026]]</f>
        <v>0</v>
      </c>
      <c r="R151" s="3">
        <v>93162</v>
      </c>
      <c r="S151" s="3">
        <f>+Tabla22[[#This Row],[Ent. en Tienda 2026]]</f>
        <v>0</v>
      </c>
      <c r="T151" s="3">
        <v>1195372</v>
      </c>
      <c r="U151" s="3">
        <f>+Tabla22[[#This Row],[Meli Drop 2026]]</f>
        <v>0</v>
      </c>
      <c r="V151" s="3">
        <v>298834</v>
      </c>
      <c r="W151" s="3">
        <f>+Tabla22[[#This Row],[Meli Full 2026]]</f>
        <v>0</v>
      </c>
      <c r="X151" s="3">
        <v>46665</v>
      </c>
      <c r="Y151" s="3">
        <f>+Tabla22[[#This Row],[Amazon Drop 2026]]</f>
        <v>0</v>
      </c>
      <c r="Z151" s="3">
        <v>14658</v>
      </c>
      <c r="AA151" s="3">
        <f>+Tabla22[[#This Row],[Amazon Full 2026]]</f>
        <v>0</v>
      </c>
      <c r="AB151" s="3">
        <v>0</v>
      </c>
      <c r="AC151" s="3">
        <f>+Tabla22[[#This Row],[TikTok 2026]]</f>
        <v>0</v>
      </c>
      <c r="AD151" s="3">
        <v>0</v>
      </c>
      <c r="AE151" s="3">
        <f>+Tabla22[[#This Row],[Shein 2026]]</f>
        <v>0</v>
      </c>
      <c r="AF151" s="5">
        <f t="shared" si="55"/>
        <v>0</v>
      </c>
      <c r="AG151" s="4">
        <f t="shared" si="56"/>
        <v>0</v>
      </c>
      <c r="AH151" s="5">
        <f t="shared" si="57"/>
        <v>-7437376.1606991785</v>
      </c>
      <c r="AI151" s="17">
        <f t="shared" si="50"/>
        <v>-1</v>
      </c>
      <c r="AJ151" s="17">
        <f t="shared" si="51"/>
        <v>0.12622528907363834</v>
      </c>
      <c r="AK151" s="14" t="e">
        <f t="shared" si="52"/>
        <v>#DIV/0!</v>
      </c>
      <c r="AL151" s="14">
        <f t="shared" si="53"/>
        <v>-1</v>
      </c>
    </row>
    <row r="152" spans="1:38" x14ac:dyDescent="0.3">
      <c r="A152" s="63">
        <v>45807</v>
      </c>
      <c r="B152" s="3">
        <v>43157206</v>
      </c>
      <c r="C152" s="3">
        <f t="shared" si="54"/>
        <v>4210899.2413793104</v>
      </c>
      <c r="D152" s="4">
        <f>+Tabla22[[#This Row],[Share diario]]</f>
        <v>4.4364387889834184E-2</v>
      </c>
      <c r="E152" s="3">
        <f>+Tabla22[[#This Row],[Global 2026]]</f>
        <v>0</v>
      </c>
      <c r="F152" s="7">
        <v>46171</v>
      </c>
      <c r="G152" s="3">
        <f>+Tabla2[[#This Row],[Meta Digital]]+Tabla2[[#This Row],[Meta MKPlace]]</f>
        <v>6178892.2040090878</v>
      </c>
      <c r="H152" s="3">
        <v>4834651.2509471122</v>
      </c>
      <c r="I152" s="3">
        <v>1344240.9530619758</v>
      </c>
      <c r="J152" s="3">
        <v>2492801</v>
      </c>
      <c r="K152" s="3">
        <f>+Tabla22[[#This Row],[Web + APP 2026]]</f>
        <v>0</v>
      </c>
      <c r="L152" s="3">
        <v>37442.241379310333</v>
      </c>
      <c r="M152" s="3">
        <f>+Tabla22[[#This Row],[Afiliados 2026]]</f>
        <v>0</v>
      </c>
      <c r="N152" s="3">
        <v>36352</v>
      </c>
      <c r="O152" s="3">
        <f>+Tabla22[[#This Row],[TMK 2026]]</f>
        <v>0</v>
      </c>
      <c r="P152" s="3">
        <v>7638</v>
      </c>
      <c r="Q152" s="3">
        <f>+Tabla22[[#This Row],[WA 2026]]</f>
        <v>0</v>
      </c>
      <c r="R152" s="3">
        <v>113450</v>
      </c>
      <c r="S152" s="3">
        <f>+Tabla22[[#This Row],[Ent. en Tienda 2026]]</f>
        <v>0</v>
      </c>
      <c r="T152" s="3">
        <v>1220737</v>
      </c>
      <c r="U152" s="3">
        <f>+Tabla22[[#This Row],[Meli Drop 2026]]</f>
        <v>0</v>
      </c>
      <c r="V152" s="3">
        <v>249590</v>
      </c>
      <c r="W152" s="3">
        <f>+Tabla22[[#This Row],[Meli Full 2026]]</f>
        <v>0</v>
      </c>
      <c r="X152" s="3">
        <v>38407</v>
      </c>
      <c r="Y152" s="3">
        <f>+Tabla22[[#This Row],[Amazon Drop 2026]]</f>
        <v>0</v>
      </c>
      <c r="Z152" s="3">
        <v>14482</v>
      </c>
      <c r="AA152" s="3">
        <f>+Tabla22[[#This Row],[Amazon Full 2026]]</f>
        <v>0</v>
      </c>
      <c r="AB152" s="3">
        <v>0</v>
      </c>
      <c r="AC152" s="3">
        <f>+Tabla22[[#This Row],[TikTok 2026]]</f>
        <v>0</v>
      </c>
      <c r="AD152" s="3">
        <v>0</v>
      </c>
      <c r="AE152" s="3">
        <f>+Tabla22[[#This Row],[Shein 2026]]</f>
        <v>0</v>
      </c>
      <c r="AF152" s="5">
        <f t="shared" si="55"/>
        <v>0</v>
      </c>
      <c r="AG152" s="4">
        <f t="shared" si="56"/>
        <v>0</v>
      </c>
      <c r="AH152" s="5">
        <f t="shared" si="57"/>
        <v>-6178892.2040090878</v>
      </c>
      <c r="AI152" s="17">
        <f t="shared" si="50"/>
        <v>-1</v>
      </c>
      <c r="AJ152" s="17">
        <f t="shared" si="51"/>
        <v>9.7571173661689548E-2</v>
      </c>
      <c r="AK152" s="14" t="e">
        <f t="shared" si="52"/>
        <v>#DIV/0!</v>
      </c>
      <c r="AL152" s="14">
        <f t="shared" si="53"/>
        <v>-1</v>
      </c>
    </row>
    <row r="153" spans="1:38" x14ac:dyDescent="0.3">
      <c r="A153" s="7">
        <v>45808</v>
      </c>
      <c r="B153" s="3">
        <v>51180118</v>
      </c>
      <c r="C153" s="3">
        <f t="shared" si="54"/>
        <v>3821449.7931034481</v>
      </c>
      <c r="D153" s="4">
        <f>+Tabla22[[#This Row],[Share diario]]</f>
        <v>3.9446679662622323E-2</v>
      </c>
      <c r="E153" s="3">
        <f>+Tabla22[[#This Row],[Global 2026]]</f>
        <v>0</v>
      </c>
      <c r="F153" s="7">
        <v>46172</v>
      </c>
      <c r="G153" s="3">
        <f>+Tabla2[[#This Row],[Meta Digital]]+Tabla2[[#This Row],[Meta MKPlace]]</f>
        <v>5493973.7261036718</v>
      </c>
      <c r="H153" s="3">
        <v>4298739.3323262157</v>
      </c>
      <c r="I153" s="3">
        <v>1195234.3937774564</v>
      </c>
      <c r="J153" s="3">
        <v>2298316</v>
      </c>
      <c r="K153" s="3">
        <f>+Tabla22[[#This Row],[Web + APP 2026]]</f>
        <v>0</v>
      </c>
      <c r="L153" s="3">
        <v>34463.793103448254</v>
      </c>
      <c r="M153" s="3">
        <f>+Tabla22[[#This Row],[Afiliados 2026]]</f>
        <v>0</v>
      </c>
      <c r="N153" s="3">
        <v>19296</v>
      </c>
      <c r="O153" s="3">
        <f>+Tabla22[[#This Row],[TMK 2026]]</f>
        <v>0</v>
      </c>
      <c r="P153" s="3">
        <v>4141</v>
      </c>
      <c r="Q153" s="3">
        <f>+Tabla22[[#This Row],[WA 2026]]</f>
        <v>0</v>
      </c>
      <c r="R153" s="3">
        <v>119066</v>
      </c>
      <c r="S153" s="3">
        <f>+Tabla22[[#This Row],[Ent. en Tienda 2026]]</f>
        <v>0</v>
      </c>
      <c r="T153" s="3">
        <v>1010801</v>
      </c>
      <c r="U153" s="3">
        <f>+Tabla22[[#This Row],[Meli Drop 2026]]</f>
        <v>0</v>
      </c>
      <c r="V153" s="3">
        <v>278925</v>
      </c>
      <c r="W153" s="3">
        <f>+Tabla22[[#This Row],[Meli Full 2026]]</f>
        <v>0</v>
      </c>
      <c r="X153" s="3">
        <v>39390</v>
      </c>
      <c r="Y153" s="3">
        <f>+Tabla22[[#This Row],[Amazon Drop 2026]]</f>
        <v>0</v>
      </c>
      <c r="Z153" s="3">
        <v>17051</v>
      </c>
      <c r="AA153" s="3">
        <f>+Tabla22[[#This Row],[Amazon Full 2026]]</f>
        <v>0</v>
      </c>
      <c r="AB153" s="3">
        <v>0</v>
      </c>
      <c r="AC153" s="3">
        <f>+Tabla22[[#This Row],[TikTok 2026]]</f>
        <v>0</v>
      </c>
      <c r="AD153" s="3">
        <v>0</v>
      </c>
      <c r="AE153" s="3">
        <f>+Tabla22[[#This Row],[Shein 2026]]</f>
        <v>0</v>
      </c>
      <c r="AF153" s="5">
        <f t="shared" si="55"/>
        <v>0</v>
      </c>
      <c r="AG153" s="4">
        <f t="shared" si="56"/>
        <v>0</v>
      </c>
      <c r="AH153" s="5">
        <f t="shared" si="57"/>
        <v>-5493973.7261036718</v>
      </c>
      <c r="AI153" s="17">
        <f t="shared" si="50"/>
        <v>-1</v>
      </c>
      <c r="AJ153" s="17">
        <f t="shared" si="51"/>
        <v>7.4666685862339127E-2</v>
      </c>
      <c r="AK153" s="14" t="e">
        <f t="shared" si="52"/>
        <v>#DIV/0!</v>
      </c>
      <c r="AL153" s="14">
        <f t="shared" si="53"/>
        <v>-1</v>
      </c>
    </row>
    <row r="154" spans="1:38" x14ac:dyDescent="0.3">
      <c r="A154" s="63">
        <v>45809</v>
      </c>
      <c r="B154" s="3">
        <v>54033676</v>
      </c>
      <c r="C154" s="3">
        <f t="shared" si="54"/>
        <v>4327176.5517241377</v>
      </c>
      <c r="D154" s="4">
        <f>+Tabla22[[#This Row],[Share diario]]</f>
        <v>3.5798411976718056E-2</v>
      </c>
      <c r="E154" s="3">
        <f>+Tabla22[[#This Row],[Global 2026]]</f>
        <v>0</v>
      </c>
      <c r="F154" s="7">
        <v>46173</v>
      </c>
      <c r="G154" s="3">
        <f>+Tabla2[[#This Row],[Meta Digital]]+Tabla2[[#This Row],[Meta MKPlace]]</f>
        <v>4985857.7836827114</v>
      </c>
      <c r="H154" s="3">
        <v>3901165.900788154</v>
      </c>
      <c r="I154" s="3">
        <v>1084691.8828945572</v>
      </c>
      <c r="J154" s="3">
        <v>2641485</v>
      </c>
      <c r="K154" s="3">
        <f>+Tabla22[[#This Row],[Web + APP 2026]]</f>
        <v>0</v>
      </c>
      <c r="L154" s="3">
        <v>39671.551724137906</v>
      </c>
      <c r="M154" s="3">
        <f>+Tabla22[[#This Row],[Afiliados 2026]]</f>
        <v>0</v>
      </c>
      <c r="N154" s="3">
        <v>-228</v>
      </c>
      <c r="O154" s="3">
        <f>+Tabla22[[#This Row],[TMK 2026]]</f>
        <v>0</v>
      </c>
      <c r="P154" s="3">
        <v>1403</v>
      </c>
      <c r="Q154" s="3">
        <f>+Tabla22[[#This Row],[WA 2026]]</f>
        <v>0</v>
      </c>
      <c r="R154" s="3">
        <v>186803</v>
      </c>
      <c r="S154" s="3">
        <f>+Tabla22[[#This Row],[Ent. en Tienda 2026]]</f>
        <v>0</v>
      </c>
      <c r="T154" s="3">
        <v>1125600</v>
      </c>
      <c r="U154" s="3">
        <f>+Tabla22[[#This Row],[Meli Drop 2026]]</f>
        <v>0</v>
      </c>
      <c r="V154" s="3">
        <v>278166</v>
      </c>
      <c r="W154" s="3">
        <f>+Tabla22[[#This Row],[Meli Full 2026]]</f>
        <v>0</v>
      </c>
      <c r="X154" s="3">
        <v>40863</v>
      </c>
      <c r="Y154" s="3">
        <f>+Tabla22[[#This Row],[Amazon Drop 2026]]</f>
        <v>0</v>
      </c>
      <c r="Z154" s="3">
        <v>13413</v>
      </c>
      <c r="AA154" s="3">
        <f>+Tabla22[[#This Row],[Amazon Full 2026]]</f>
        <v>0</v>
      </c>
      <c r="AB154" s="3">
        <v>0</v>
      </c>
      <c r="AC154" s="3">
        <f>+Tabla22[[#This Row],[TikTok 2026]]</f>
        <v>0</v>
      </c>
      <c r="AD154" s="3">
        <v>0</v>
      </c>
      <c r="AE154" s="3">
        <f>+Tabla22[[#This Row],[Shein 2026]]</f>
        <v>0</v>
      </c>
      <c r="AF154" s="5">
        <f t="shared" si="55"/>
        <v>0</v>
      </c>
      <c r="AG154" s="4">
        <f t="shared" si="56"/>
        <v>0</v>
      </c>
      <c r="AH154" s="5">
        <f t="shared" si="57"/>
        <v>-4985857.7836827114</v>
      </c>
      <c r="AI154" s="17">
        <f t="shared" si="50"/>
        <v>-1</v>
      </c>
      <c r="AJ154" s="17">
        <f t="shared" si="51"/>
        <v>8.0082957001188254E-2</v>
      </c>
      <c r="AK154" s="14" t="e">
        <f t="shared" si="52"/>
        <v>#DIV/0!</v>
      </c>
      <c r="AL154" s="14">
        <f t="shared" si="53"/>
        <v>-1</v>
      </c>
    </row>
    <row r="155" spans="1:38" x14ac:dyDescent="0.3">
      <c r="A155" s="7">
        <v>45810</v>
      </c>
      <c r="B155" s="3">
        <v>30821255</v>
      </c>
      <c r="C155" s="3">
        <f t="shared" si="54"/>
        <v>5295147.3103448274</v>
      </c>
      <c r="D155" s="4">
        <f>+Tabla22[[#This Row],[Share diario]]</f>
        <v>3.737345737463011E-2</v>
      </c>
      <c r="E155" s="3">
        <f>+Tabla22[[#This Row],[Global 2026]]</f>
        <v>0</v>
      </c>
      <c r="F155" s="7">
        <v>46174</v>
      </c>
      <c r="G155" s="3">
        <f>+Tabla2[[#This Row],[Meta Digital]]+Tabla2[[#This Row],[Meta MKPlace]]</f>
        <v>5632184.8648500796</v>
      </c>
      <c r="H155" s="3">
        <v>4262447.6520698862</v>
      </c>
      <c r="I155" s="3">
        <v>1369737.2127801937</v>
      </c>
      <c r="J155" s="3">
        <v>3591037</v>
      </c>
      <c r="K155" s="3">
        <f>+Tabla22[[#This Row],[Web + APP 2026]]</f>
        <v>0</v>
      </c>
      <c r="L155" s="3">
        <v>32404.310344827569</v>
      </c>
      <c r="M155" s="3">
        <f>+Tabla22[[#This Row],[Afiliados 2026]]</f>
        <v>0</v>
      </c>
      <c r="N155" s="3">
        <v>47857</v>
      </c>
      <c r="O155" s="3">
        <f>+Tabla22[[#This Row],[TMK 2026]]</f>
        <v>0</v>
      </c>
      <c r="P155" s="3">
        <v>7967</v>
      </c>
      <c r="Q155" s="3">
        <f>+Tabla22[[#This Row],[WA 2026]]</f>
        <v>0</v>
      </c>
      <c r="R155" s="3">
        <v>133459</v>
      </c>
      <c r="S155" s="3">
        <f>+Tabla22[[#This Row],[Ent. en Tienda 2026]]</f>
        <v>0</v>
      </c>
      <c r="T155" s="3">
        <v>1113451</v>
      </c>
      <c r="U155" s="3">
        <f>+Tabla22[[#This Row],[Meli Drop 2026]]</f>
        <v>0</v>
      </c>
      <c r="V155" s="3">
        <v>281772</v>
      </c>
      <c r="W155" s="3">
        <f>+Tabla22[[#This Row],[Meli Full 2026]]</f>
        <v>0</v>
      </c>
      <c r="X155" s="3">
        <v>68092</v>
      </c>
      <c r="Y155" s="3">
        <f>+Tabla22[[#This Row],[Amazon Drop 2026]]</f>
        <v>0</v>
      </c>
      <c r="Z155" s="3">
        <v>19108</v>
      </c>
      <c r="AA155" s="3">
        <f>+Tabla22[[#This Row],[Amazon Full 2026]]</f>
        <v>0</v>
      </c>
      <c r="AB155" s="3">
        <v>0</v>
      </c>
      <c r="AC155" s="3">
        <f>+Tabla22[[#This Row],[TikTok 2026]]</f>
        <v>0</v>
      </c>
      <c r="AD155" s="3">
        <v>0</v>
      </c>
      <c r="AE155" s="3">
        <f>+Tabla22[[#This Row],[Shein 2026]]</f>
        <v>0</v>
      </c>
      <c r="AF155" s="5">
        <f t="shared" si="55"/>
        <v>0</v>
      </c>
      <c r="AG155" s="4">
        <f t="shared" si="56"/>
        <v>0</v>
      </c>
      <c r="AH155" s="5">
        <f t="shared" si="57"/>
        <v>-5632184.8648500796</v>
      </c>
      <c r="AI155" s="17">
        <f t="shared" si="50"/>
        <v>-1</v>
      </c>
      <c r="AJ155" s="17">
        <f t="shared" si="51"/>
        <v>0.17180180723805138</v>
      </c>
      <c r="AK155" s="14" t="e">
        <f t="shared" si="52"/>
        <v>#DIV/0!</v>
      </c>
      <c r="AL155" s="14">
        <f t="shared" si="53"/>
        <v>-1</v>
      </c>
    </row>
    <row r="156" spans="1:38" x14ac:dyDescent="0.3">
      <c r="A156" s="63">
        <v>45811</v>
      </c>
      <c r="B156" s="3">
        <v>35443743</v>
      </c>
      <c r="C156" s="3">
        <f t="shared" si="54"/>
        <v>6788915.6896551726</v>
      </c>
      <c r="D156" s="4">
        <f>+Tabla22[[#This Row],[Share diario]]</f>
        <v>4.5733738831781293E-2</v>
      </c>
      <c r="E156" s="3">
        <f>+Tabla22[[#This Row],[Global 2026]]</f>
        <v>0</v>
      </c>
      <c r="F156" s="7">
        <v>46175</v>
      </c>
      <c r="G156" s="3">
        <f>+Tabla2[[#This Row],[Meta Digital]]+Tabla2[[#This Row],[Meta MKPlace]]</f>
        <v>6892080.3627928812</v>
      </c>
      <c r="H156" s="3">
        <v>5215938.8346080966</v>
      </c>
      <c r="I156" s="3">
        <v>1676141.5281847843</v>
      </c>
      <c r="J156" s="3">
        <v>4671193</v>
      </c>
      <c r="K156" s="3">
        <f>+Tabla22[[#This Row],[Web + APP 2026]]</f>
        <v>0</v>
      </c>
      <c r="L156" s="3">
        <v>32920.689655172391</v>
      </c>
      <c r="M156" s="3">
        <f>+Tabla22[[#This Row],[Afiliados 2026]]</f>
        <v>0</v>
      </c>
      <c r="N156" s="3">
        <v>51815</v>
      </c>
      <c r="O156" s="3">
        <f>+Tabla22[[#This Row],[TMK 2026]]</f>
        <v>0</v>
      </c>
      <c r="P156" s="3">
        <v>10260</v>
      </c>
      <c r="Q156" s="3">
        <f>+Tabla22[[#This Row],[WA 2026]]</f>
        <v>0</v>
      </c>
      <c r="R156" s="3">
        <v>127803</v>
      </c>
      <c r="S156" s="3">
        <f>+Tabla22[[#This Row],[Ent. en Tienda 2026]]</f>
        <v>0</v>
      </c>
      <c r="T156" s="3">
        <v>1389018</v>
      </c>
      <c r="U156" s="3">
        <f>+Tabla22[[#This Row],[Meli Drop 2026]]</f>
        <v>0</v>
      </c>
      <c r="V156" s="3">
        <v>419059</v>
      </c>
      <c r="W156" s="3">
        <f>+Tabla22[[#This Row],[Meli Full 2026]]</f>
        <v>0</v>
      </c>
      <c r="X156" s="3">
        <v>74233</v>
      </c>
      <c r="Y156" s="3">
        <f>+Tabla22[[#This Row],[Amazon Drop 2026]]</f>
        <v>0</v>
      </c>
      <c r="Z156" s="3">
        <v>12614</v>
      </c>
      <c r="AA156" s="3">
        <f>+Tabla22[[#This Row],[Amazon Full 2026]]</f>
        <v>0</v>
      </c>
      <c r="AB156" s="3">
        <v>0</v>
      </c>
      <c r="AC156" s="3">
        <f>+Tabla22[[#This Row],[TikTok 2026]]</f>
        <v>0</v>
      </c>
      <c r="AD156" s="3">
        <v>0</v>
      </c>
      <c r="AE156" s="3">
        <f>+Tabla22[[#This Row],[Shein 2026]]</f>
        <v>0</v>
      </c>
      <c r="AF156" s="5">
        <f t="shared" si="55"/>
        <v>0</v>
      </c>
      <c r="AG156" s="4">
        <f t="shared" si="56"/>
        <v>0</v>
      </c>
      <c r="AH156" s="5">
        <f t="shared" si="57"/>
        <v>-6892080.3627928812</v>
      </c>
      <c r="AI156" s="17">
        <f t="shared" si="50"/>
        <v>-1</v>
      </c>
      <c r="AJ156" s="17">
        <f t="shared" si="51"/>
        <v>0.19154059687361949</v>
      </c>
      <c r="AK156" s="14" t="e">
        <f t="shared" si="52"/>
        <v>#DIV/0!</v>
      </c>
      <c r="AL156" s="14">
        <f t="shared" si="53"/>
        <v>-1</v>
      </c>
    </row>
    <row r="157" spans="1:38" x14ac:dyDescent="0.3">
      <c r="A157" s="7">
        <v>45812</v>
      </c>
      <c r="B157" s="3">
        <v>35210999</v>
      </c>
      <c r="C157" s="3">
        <f t="shared" si="54"/>
        <v>4673886.3448275868</v>
      </c>
      <c r="D157" s="4">
        <f>+Tabla22[[#This Row],[Share diario]]</f>
        <v>5.8635289804893645E-2</v>
      </c>
      <c r="E157" s="3">
        <f>+Tabla22[[#This Row],[Global 2026]]</f>
        <v>0</v>
      </c>
      <c r="F157" s="7">
        <v>46176</v>
      </c>
      <c r="G157" s="3">
        <f>+Tabla2[[#This Row],[Meta Digital]]+Tabla2[[#This Row],[Meta MKPlace]]</f>
        <v>8836345.7647190355</v>
      </c>
      <c r="H157" s="3">
        <v>6687362.393369684</v>
      </c>
      <c r="I157" s="3">
        <v>2148983.3713493519</v>
      </c>
      <c r="J157" s="3">
        <v>3304777</v>
      </c>
      <c r="K157" s="3">
        <f>+Tabla22[[#This Row],[Web + APP 2026]]</f>
        <v>0</v>
      </c>
      <c r="L157" s="3">
        <v>29785.344827586188</v>
      </c>
      <c r="M157" s="3">
        <f>+Tabla22[[#This Row],[Afiliados 2026]]</f>
        <v>0</v>
      </c>
      <c r="N157" s="3">
        <v>42044</v>
      </c>
      <c r="O157" s="3">
        <f>+Tabla22[[#This Row],[TMK 2026]]</f>
        <v>0</v>
      </c>
      <c r="P157" s="3">
        <v>4685</v>
      </c>
      <c r="Q157" s="3">
        <f>+Tabla22[[#This Row],[WA 2026]]</f>
        <v>0</v>
      </c>
      <c r="R157" s="3">
        <v>147345</v>
      </c>
      <c r="S157" s="3">
        <f>+Tabla22[[#This Row],[Ent. en Tienda 2026]]</f>
        <v>0</v>
      </c>
      <c r="T157" s="3">
        <v>792011</v>
      </c>
      <c r="U157" s="3">
        <f>+Tabla22[[#This Row],[Meli Drop 2026]]</f>
        <v>0</v>
      </c>
      <c r="V157" s="3">
        <v>301527</v>
      </c>
      <c r="W157" s="3">
        <f>+Tabla22[[#This Row],[Meli Full 2026]]</f>
        <v>0</v>
      </c>
      <c r="X157" s="3">
        <v>38002</v>
      </c>
      <c r="Y157" s="3">
        <f>+Tabla22[[#This Row],[Amazon Drop 2026]]</f>
        <v>0</v>
      </c>
      <c r="Z157" s="3">
        <v>13710</v>
      </c>
      <c r="AA157" s="3">
        <f>+Tabla22[[#This Row],[Amazon Full 2026]]</f>
        <v>0</v>
      </c>
      <c r="AB157" s="3">
        <v>0</v>
      </c>
      <c r="AC157" s="3">
        <f>+Tabla22[[#This Row],[TikTok 2026]]</f>
        <v>0</v>
      </c>
      <c r="AD157" s="3">
        <v>0</v>
      </c>
      <c r="AE157" s="3">
        <f>+Tabla22[[#This Row],[Shein 2026]]</f>
        <v>0</v>
      </c>
      <c r="AF157" s="5">
        <f t="shared" si="55"/>
        <v>0</v>
      </c>
      <c r="AG157" s="4">
        <f t="shared" si="56"/>
        <v>0</v>
      </c>
      <c r="AH157" s="5">
        <f t="shared" si="57"/>
        <v>-8836345.7647190355</v>
      </c>
      <c r="AI157" s="17">
        <f t="shared" si="50"/>
        <v>-1</v>
      </c>
      <c r="AJ157" s="17">
        <f t="shared" si="51"/>
        <v>0.13273938478222633</v>
      </c>
      <c r="AK157" s="14" t="e">
        <f t="shared" si="52"/>
        <v>#DIV/0!</v>
      </c>
      <c r="AL157" s="14">
        <f t="shared" si="53"/>
        <v>-1</v>
      </c>
    </row>
    <row r="158" spans="1:38" x14ac:dyDescent="0.3">
      <c r="A158" s="63">
        <v>45813</v>
      </c>
      <c r="B158" s="3">
        <v>38609736</v>
      </c>
      <c r="C158" s="3">
        <f t="shared" si="54"/>
        <v>3575822.1724137929</v>
      </c>
      <c r="D158" s="4">
        <f>+Tabla22[[#This Row],[Share diario]]</f>
        <v>4.0367960492085679E-2</v>
      </c>
      <c r="E158" s="3">
        <f>+Tabla22[[#This Row],[Global 2026]]</f>
        <v>0</v>
      </c>
      <c r="F158" s="7">
        <v>46177</v>
      </c>
      <c r="G158" s="3">
        <f>+Tabla2[[#This Row],[Meta Digital]]+Tabla2[[#This Row],[Meta MKPlace]]</f>
        <v>6083456.8723290656</v>
      </c>
      <c r="H158" s="3">
        <v>4603971.1202941258</v>
      </c>
      <c r="I158" s="3">
        <v>1479485.7520349401</v>
      </c>
      <c r="J158" s="3">
        <v>2405203</v>
      </c>
      <c r="K158" s="3">
        <f>+Tabla22[[#This Row],[Web + APP 2026]]</f>
        <v>0</v>
      </c>
      <c r="L158" s="3">
        <v>24530.172413793087</v>
      </c>
      <c r="M158" s="3">
        <f>+Tabla22[[#This Row],[Afiliados 2026]]</f>
        <v>0</v>
      </c>
      <c r="N158" s="3">
        <v>28287</v>
      </c>
      <c r="O158" s="3">
        <f>+Tabla22[[#This Row],[TMK 2026]]</f>
        <v>0</v>
      </c>
      <c r="P158" s="3">
        <v>7601</v>
      </c>
      <c r="Q158" s="3">
        <f>+Tabla22[[#This Row],[WA 2026]]</f>
        <v>0</v>
      </c>
      <c r="R158" s="3">
        <v>173866</v>
      </c>
      <c r="S158" s="3">
        <f>+Tabla22[[#This Row],[Ent. en Tienda 2026]]</f>
        <v>0</v>
      </c>
      <c r="T158" s="3">
        <v>649458</v>
      </c>
      <c r="U158" s="3">
        <f>+Tabla22[[#This Row],[Meli Drop 2026]]</f>
        <v>0</v>
      </c>
      <c r="V158" s="3">
        <v>251407</v>
      </c>
      <c r="W158" s="3">
        <f>+Tabla22[[#This Row],[Meli Full 2026]]</f>
        <v>0</v>
      </c>
      <c r="X158" s="3">
        <v>22490</v>
      </c>
      <c r="Y158" s="3">
        <f>+Tabla22[[#This Row],[Amazon Drop 2026]]</f>
        <v>0</v>
      </c>
      <c r="Z158" s="3">
        <v>12980</v>
      </c>
      <c r="AA158" s="3">
        <f>+Tabla22[[#This Row],[Amazon Full 2026]]</f>
        <v>0</v>
      </c>
      <c r="AB158" s="3">
        <v>0</v>
      </c>
      <c r="AC158" s="3">
        <f>+Tabla22[[#This Row],[TikTok 2026]]</f>
        <v>0</v>
      </c>
      <c r="AD158" s="3">
        <v>0</v>
      </c>
      <c r="AE158" s="3">
        <f>+Tabla22[[#This Row],[Shein 2026]]</f>
        <v>0</v>
      </c>
      <c r="AF158" s="5">
        <f t="shared" si="55"/>
        <v>0</v>
      </c>
      <c r="AG158" s="4">
        <f t="shared" si="56"/>
        <v>0</v>
      </c>
      <c r="AH158" s="5">
        <f t="shared" si="57"/>
        <v>-6083456.8723290656</v>
      </c>
      <c r="AI158" s="17">
        <f t="shared" si="50"/>
        <v>-1</v>
      </c>
      <c r="AJ158" s="17">
        <f t="shared" si="51"/>
        <v>9.2614520141080292E-2</v>
      </c>
      <c r="AK158" s="14" t="e">
        <f t="shared" si="52"/>
        <v>#DIV/0!</v>
      </c>
      <c r="AL158" s="14">
        <f t="shared" si="53"/>
        <v>-1</v>
      </c>
    </row>
    <row r="159" spans="1:38" x14ac:dyDescent="0.3">
      <c r="A159" s="7">
        <v>45814</v>
      </c>
      <c r="B159" s="3">
        <v>40369746</v>
      </c>
      <c r="C159" s="3">
        <f t="shared" si="54"/>
        <v>3043546.4827586208</v>
      </c>
      <c r="D159" s="4">
        <f>+Tabla22[[#This Row],[Share diario]]</f>
        <v>3.0884073238637729E-2</v>
      </c>
      <c r="E159" s="3">
        <f>+Tabla22[[#This Row],[Global 2026]]</f>
        <v>0</v>
      </c>
      <c r="F159" s="7">
        <v>46178</v>
      </c>
      <c r="G159" s="3">
        <f>+Tabla2[[#This Row],[Meta Digital]]+Tabla2[[#This Row],[Meta MKPlace]]</f>
        <v>4654233.8354185615</v>
      </c>
      <c r="H159" s="3">
        <v>3522332.5512224883</v>
      </c>
      <c r="I159" s="3">
        <v>1131901.2841960727</v>
      </c>
      <c r="J159" s="3">
        <v>2001508</v>
      </c>
      <c r="K159" s="3">
        <f>+Tabla22[[#This Row],[Web + APP 2026]]</f>
        <v>0</v>
      </c>
      <c r="L159" s="3">
        <v>24459.482758620674</v>
      </c>
      <c r="M159" s="3">
        <f>+Tabla22[[#This Row],[Afiliados 2026]]</f>
        <v>0</v>
      </c>
      <c r="N159" s="3">
        <v>72867</v>
      </c>
      <c r="O159" s="3">
        <f>+Tabla22[[#This Row],[TMK 2026]]</f>
        <v>0</v>
      </c>
      <c r="P159" s="3">
        <v>5878</v>
      </c>
      <c r="Q159" s="3">
        <f>+Tabla22[[#This Row],[WA 2026]]</f>
        <v>0</v>
      </c>
      <c r="R159" s="3">
        <v>128752</v>
      </c>
      <c r="S159" s="3">
        <f>+Tabla22[[#This Row],[Ent. en Tienda 2026]]</f>
        <v>0</v>
      </c>
      <c r="T159" s="3">
        <v>599700</v>
      </c>
      <c r="U159" s="3">
        <f>+Tabla22[[#This Row],[Meli Drop 2026]]</f>
        <v>0</v>
      </c>
      <c r="V159" s="3">
        <v>181701</v>
      </c>
      <c r="W159" s="3">
        <f>+Tabla22[[#This Row],[Meli Full 2026]]</f>
        <v>0</v>
      </c>
      <c r="X159" s="3">
        <v>19333</v>
      </c>
      <c r="Y159" s="3">
        <f>+Tabla22[[#This Row],[Amazon Drop 2026]]</f>
        <v>0</v>
      </c>
      <c r="Z159" s="3">
        <v>9348</v>
      </c>
      <c r="AA159" s="3">
        <f>+Tabla22[[#This Row],[Amazon Full 2026]]</f>
        <v>0</v>
      </c>
      <c r="AB159" s="3">
        <v>0</v>
      </c>
      <c r="AC159" s="3">
        <f>+Tabla22[[#This Row],[TikTok 2026]]</f>
        <v>0</v>
      </c>
      <c r="AD159" s="3">
        <v>0</v>
      </c>
      <c r="AE159" s="3">
        <f>+Tabla22[[#This Row],[Shein 2026]]</f>
        <v>0</v>
      </c>
      <c r="AF159" s="5">
        <f t="shared" si="55"/>
        <v>0</v>
      </c>
      <c r="AG159" s="4">
        <f t="shared" si="56"/>
        <v>0</v>
      </c>
      <c r="AH159" s="5">
        <f t="shared" si="57"/>
        <v>-4654233.8354185615</v>
      </c>
      <c r="AI159" s="17">
        <f t="shared" si="50"/>
        <v>-1</v>
      </c>
      <c r="AJ159" s="17">
        <f t="shared" si="51"/>
        <v>7.5391766962284598E-2</v>
      </c>
      <c r="AK159" s="14" t="e">
        <f t="shared" si="52"/>
        <v>#DIV/0!</v>
      </c>
      <c r="AL159" s="14">
        <f t="shared" si="53"/>
        <v>-1</v>
      </c>
    </row>
    <row r="160" spans="1:38" x14ac:dyDescent="0.3">
      <c r="A160" s="63">
        <v>45815</v>
      </c>
      <c r="B160" s="3">
        <v>50222961</v>
      </c>
      <c r="C160" s="3">
        <f t="shared" si="54"/>
        <v>2666977.8965517241</v>
      </c>
      <c r="D160" s="4">
        <f>+Tabla22[[#This Row],[Share diario]]</f>
        <v>2.6286853189700001E-2</v>
      </c>
      <c r="E160" s="3">
        <f>+Tabla22[[#This Row],[Global 2026]]</f>
        <v>0</v>
      </c>
      <c r="F160" s="7">
        <v>46179</v>
      </c>
      <c r="G160" s="3">
        <f>+Tabla2[[#This Row],[Meta Digital]]+Tabla2[[#This Row],[Meta MKPlace]]</f>
        <v>3961432.1788720973</v>
      </c>
      <c r="H160" s="3">
        <v>2998019.009469592</v>
      </c>
      <c r="I160" s="3">
        <v>963413.16940250504</v>
      </c>
      <c r="J160" s="3">
        <v>1812078</v>
      </c>
      <c r="K160" s="3">
        <f>+Tabla22[[#This Row],[Web + APP 2026]]</f>
        <v>0</v>
      </c>
      <c r="L160" s="3">
        <v>25031.896551724123</v>
      </c>
      <c r="M160" s="3">
        <f>+Tabla22[[#This Row],[Afiliados 2026]]</f>
        <v>0</v>
      </c>
      <c r="N160" s="3">
        <v>25976</v>
      </c>
      <c r="O160" s="3">
        <f>+Tabla22[[#This Row],[TMK 2026]]</f>
        <v>0</v>
      </c>
      <c r="P160" s="3">
        <v>10248</v>
      </c>
      <c r="Q160" s="3">
        <f>+Tabla22[[#This Row],[WA 2026]]</f>
        <v>0</v>
      </c>
      <c r="R160" s="3">
        <v>156778</v>
      </c>
      <c r="S160" s="3">
        <f>+Tabla22[[#This Row],[Ent. en Tienda 2026]]</f>
        <v>0</v>
      </c>
      <c r="T160" s="3">
        <v>495806</v>
      </c>
      <c r="U160" s="3">
        <f>+Tabla22[[#This Row],[Meli Drop 2026]]</f>
        <v>0</v>
      </c>
      <c r="V160" s="3">
        <v>116017</v>
      </c>
      <c r="W160" s="3">
        <f>+Tabla22[[#This Row],[Meli Full 2026]]</f>
        <v>0</v>
      </c>
      <c r="X160" s="3">
        <v>17934</v>
      </c>
      <c r="Y160" s="3">
        <f>+Tabla22[[#This Row],[Amazon Drop 2026]]</f>
        <v>0</v>
      </c>
      <c r="Z160" s="3">
        <v>7109</v>
      </c>
      <c r="AA160" s="3">
        <f>+Tabla22[[#This Row],[Amazon Full 2026]]</f>
        <v>0</v>
      </c>
      <c r="AB160" s="3">
        <v>0</v>
      </c>
      <c r="AC160" s="3">
        <f>+Tabla22[[#This Row],[TikTok 2026]]</f>
        <v>0</v>
      </c>
      <c r="AD160" s="3">
        <v>0</v>
      </c>
      <c r="AE160" s="3">
        <f>+Tabla22[[#This Row],[Shein 2026]]</f>
        <v>0</v>
      </c>
      <c r="AF160" s="5">
        <f t="shared" si="55"/>
        <v>0</v>
      </c>
      <c r="AG160" s="4">
        <f t="shared" si="56"/>
        <v>0</v>
      </c>
      <c r="AH160" s="5">
        <f t="shared" si="57"/>
        <v>-3961432.1788720973</v>
      </c>
      <c r="AI160" s="17">
        <f t="shared" si="50"/>
        <v>-1</v>
      </c>
      <c r="AJ160" s="17">
        <f t="shared" si="51"/>
        <v>5.3102761036963236E-2</v>
      </c>
      <c r="AK160" s="14" t="e">
        <f t="shared" si="52"/>
        <v>#DIV/0!</v>
      </c>
      <c r="AL160" s="14">
        <f t="shared" si="53"/>
        <v>-1</v>
      </c>
    </row>
    <row r="161" spans="1:38" x14ac:dyDescent="0.3">
      <c r="A161" s="7">
        <v>45816</v>
      </c>
      <c r="B161" s="3">
        <v>49920221</v>
      </c>
      <c r="C161" s="3">
        <f t="shared" si="54"/>
        <v>3220669.7586206896</v>
      </c>
      <c r="D161" s="4">
        <f>+Tabla22[[#This Row],[Share diario]]</f>
        <v>2.3034462205185954E-2</v>
      </c>
      <c r="E161" s="3">
        <f>+Tabla22[[#This Row],[Global 2026]]</f>
        <v>0</v>
      </c>
      <c r="F161" s="7">
        <v>46180</v>
      </c>
      <c r="G161" s="3">
        <f>+Tabla2[[#This Row],[Meta Digital]]+Tabla2[[#This Row],[Meta MKPlace]]</f>
        <v>3471296.4364403691</v>
      </c>
      <c r="H161" s="3">
        <v>2627083.3966203039</v>
      </c>
      <c r="I161" s="3">
        <v>844213.03982006526</v>
      </c>
      <c r="J161" s="3">
        <v>2272542</v>
      </c>
      <c r="K161" s="3">
        <f>+Tabla22[[#This Row],[Web + APP 2026]]</f>
        <v>0</v>
      </c>
      <c r="L161" s="3">
        <v>25757.758620689638</v>
      </c>
      <c r="M161" s="3">
        <f>+Tabla22[[#This Row],[Afiliados 2026]]</f>
        <v>0</v>
      </c>
      <c r="N161" s="3">
        <v>21715</v>
      </c>
      <c r="O161" s="3">
        <f>+Tabla22[[#This Row],[TMK 2026]]</f>
        <v>0</v>
      </c>
      <c r="P161" s="3">
        <v>6780</v>
      </c>
      <c r="Q161" s="3">
        <f>+Tabla22[[#This Row],[WA 2026]]</f>
        <v>0</v>
      </c>
      <c r="R161" s="3">
        <v>85534</v>
      </c>
      <c r="S161" s="3">
        <f>+Tabla22[[#This Row],[Ent. en Tienda 2026]]</f>
        <v>0</v>
      </c>
      <c r="T161" s="3">
        <v>642846</v>
      </c>
      <c r="U161" s="3">
        <f>+Tabla22[[#This Row],[Meli Drop 2026]]</f>
        <v>0</v>
      </c>
      <c r="V161" s="3">
        <v>139716</v>
      </c>
      <c r="W161" s="3">
        <f>+Tabla22[[#This Row],[Meli Full 2026]]</f>
        <v>0</v>
      </c>
      <c r="X161" s="3">
        <v>16575</v>
      </c>
      <c r="Y161" s="3">
        <f>+Tabla22[[#This Row],[Amazon Drop 2026]]</f>
        <v>0</v>
      </c>
      <c r="Z161" s="3">
        <v>9204</v>
      </c>
      <c r="AA161" s="3">
        <f>+Tabla22[[#This Row],[Amazon Full 2026]]</f>
        <v>0</v>
      </c>
      <c r="AB161" s="3">
        <v>0</v>
      </c>
      <c r="AC161" s="3">
        <f>+Tabla22[[#This Row],[TikTok 2026]]</f>
        <v>0</v>
      </c>
      <c r="AD161" s="3">
        <v>0</v>
      </c>
      <c r="AE161" s="3">
        <f>+Tabla22[[#This Row],[Shein 2026]]</f>
        <v>0</v>
      </c>
      <c r="AF161" s="5">
        <f t="shared" si="55"/>
        <v>0</v>
      </c>
      <c r="AG161" s="4">
        <f t="shared" si="56"/>
        <v>0</v>
      </c>
      <c r="AH161" s="5">
        <f t="shared" si="57"/>
        <v>-3471296.4364403691</v>
      </c>
      <c r="AI161" s="17">
        <f t="shared" si="50"/>
        <v>-1</v>
      </c>
      <c r="AJ161" s="17">
        <f t="shared" si="51"/>
        <v>6.4516336148044889E-2</v>
      </c>
      <c r="AK161" s="14" t="e">
        <f t="shared" si="52"/>
        <v>#DIV/0!</v>
      </c>
      <c r="AL161" s="14">
        <f t="shared" si="53"/>
        <v>-1</v>
      </c>
    </row>
    <row r="162" spans="1:38" x14ac:dyDescent="0.3">
      <c r="A162" s="63">
        <v>45817</v>
      </c>
      <c r="B162" s="3">
        <v>28800528</v>
      </c>
      <c r="C162" s="3">
        <f t="shared" si="54"/>
        <v>4519881.7931034481</v>
      </c>
      <c r="D162" s="4">
        <f>+Tabla22[[#This Row],[Share diario]]</f>
        <v>2.7816651921357554E-2</v>
      </c>
      <c r="E162" s="3">
        <f>+Tabla22[[#This Row],[Global 2026]]</f>
        <v>0</v>
      </c>
      <c r="F162" s="7">
        <v>46181</v>
      </c>
      <c r="G162" s="3">
        <f>+Tabla2[[#This Row],[Meta Digital]]+Tabla2[[#This Row],[Meta MKPlace]]</f>
        <v>4191973.0457857726</v>
      </c>
      <c r="H162" s="3">
        <v>3172492.7528680181</v>
      </c>
      <c r="I162" s="3">
        <v>1019480.2929177544</v>
      </c>
      <c r="J162" s="3">
        <v>3416740</v>
      </c>
      <c r="K162" s="3">
        <f>+Tabla22[[#This Row],[Web + APP 2026]]</f>
        <v>0</v>
      </c>
      <c r="L162" s="3">
        <v>24238.793103448261</v>
      </c>
      <c r="M162" s="3">
        <f>+Tabla22[[#This Row],[Afiliados 2026]]</f>
        <v>0</v>
      </c>
      <c r="N162" s="3">
        <v>51991</v>
      </c>
      <c r="O162" s="3">
        <f>+Tabla22[[#This Row],[TMK 2026]]</f>
        <v>0</v>
      </c>
      <c r="P162" s="3">
        <v>11309</v>
      </c>
      <c r="Q162" s="3">
        <f>+Tabla22[[#This Row],[WA 2026]]</f>
        <v>0</v>
      </c>
      <c r="R162" s="3">
        <v>75866</v>
      </c>
      <c r="S162" s="3">
        <f>+Tabla22[[#This Row],[Ent. en Tienda 2026]]</f>
        <v>0</v>
      </c>
      <c r="T162" s="3">
        <v>757315</v>
      </c>
      <c r="U162" s="3">
        <f>+Tabla22[[#This Row],[Meli Drop 2026]]</f>
        <v>0</v>
      </c>
      <c r="V162" s="3">
        <v>142907</v>
      </c>
      <c r="W162" s="3">
        <f>+Tabla22[[#This Row],[Meli Full 2026]]</f>
        <v>0</v>
      </c>
      <c r="X162" s="3">
        <v>32343</v>
      </c>
      <c r="Y162" s="3">
        <f>+Tabla22[[#This Row],[Amazon Drop 2026]]</f>
        <v>0</v>
      </c>
      <c r="Z162" s="3">
        <v>7172</v>
      </c>
      <c r="AA162" s="3">
        <f>+Tabla22[[#This Row],[Amazon Full 2026]]</f>
        <v>0</v>
      </c>
      <c r="AB162" s="3">
        <v>0</v>
      </c>
      <c r="AC162" s="3">
        <f>+Tabla22[[#This Row],[TikTok 2026]]</f>
        <v>0</v>
      </c>
      <c r="AD162" s="3">
        <v>0</v>
      </c>
      <c r="AE162" s="3">
        <f>+Tabla22[[#This Row],[Shein 2026]]</f>
        <v>0</v>
      </c>
      <c r="AF162" s="5">
        <f t="shared" si="55"/>
        <v>0</v>
      </c>
      <c r="AG162" s="4">
        <f t="shared" si="56"/>
        <v>0</v>
      </c>
      <c r="AH162" s="5">
        <f t="shared" si="57"/>
        <v>-4191973.0457857726</v>
      </c>
      <c r="AI162" s="17">
        <f t="shared" si="50"/>
        <v>-1</v>
      </c>
      <c r="AJ162" s="17">
        <f t="shared" si="51"/>
        <v>0.15693746285149524</v>
      </c>
      <c r="AK162" s="14" t="e">
        <f t="shared" si="52"/>
        <v>#DIV/0!</v>
      </c>
      <c r="AL162" s="14">
        <f t="shared" si="53"/>
        <v>-1</v>
      </c>
    </row>
    <row r="163" spans="1:38" x14ac:dyDescent="0.3">
      <c r="A163" s="7">
        <v>45818</v>
      </c>
      <c r="B163" s="3">
        <v>33842549</v>
      </c>
      <c r="C163" s="3">
        <f t="shared" si="54"/>
        <v>4898086.7241379311</v>
      </c>
      <c r="D163" s="4">
        <f>+Tabla22[[#This Row],[Share diario]]</f>
        <v>3.9037836222700878E-2</v>
      </c>
      <c r="E163" s="3">
        <f>+Tabla22[[#This Row],[Global 2026]]</f>
        <v>0</v>
      </c>
      <c r="F163" s="7">
        <v>46182</v>
      </c>
      <c r="G163" s="3">
        <f>+Tabla2[[#This Row],[Meta Digital]]+Tabla2[[#This Row],[Meta MKPlace]]</f>
        <v>5883006.9727304205</v>
      </c>
      <c r="H163" s="3">
        <v>4452270.2751684338</v>
      </c>
      <c r="I163" s="3">
        <v>1430736.6975619872</v>
      </c>
      <c r="J163" s="3">
        <v>3683319</v>
      </c>
      <c r="K163" s="3">
        <f>+Tabla22[[#This Row],[Web + APP 2026]]</f>
        <v>0</v>
      </c>
      <c r="L163" s="3">
        <v>22251.724137931022</v>
      </c>
      <c r="M163" s="3">
        <f>+Tabla22[[#This Row],[Afiliados 2026]]</f>
        <v>0</v>
      </c>
      <c r="N163" s="3">
        <v>65685</v>
      </c>
      <c r="O163" s="3">
        <f>+Tabla22[[#This Row],[TMK 2026]]</f>
        <v>0</v>
      </c>
      <c r="P163" s="3">
        <v>13660</v>
      </c>
      <c r="Q163" s="3">
        <f>+Tabla22[[#This Row],[WA 2026]]</f>
        <v>0</v>
      </c>
      <c r="R163" s="3">
        <v>88024</v>
      </c>
      <c r="S163" s="3">
        <f>+Tabla22[[#This Row],[Ent. en Tienda 2026]]</f>
        <v>0</v>
      </c>
      <c r="T163" s="3">
        <v>829750</v>
      </c>
      <c r="U163" s="3">
        <f>+Tabla22[[#This Row],[Meli Drop 2026]]</f>
        <v>0</v>
      </c>
      <c r="V163" s="3">
        <v>153054</v>
      </c>
      <c r="W163" s="3">
        <f>+Tabla22[[#This Row],[Meli Full 2026]]</f>
        <v>0</v>
      </c>
      <c r="X163" s="3">
        <v>32493</v>
      </c>
      <c r="Y163" s="3">
        <f>+Tabla22[[#This Row],[Amazon Drop 2026]]</f>
        <v>0</v>
      </c>
      <c r="Z163" s="3">
        <v>9850</v>
      </c>
      <c r="AA163" s="3">
        <f>+Tabla22[[#This Row],[Amazon Full 2026]]</f>
        <v>0</v>
      </c>
      <c r="AB163" s="3">
        <v>0</v>
      </c>
      <c r="AC163" s="3">
        <f>+Tabla22[[#This Row],[TikTok 2026]]</f>
        <v>0</v>
      </c>
      <c r="AD163" s="3">
        <v>0</v>
      </c>
      <c r="AE163" s="3">
        <f>+Tabla22[[#This Row],[Shein 2026]]</f>
        <v>0</v>
      </c>
      <c r="AF163" s="5">
        <f t="shared" si="55"/>
        <v>0</v>
      </c>
      <c r="AG163" s="4">
        <f t="shared" si="56"/>
        <v>0</v>
      </c>
      <c r="AH163" s="5">
        <f t="shared" si="57"/>
        <v>-5883006.9727304205</v>
      </c>
      <c r="AI163" s="17">
        <f t="shared" si="50"/>
        <v>-1</v>
      </c>
      <c r="AJ163" s="17">
        <f t="shared" si="51"/>
        <v>0.14473161357136341</v>
      </c>
      <c r="AK163" s="14" t="e">
        <f t="shared" si="52"/>
        <v>#DIV/0!</v>
      </c>
      <c r="AL163" s="14">
        <f t="shared" si="53"/>
        <v>-1</v>
      </c>
    </row>
    <row r="164" spans="1:38" x14ac:dyDescent="0.3">
      <c r="A164" s="63">
        <v>45819</v>
      </c>
      <c r="B164" s="3">
        <v>38225481</v>
      </c>
      <c r="C164" s="3">
        <f t="shared" si="54"/>
        <v>4461529</v>
      </c>
      <c r="D164" s="4">
        <f>+Tabla22[[#This Row],[Share diario]]</f>
        <v>4.2304360178895876E-2</v>
      </c>
      <c r="E164" s="3">
        <f>+Tabla22[[#This Row],[Global 2026]]</f>
        <v>0</v>
      </c>
      <c r="F164" s="7">
        <v>46183</v>
      </c>
      <c r="G164" s="3">
        <f>+Tabla2[[#This Row],[Meta Digital]]+Tabla2[[#This Row],[Meta MKPlace]]</f>
        <v>6375272.5558241699</v>
      </c>
      <c r="H164" s="3">
        <v>4824817.7552676359</v>
      </c>
      <c r="I164" s="3">
        <v>1550454.800556534</v>
      </c>
      <c r="J164" s="3">
        <v>3146636</v>
      </c>
      <c r="K164" s="3">
        <f>+Tabla22[[#This Row],[Web + APP 2026]]</f>
        <v>0</v>
      </c>
      <c r="L164" s="3">
        <v>19799.999999999989</v>
      </c>
      <c r="M164" s="3">
        <f>+Tabla22[[#This Row],[Afiliados 2026]]</f>
        <v>0</v>
      </c>
      <c r="N164" s="3">
        <v>47481</v>
      </c>
      <c r="O164" s="3">
        <f>+Tabla22[[#This Row],[TMK 2026]]</f>
        <v>0</v>
      </c>
      <c r="P164" s="3">
        <v>1700</v>
      </c>
      <c r="Q164" s="3">
        <f>+Tabla22[[#This Row],[WA 2026]]</f>
        <v>0</v>
      </c>
      <c r="R164" s="3">
        <v>120026</v>
      </c>
      <c r="S164" s="3">
        <f>+Tabla22[[#This Row],[Ent. en Tienda 2026]]</f>
        <v>0</v>
      </c>
      <c r="T164" s="3">
        <v>948224</v>
      </c>
      <c r="U164" s="3">
        <f>+Tabla22[[#This Row],[Meli Drop 2026]]</f>
        <v>0</v>
      </c>
      <c r="V164" s="3">
        <v>139153</v>
      </c>
      <c r="W164" s="3">
        <f>+Tabla22[[#This Row],[Meli Full 2026]]</f>
        <v>0</v>
      </c>
      <c r="X164" s="3">
        <v>23874</v>
      </c>
      <c r="Y164" s="3">
        <f>+Tabla22[[#This Row],[Amazon Drop 2026]]</f>
        <v>0</v>
      </c>
      <c r="Z164" s="3">
        <v>14635</v>
      </c>
      <c r="AA164" s="3">
        <f>+Tabla22[[#This Row],[Amazon Full 2026]]</f>
        <v>0</v>
      </c>
      <c r="AB164" s="3">
        <v>0</v>
      </c>
      <c r="AC164" s="3">
        <f>+Tabla22[[#This Row],[TikTok 2026]]</f>
        <v>0</v>
      </c>
      <c r="AD164" s="3">
        <v>0</v>
      </c>
      <c r="AE164" s="3">
        <f>+Tabla22[[#This Row],[Shein 2026]]</f>
        <v>0</v>
      </c>
      <c r="AF164" s="5">
        <f t="shared" si="55"/>
        <v>0</v>
      </c>
      <c r="AG164" s="4">
        <f t="shared" si="56"/>
        <v>0</v>
      </c>
      <c r="AH164" s="5">
        <f t="shared" si="57"/>
        <v>-6375272.5558241699</v>
      </c>
      <c r="AI164" s="17">
        <f t="shared" si="50"/>
        <v>-1</v>
      </c>
      <c r="AJ164" s="17">
        <f t="shared" si="51"/>
        <v>0.11671609835334708</v>
      </c>
      <c r="AK164" s="14" t="e">
        <f t="shared" si="52"/>
        <v>#DIV/0!</v>
      </c>
      <c r="AL164" s="14">
        <f t="shared" si="53"/>
        <v>-1</v>
      </c>
    </row>
    <row r="165" spans="1:38" x14ac:dyDescent="0.3">
      <c r="A165" s="7">
        <v>45820</v>
      </c>
      <c r="B165" s="3">
        <v>44572329</v>
      </c>
      <c r="C165" s="3">
        <f t="shared" si="54"/>
        <v>3866377.3793103448</v>
      </c>
      <c r="D165" s="4">
        <f>+Tabla22[[#This Row],[Share diario]]</f>
        <v>3.853384809102333E-2</v>
      </c>
      <c r="E165" s="3">
        <f>+Tabla22[[#This Row],[Global 2026]]</f>
        <v>0</v>
      </c>
      <c r="F165" s="7">
        <v>46184</v>
      </c>
      <c r="G165" s="3">
        <f>+Tabla2[[#This Row],[Meta Digital]]+Tabla2[[#This Row],[Meta MKPlace]]</f>
        <v>5807055.8960386179</v>
      </c>
      <c r="H165" s="3">
        <v>4394790.3635026133</v>
      </c>
      <c r="I165" s="3">
        <v>1412265.5325360051</v>
      </c>
      <c r="J165" s="3">
        <v>2555955</v>
      </c>
      <c r="K165" s="3">
        <f>+Tabla22[[#This Row],[Web + APP 2026]]</f>
        <v>0</v>
      </c>
      <c r="L165" s="3">
        <v>25116.379310344812</v>
      </c>
      <c r="M165" s="3">
        <f>+Tabla22[[#This Row],[Afiliados 2026]]</f>
        <v>0</v>
      </c>
      <c r="N165" s="3">
        <v>47507</v>
      </c>
      <c r="O165" s="3">
        <f>+Tabla22[[#This Row],[TMK 2026]]</f>
        <v>0</v>
      </c>
      <c r="P165" s="3">
        <v>12578</v>
      </c>
      <c r="Q165" s="3">
        <f>+Tabla22[[#This Row],[WA 2026]]</f>
        <v>0</v>
      </c>
      <c r="R165" s="3">
        <v>112328</v>
      </c>
      <c r="S165" s="3">
        <f>+Tabla22[[#This Row],[Ent. en Tienda 2026]]</f>
        <v>0</v>
      </c>
      <c r="T165" s="3">
        <v>947866</v>
      </c>
      <c r="U165" s="3">
        <f>+Tabla22[[#This Row],[Meli Drop 2026]]</f>
        <v>0</v>
      </c>
      <c r="V165" s="3">
        <v>131048</v>
      </c>
      <c r="W165" s="3">
        <f>+Tabla22[[#This Row],[Meli Full 2026]]</f>
        <v>0</v>
      </c>
      <c r="X165" s="3">
        <v>20426</v>
      </c>
      <c r="Y165" s="3">
        <f>+Tabla22[[#This Row],[Amazon Drop 2026]]</f>
        <v>0</v>
      </c>
      <c r="Z165" s="3">
        <v>13553</v>
      </c>
      <c r="AA165" s="3">
        <f>+Tabla22[[#This Row],[Amazon Full 2026]]</f>
        <v>0</v>
      </c>
      <c r="AB165" s="3">
        <v>0</v>
      </c>
      <c r="AC165" s="3">
        <f>+Tabla22[[#This Row],[TikTok 2026]]</f>
        <v>0</v>
      </c>
      <c r="AD165" s="3">
        <v>0</v>
      </c>
      <c r="AE165" s="3">
        <f>+Tabla22[[#This Row],[Shein 2026]]</f>
        <v>0</v>
      </c>
      <c r="AF165" s="5">
        <f t="shared" si="55"/>
        <v>0</v>
      </c>
      <c r="AG165" s="4">
        <f t="shared" si="56"/>
        <v>0</v>
      </c>
      <c r="AH165" s="5">
        <f t="shared" si="57"/>
        <v>-5807055.8960386179</v>
      </c>
      <c r="AI165" s="17">
        <f t="shared" si="50"/>
        <v>-1</v>
      </c>
      <c r="AJ165" s="17">
        <f t="shared" si="51"/>
        <v>8.6743893937208105E-2</v>
      </c>
      <c r="AK165" s="14" t="e">
        <f t="shared" si="52"/>
        <v>#DIV/0!</v>
      </c>
      <c r="AL165" s="14">
        <f t="shared" si="53"/>
        <v>-1</v>
      </c>
    </row>
    <row r="166" spans="1:38" x14ac:dyDescent="0.3">
      <c r="A166" s="63">
        <v>45821</v>
      </c>
      <c r="B166" s="3">
        <v>48087656</v>
      </c>
      <c r="C166" s="3">
        <f t="shared" si="54"/>
        <v>2794859.3793103448</v>
      </c>
      <c r="D166" s="4">
        <f>+Tabla22[[#This Row],[Share diario]]</f>
        <v>3.3393573951197839E-2</v>
      </c>
      <c r="E166" s="3">
        <f>+Tabla22[[#This Row],[Global 2026]]</f>
        <v>0</v>
      </c>
      <c r="F166" s="7">
        <v>46185</v>
      </c>
      <c r="G166" s="3">
        <f>+Tabla2[[#This Row],[Meta Digital]]+Tabla2[[#This Row],[Meta MKPlace]]</f>
        <v>5032415.9176897611</v>
      </c>
      <c r="H166" s="3">
        <v>3808541.4323783601</v>
      </c>
      <c r="I166" s="3">
        <v>1223874.4853114008</v>
      </c>
      <c r="J166" s="3">
        <v>1667347</v>
      </c>
      <c r="K166" s="3">
        <f>+Tabla22[[#This Row],[Web + APP 2026]]</f>
        <v>0</v>
      </c>
      <c r="L166" s="3">
        <v>28341.379310344812</v>
      </c>
      <c r="M166" s="3">
        <f>+Tabla22[[#This Row],[Afiliados 2026]]</f>
        <v>0</v>
      </c>
      <c r="N166" s="3">
        <v>42888</v>
      </c>
      <c r="O166" s="3">
        <f>+Tabla22[[#This Row],[TMK 2026]]</f>
        <v>0</v>
      </c>
      <c r="P166" s="3">
        <v>9320</v>
      </c>
      <c r="Q166" s="3">
        <f>+Tabla22[[#This Row],[WA 2026]]</f>
        <v>0</v>
      </c>
      <c r="R166" s="3">
        <v>114759</v>
      </c>
      <c r="S166" s="3">
        <f>+Tabla22[[#This Row],[Ent. en Tienda 2026]]</f>
        <v>0</v>
      </c>
      <c r="T166" s="3">
        <v>766146</v>
      </c>
      <c r="U166" s="3">
        <f>+Tabla22[[#This Row],[Meli Drop 2026]]</f>
        <v>0</v>
      </c>
      <c r="V166" s="3">
        <v>144596</v>
      </c>
      <c r="W166" s="3">
        <f>+Tabla22[[#This Row],[Meli Full 2026]]</f>
        <v>0</v>
      </c>
      <c r="X166" s="3">
        <v>10631</v>
      </c>
      <c r="Y166" s="3">
        <f>+Tabla22[[#This Row],[Amazon Drop 2026]]</f>
        <v>0</v>
      </c>
      <c r="Z166" s="3">
        <v>10831</v>
      </c>
      <c r="AA166" s="3">
        <f>+Tabla22[[#This Row],[Amazon Full 2026]]</f>
        <v>0</v>
      </c>
      <c r="AB166" s="3">
        <v>0</v>
      </c>
      <c r="AC166" s="3">
        <f>+Tabla22[[#This Row],[TikTok 2026]]</f>
        <v>0</v>
      </c>
      <c r="AD166" s="3">
        <v>0</v>
      </c>
      <c r="AE166" s="3">
        <f>+Tabla22[[#This Row],[Shein 2026]]</f>
        <v>0</v>
      </c>
      <c r="AF166" s="5">
        <f t="shared" si="55"/>
        <v>0</v>
      </c>
      <c r="AG166" s="4">
        <f t="shared" si="56"/>
        <v>0</v>
      </c>
      <c r="AH166" s="5">
        <f t="shared" si="57"/>
        <v>-5032415.9176897611</v>
      </c>
      <c r="AI166" s="17">
        <f t="shared" si="50"/>
        <v>-1</v>
      </c>
      <c r="AJ166" s="17">
        <f t="shared" si="51"/>
        <v>5.8120100079536934E-2</v>
      </c>
      <c r="AK166" s="14" t="e">
        <f t="shared" si="52"/>
        <v>#DIV/0!</v>
      </c>
      <c r="AL166" s="14">
        <f t="shared" si="53"/>
        <v>-1</v>
      </c>
    </row>
    <row r="167" spans="1:38" x14ac:dyDescent="0.3">
      <c r="A167" s="7">
        <v>45822</v>
      </c>
      <c r="B167" s="3">
        <v>63504580</v>
      </c>
      <c r="C167" s="3">
        <f t="shared" si="54"/>
        <v>2466126.1034482759</v>
      </c>
      <c r="D167" s="4">
        <f>+Tabla22[[#This Row],[Share diario]]</f>
        <v>2.4138963740483719E-2</v>
      </c>
      <c r="E167" s="3">
        <f>+Tabla22[[#This Row],[Global 2026]]</f>
        <v>0</v>
      </c>
      <c r="F167" s="7">
        <v>46186</v>
      </c>
      <c r="G167" s="3">
        <f>+Tabla2[[#This Row],[Meta Digital]]+Tabla2[[#This Row],[Meta MKPlace]]</f>
        <v>3637744.9608022207</v>
      </c>
      <c r="H167" s="3">
        <v>2753051.9397134925</v>
      </c>
      <c r="I167" s="3">
        <v>884693.02108872833</v>
      </c>
      <c r="J167" s="3">
        <v>1488514</v>
      </c>
      <c r="K167" s="3">
        <f>+Tabla22[[#This Row],[Web + APP 2026]]</f>
        <v>0</v>
      </c>
      <c r="L167" s="3">
        <v>33468.10344827584</v>
      </c>
      <c r="M167" s="3">
        <f>+Tabla22[[#This Row],[Afiliados 2026]]</f>
        <v>0</v>
      </c>
      <c r="N167" s="3">
        <v>14384</v>
      </c>
      <c r="O167" s="3">
        <f>+Tabla22[[#This Row],[TMK 2026]]</f>
        <v>0</v>
      </c>
      <c r="P167" s="3">
        <v>6930</v>
      </c>
      <c r="Q167" s="3">
        <f>+Tabla22[[#This Row],[WA 2026]]</f>
        <v>0</v>
      </c>
      <c r="R167" s="3">
        <v>78828</v>
      </c>
      <c r="S167" s="3">
        <f>+Tabla22[[#This Row],[Ent. en Tienda 2026]]</f>
        <v>0</v>
      </c>
      <c r="T167" s="3">
        <v>672212</v>
      </c>
      <c r="U167" s="3">
        <f>+Tabla22[[#This Row],[Meli Drop 2026]]</f>
        <v>0</v>
      </c>
      <c r="V167" s="3">
        <v>147847</v>
      </c>
      <c r="W167" s="3">
        <f>+Tabla22[[#This Row],[Meli Full 2026]]</f>
        <v>0</v>
      </c>
      <c r="X167" s="3">
        <v>11663</v>
      </c>
      <c r="Y167" s="3">
        <f>+Tabla22[[#This Row],[Amazon Drop 2026]]</f>
        <v>0</v>
      </c>
      <c r="Z167" s="3">
        <v>12280</v>
      </c>
      <c r="AA167" s="3">
        <f>+Tabla22[[#This Row],[Amazon Full 2026]]</f>
        <v>0</v>
      </c>
      <c r="AB167" s="3">
        <v>0</v>
      </c>
      <c r="AC167" s="3">
        <f>+Tabla22[[#This Row],[TikTok 2026]]</f>
        <v>0</v>
      </c>
      <c r="AD167" s="3">
        <v>0</v>
      </c>
      <c r="AE167" s="3">
        <f>+Tabla22[[#This Row],[Shein 2026]]</f>
        <v>0</v>
      </c>
      <c r="AF167" s="5">
        <f t="shared" si="55"/>
        <v>0</v>
      </c>
      <c r="AG167" s="4">
        <f t="shared" si="56"/>
        <v>0</v>
      </c>
      <c r="AH167" s="5">
        <f t="shared" si="57"/>
        <v>-3637744.9608022207</v>
      </c>
      <c r="AI167" s="17">
        <f t="shared" si="50"/>
        <v>-1</v>
      </c>
      <c r="AJ167" s="17">
        <f t="shared" si="51"/>
        <v>3.8833830622110654E-2</v>
      </c>
      <c r="AK167" s="14" t="e">
        <f t="shared" si="52"/>
        <v>#DIV/0!</v>
      </c>
      <c r="AL167" s="14">
        <f t="shared" si="53"/>
        <v>-1</v>
      </c>
    </row>
    <row r="168" spans="1:38" x14ac:dyDescent="0.3">
      <c r="A168" s="63">
        <v>45823</v>
      </c>
      <c r="B168" s="3">
        <v>45983368</v>
      </c>
      <c r="C168" s="3">
        <f t="shared" si="54"/>
        <v>2738998.7586206896</v>
      </c>
      <c r="D168" s="4">
        <f>+Tabla22[[#This Row],[Share diario]]</f>
        <v>2.1299722279869336E-2</v>
      </c>
      <c r="E168" s="3">
        <f>+Tabla22[[#This Row],[Global 2026]]</f>
        <v>0</v>
      </c>
      <c r="F168" s="7">
        <v>46187</v>
      </c>
      <c r="G168" s="3">
        <f>+Tabla2[[#This Row],[Meta Digital]]+Tabla2[[#This Row],[Meta MKPlace]]</f>
        <v>3209870.9051098973</v>
      </c>
      <c r="H168" s="3">
        <v>2429236.083552686</v>
      </c>
      <c r="I168" s="3">
        <v>780634.82155721122</v>
      </c>
      <c r="J168" s="3">
        <v>1664679</v>
      </c>
      <c r="K168" s="3">
        <f>+Tabla22[[#This Row],[Web + APP 2026]]</f>
        <v>0</v>
      </c>
      <c r="L168" s="3">
        <v>25457.758620689638</v>
      </c>
      <c r="M168" s="3">
        <f>+Tabla22[[#This Row],[Afiliados 2026]]</f>
        <v>0</v>
      </c>
      <c r="N168" s="3">
        <v>15670</v>
      </c>
      <c r="O168" s="3">
        <f>+Tabla22[[#This Row],[TMK 2026]]</f>
        <v>0</v>
      </c>
      <c r="P168" s="3">
        <v>5332</v>
      </c>
      <c r="Q168" s="3">
        <f>+Tabla22[[#This Row],[WA 2026]]</f>
        <v>0</v>
      </c>
      <c r="R168" s="3">
        <v>91206</v>
      </c>
      <c r="S168" s="3">
        <f>+Tabla22[[#This Row],[Ent. en Tienda 2026]]</f>
        <v>0</v>
      </c>
      <c r="T168" s="3">
        <v>746589</v>
      </c>
      <c r="U168" s="3">
        <f>+Tabla22[[#This Row],[Meli Drop 2026]]</f>
        <v>0</v>
      </c>
      <c r="V168" s="3">
        <v>161202</v>
      </c>
      <c r="W168" s="3">
        <f>+Tabla22[[#This Row],[Meli Full 2026]]</f>
        <v>0</v>
      </c>
      <c r="X168" s="3">
        <v>18560</v>
      </c>
      <c r="Y168" s="3">
        <f>+Tabla22[[#This Row],[Amazon Drop 2026]]</f>
        <v>0</v>
      </c>
      <c r="Z168" s="3">
        <v>10303</v>
      </c>
      <c r="AA168" s="3">
        <f>+Tabla22[[#This Row],[Amazon Full 2026]]</f>
        <v>0</v>
      </c>
      <c r="AB168" s="3">
        <v>0</v>
      </c>
      <c r="AC168" s="3">
        <f>+Tabla22[[#This Row],[TikTok 2026]]</f>
        <v>0</v>
      </c>
      <c r="AD168" s="3">
        <v>0</v>
      </c>
      <c r="AE168" s="3">
        <f>+Tabla22[[#This Row],[Shein 2026]]</f>
        <v>0</v>
      </c>
      <c r="AF168" s="5">
        <f t="shared" si="55"/>
        <v>0</v>
      </c>
      <c r="AG168" s="4">
        <f t="shared" si="56"/>
        <v>0</v>
      </c>
      <c r="AH168" s="5">
        <f t="shared" si="57"/>
        <v>-3209870.9051098973</v>
      </c>
      <c r="AI168" s="17">
        <f t="shared" si="50"/>
        <v>-1</v>
      </c>
      <c r="AJ168" s="17">
        <f t="shared" si="51"/>
        <v>5.9564987902162574E-2</v>
      </c>
      <c r="AK168" s="14" t="e">
        <f t="shared" si="52"/>
        <v>#DIV/0!</v>
      </c>
      <c r="AL168" s="14">
        <f t="shared" si="53"/>
        <v>-1</v>
      </c>
    </row>
    <row r="169" spans="1:38" x14ac:dyDescent="0.3">
      <c r="A169" s="7">
        <v>45824</v>
      </c>
      <c r="B169" s="3">
        <v>24591091</v>
      </c>
      <c r="C169" s="3">
        <f t="shared" si="54"/>
        <v>3924745.0689655175</v>
      </c>
      <c r="D169" s="4">
        <f>+Tabla22[[#This Row],[Share diario]]</f>
        <v>2.3656500290862425E-2</v>
      </c>
      <c r="E169" s="3">
        <f>+Tabla22[[#This Row],[Global 2026]]</f>
        <v>0</v>
      </c>
      <c r="F169" s="7">
        <v>46188</v>
      </c>
      <c r="G169" s="3">
        <f>+Tabla2[[#This Row],[Meta Digital]]+Tabla2[[#This Row],[Meta MKPlace]]</f>
        <v>3565037.6564829531</v>
      </c>
      <c r="H169" s="3">
        <v>2698026.9208228453</v>
      </c>
      <c r="I169" s="3">
        <v>867010.73566010792</v>
      </c>
      <c r="J169" s="3">
        <v>2846654</v>
      </c>
      <c r="K169" s="3">
        <f>+Tabla22[[#This Row],[Web + APP 2026]]</f>
        <v>0</v>
      </c>
      <c r="L169" s="3">
        <v>25462.068965517225</v>
      </c>
      <c r="M169" s="3">
        <f>+Tabla22[[#This Row],[Afiliados 2026]]</f>
        <v>0</v>
      </c>
      <c r="N169" s="3">
        <v>27617</v>
      </c>
      <c r="O169" s="3">
        <f>+Tabla22[[#This Row],[TMK 2026]]</f>
        <v>0</v>
      </c>
      <c r="P169" s="3">
        <v>9575</v>
      </c>
      <c r="Q169" s="3">
        <f>+Tabla22[[#This Row],[WA 2026]]</f>
        <v>0</v>
      </c>
      <c r="R169" s="3">
        <v>85369</v>
      </c>
      <c r="S169" s="3">
        <f>+Tabla22[[#This Row],[Ent. en Tienda 2026]]</f>
        <v>0</v>
      </c>
      <c r="T169" s="3">
        <v>742785</v>
      </c>
      <c r="U169" s="3">
        <f>+Tabla22[[#This Row],[Meli Drop 2026]]</f>
        <v>0</v>
      </c>
      <c r="V169" s="3">
        <v>138760</v>
      </c>
      <c r="W169" s="3">
        <f>+Tabla22[[#This Row],[Meli Full 2026]]</f>
        <v>0</v>
      </c>
      <c r="X169" s="3">
        <v>37149</v>
      </c>
      <c r="Y169" s="3">
        <f>+Tabla22[[#This Row],[Amazon Drop 2026]]</f>
        <v>0</v>
      </c>
      <c r="Z169" s="3">
        <v>11374</v>
      </c>
      <c r="AA169" s="3">
        <f>+Tabla22[[#This Row],[Amazon Full 2026]]</f>
        <v>0</v>
      </c>
      <c r="AB169" s="3">
        <v>0</v>
      </c>
      <c r="AC169" s="3">
        <f>+Tabla22[[#This Row],[TikTok 2026]]</f>
        <v>0</v>
      </c>
      <c r="AD169" s="3">
        <v>0</v>
      </c>
      <c r="AE169" s="3">
        <f>+Tabla22[[#This Row],[Shein 2026]]</f>
        <v>0</v>
      </c>
      <c r="AF169" s="5">
        <f t="shared" si="55"/>
        <v>0</v>
      </c>
      <c r="AG169" s="4">
        <f t="shared" si="56"/>
        <v>0</v>
      </c>
      <c r="AH169" s="5">
        <f t="shared" si="57"/>
        <v>-3565037.6564829531</v>
      </c>
      <c r="AI169" s="17">
        <f t="shared" si="50"/>
        <v>-1</v>
      </c>
      <c r="AJ169" s="17">
        <f t="shared" si="51"/>
        <v>0.15960028243421642</v>
      </c>
      <c r="AK169" s="14" t="e">
        <f t="shared" si="52"/>
        <v>#DIV/0!</v>
      </c>
      <c r="AL169" s="14">
        <f t="shared" si="53"/>
        <v>-1</v>
      </c>
    </row>
    <row r="170" spans="1:38" x14ac:dyDescent="0.3">
      <c r="A170" s="63">
        <v>45825</v>
      </c>
      <c r="B170" s="3">
        <v>30070957</v>
      </c>
      <c r="C170" s="3">
        <f t="shared" si="54"/>
        <v>4516915.2413793104</v>
      </c>
      <c r="D170" s="4">
        <f>+Tabla22[[#This Row],[Share diario]]</f>
        <v>3.3897690743130919E-2</v>
      </c>
      <c r="E170" s="3">
        <f>+Tabla22[[#This Row],[Global 2026]]</f>
        <v>0</v>
      </c>
      <c r="F170" s="7">
        <v>46189</v>
      </c>
      <c r="G170" s="3">
        <f>+Tabla2[[#This Row],[Meta Digital]]+Tabla2[[#This Row],[Meta MKPlace]]</f>
        <v>5108386.3834987292</v>
      </c>
      <c r="H170" s="3">
        <v>3866036.0177629814</v>
      </c>
      <c r="I170" s="3">
        <v>1242350.3657357481</v>
      </c>
      <c r="J170" s="3">
        <v>3368273</v>
      </c>
      <c r="K170" s="3">
        <f>+Tabla22[[#This Row],[Web + APP 2026]]</f>
        <v>0</v>
      </c>
      <c r="L170" s="3">
        <v>37267.241379310319</v>
      </c>
      <c r="M170" s="3">
        <f>+Tabla22[[#This Row],[Afiliados 2026]]</f>
        <v>0</v>
      </c>
      <c r="N170" s="3">
        <v>45603</v>
      </c>
      <c r="O170" s="3">
        <f>+Tabla22[[#This Row],[TMK 2026]]</f>
        <v>0</v>
      </c>
      <c r="P170" s="3">
        <v>6054</v>
      </c>
      <c r="Q170" s="3">
        <f>+Tabla22[[#This Row],[WA 2026]]</f>
        <v>0</v>
      </c>
      <c r="R170" s="3">
        <v>78737</v>
      </c>
      <c r="S170" s="3">
        <f>+Tabla22[[#This Row],[Ent. en Tienda 2026]]</f>
        <v>0</v>
      </c>
      <c r="T170" s="3">
        <v>770093</v>
      </c>
      <c r="U170" s="3">
        <f>+Tabla22[[#This Row],[Meli Drop 2026]]</f>
        <v>0</v>
      </c>
      <c r="V170" s="3">
        <v>153147</v>
      </c>
      <c r="W170" s="3">
        <f>+Tabla22[[#This Row],[Meli Full 2026]]</f>
        <v>0</v>
      </c>
      <c r="X170" s="3">
        <v>41755</v>
      </c>
      <c r="Y170" s="3">
        <f>+Tabla22[[#This Row],[Amazon Drop 2026]]</f>
        <v>0</v>
      </c>
      <c r="Z170" s="3">
        <v>15986</v>
      </c>
      <c r="AA170" s="3">
        <f>+Tabla22[[#This Row],[Amazon Full 2026]]</f>
        <v>0</v>
      </c>
      <c r="AB170" s="3">
        <v>0</v>
      </c>
      <c r="AC170" s="3">
        <f>+Tabla22[[#This Row],[TikTok 2026]]</f>
        <v>0</v>
      </c>
      <c r="AD170" s="3">
        <v>0</v>
      </c>
      <c r="AE170" s="3">
        <f>+Tabla22[[#This Row],[Shein 2026]]</f>
        <v>0</v>
      </c>
      <c r="AF170" s="5">
        <f t="shared" si="55"/>
        <v>0</v>
      </c>
      <c r="AG170" s="4">
        <f t="shared" si="56"/>
        <v>0</v>
      </c>
      <c r="AH170" s="5">
        <f t="shared" si="57"/>
        <v>-5108386.3834987292</v>
      </c>
      <c r="AI170" s="17">
        <f t="shared" si="50"/>
        <v>-1</v>
      </c>
      <c r="AJ170" s="17">
        <f t="shared" si="51"/>
        <v>0.15020856307896388</v>
      </c>
      <c r="AK170" s="14" t="e">
        <f t="shared" si="52"/>
        <v>#DIV/0!</v>
      </c>
      <c r="AL170" s="14">
        <f t="shared" si="53"/>
        <v>-1</v>
      </c>
    </row>
    <row r="171" spans="1:38" x14ac:dyDescent="0.3">
      <c r="A171" s="7">
        <v>45826</v>
      </c>
      <c r="B171" s="3">
        <v>33374116</v>
      </c>
      <c r="C171" s="3">
        <f t="shared" si="54"/>
        <v>4064742.8620689656</v>
      </c>
      <c r="D171" s="4">
        <f>+Tabla22[[#This Row],[Share diario]]</f>
        <v>3.9012214366720095E-2</v>
      </c>
      <c r="E171" s="3">
        <f>+Tabla22[[#This Row],[Global 2026]]</f>
        <v>0</v>
      </c>
      <c r="F171" s="7">
        <v>46190</v>
      </c>
      <c r="G171" s="3">
        <f>+Tabla2[[#This Row],[Meta Digital]]+Tabla2[[#This Row],[Meta MKPlace]]</f>
        <v>5879145.7557170251</v>
      </c>
      <c r="H171" s="3">
        <v>4449348.0991767338</v>
      </c>
      <c r="I171" s="3">
        <v>1429797.6565402914</v>
      </c>
      <c r="J171" s="3">
        <v>3013055</v>
      </c>
      <c r="K171" s="3">
        <f>+Tabla22[[#This Row],[Web + APP 2026]]</f>
        <v>0</v>
      </c>
      <c r="L171" s="3">
        <v>40300.862068965493</v>
      </c>
      <c r="M171" s="3">
        <f>+Tabla22[[#This Row],[Afiliados 2026]]</f>
        <v>0</v>
      </c>
      <c r="N171" s="3">
        <v>43913</v>
      </c>
      <c r="O171" s="3">
        <f>+Tabla22[[#This Row],[TMK 2026]]</f>
        <v>0</v>
      </c>
      <c r="P171" s="3">
        <v>7553</v>
      </c>
      <c r="Q171" s="3">
        <f>+Tabla22[[#This Row],[WA 2026]]</f>
        <v>0</v>
      </c>
      <c r="R171" s="3">
        <v>114170</v>
      </c>
      <c r="S171" s="3">
        <f>+Tabla22[[#This Row],[Ent. en Tienda 2026]]</f>
        <v>0</v>
      </c>
      <c r="T171" s="3">
        <v>667867</v>
      </c>
      <c r="U171" s="3">
        <f>+Tabla22[[#This Row],[Meli Drop 2026]]</f>
        <v>0</v>
      </c>
      <c r="V171" s="3">
        <v>125568</v>
      </c>
      <c r="W171" s="3">
        <f>+Tabla22[[#This Row],[Meli Full 2026]]</f>
        <v>0</v>
      </c>
      <c r="X171" s="3">
        <v>34974</v>
      </c>
      <c r="Y171" s="3">
        <f>+Tabla22[[#This Row],[Amazon Drop 2026]]</f>
        <v>0</v>
      </c>
      <c r="Z171" s="3">
        <v>17342</v>
      </c>
      <c r="AA171" s="3">
        <f>+Tabla22[[#This Row],[Amazon Full 2026]]</f>
        <v>0</v>
      </c>
      <c r="AB171" s="3">
        <v>0</v>
      </c>
      <c r="AC171" s="3">
        <f>+Tabla22[[#This Row],[TikTok 2026]]</f>
        <v>0</v>
      </c>
      <c r="AD171" s="3">
        <v>0</v>
      </c>
      <c r="AE171" s="3">
        <f>+Tabla22[[#This Row],[Shein 2026]]</f>
        <v>0</v>
      </c>
      <c r="AF171" s="5">
        <f t="shared" si="55"/>
        <v>0</v>
      </c>
      <c r="AG171" s="4">
        <f t="shared" si="56"/>
        <v>0</v>
      </c>
      <c r="AH171" s="5">
        <f t="shared" si="57"/>
        <v>-5879145.7557170251</v>
      </c>
      <c r="AI171" s="17">
        <f t="shared" si="50"/>
        <v>-1</v>
      </c>
      <c r="AJ171" s="17">
        <f t="shared" si="51"/>
        <v>0.12179327422691781</v>
      </c>
      <c r="AK171" s="14" t="e">
        <f t="shared" si="52"/>
        <v>#DIV/0!</v>
      </c>
      <c r="AL171" s="14">
        <f t="shared" si="53"/>
        <v>-1</v>
      </c>
    </row>
    <row r="172" spans="1:38" x14ac:dyDescent="0.3">
      <c r="A172" s="63">
        <v>45827</v>
      </c>
      <c r="B172" s="3">
        <v>36317478</v>
      </c>
      <c r="C172" s="3">
        <f t="shared" si="54"/>
        <v>3468062.9310344825</v>
      </c>
      <c r="D172" s="4">
        <f>+Tabla22[[#This Row],[Share diario]]</f>
        <v>3.5106839824651355E-2</v>
      </c>
      <c r="E172" s="3">
        <f>+Tabla22[[#This Row],[Global 2026]]</f>
        <v>0</v>
      </c>
      <c r="F172" s="7">
        <v>46191</v>
      </c>
      <c r="G172" s="3">
        <f>+Tabla2[[#This Row],[Meta Digital]]+Tabla2[[#This Row],[Meta MKPlace]]</f>
        <v>5290605.3066243604</v>
      </c>
      <c r="H172" s="3">
        <v>4003939.6270508883</v>
      </c>
      <c r="I172" s="3">
        <v>1286665.6795734721</v>
      </c>
      <c r="J172" s="3">
        <v>2710805</v>
      </c>
      <c r="K172" s="3">
        <f>+Tabla22[[#This Row],[Web + APP 2026]]</f>
        <v>0</v>
      </c>
      <c r="L172" s="3">
        <v>40587.931034482739</v>
      </c>
      <c r="M172" s="3">
        <f>+Tabla22[[#This Row],[Afiliados 2026]]</f>
        <v>0</v>
      </c>
      <c r="N172" s="3">
        <v>31678</v>
      </c>
      <c r="O172" s="3">
        <f>+Tabla22[[#This Row],[TMK 2026]]</f>
        <v>0</v>
      </c>
      <c r="P172" s="3">
        <v>8489</v>
      </c>
      <c r="Q172" s="3">
        <f>+Tabla22[[#This Row],[WA 2026]]</f>
        <v>0</v>
      </c>
      <c r="R172" s="3">
        <v>61076</v>
      </c>
      <c r="S172" s="3">
        <f>+Tabla22[[#This Row],[Ent. en Tienda 2026]]</f>
        <v>0</v>
      </c>
      <c r="T172" s="3">
        <v>455015</v>
      </c>
      <c r="U172" s="3">
        <f>+Tabla22[[#This Row],[Meli Drop 2026]]</f>
        <v>0</v>
      </c>
      <c r="V172" s="3">
        <v>126044</v>
      </c>
      <c r="W172" s="3">
        <f>+Tabla22[[#This Row],[Meli Full 2026]]</f>
        <v>0</v>
      </c>
      <c r="X172" s="3">
        <v>24483</v>
      </c>
      <c r="Y172" s="3">
        <f>+Tabla22[[#This Row],[Amazon Drop 2026]]</f>
        <v>0</v>
      </c>
      <c r="Z172" s="3">
        <v>9885</v>
      </c>
      <c r="AA172" s="3">
        <f>+Tabla22[[#This Row],[Amazon Full 2026]]</f>
        <v>0</v>
      </c>
      <c r="AB172" s="3">
        <v>0</v>
      </c>
      <c r="AC172" s="3">
        <f>+Tabla22[[#This Row],[TikTok 2026]]</f>
        <v>0</v>
      </c>
      <c r="AD172" s="3">
        <v>0</v>
      </c>
      <c r="AE172" s="3">
        <f>+Tabla22[[#This Row],[Shein 2026]]</f>
        <v>0</v>
      </c>
      <c r="AF172" s="5">
        <f t="shared" si="55"/>
        <v>0</v>
      </c>
      <c r="AG172" s="4">
        <f t="shared" si="56"/>
        <v>0</v>
      </c>
      <c r="AH172" s="5">
        <f t="shared" si="57"/>
        <v>-5290605.3066243604</v>
      </c>
      <c r="AI172" s="17">
        <f t="shared" si="50"/>
        <v>-1</v>
      </c>
      <c r="AJ172" s="17">
        <f t="shared" si="51"/>
        <v>9.5492945050713124E-2</v>
      </c>
      <c r="AK172" s="14" t="e">
        <f t="shared" si="52"/>
        <v>#DIV/0!</v>
      </c>
      <c r="AL172" s="14">
        <f t="shared" si="53"/>
        <v>-1</v>
      </c>
    </row>
    <row r="173" spans="1:38" x14ac:dyDescent="0.3">
      <c r="A173" s="7">
        <v>45828</v>
      </c>
      <c r="B173" s="3">
        <v>38092110</v>
      </c>
      <c r="C173" s="3">
        <f t="shared" si="54"/>
        <v>3303719.7241379311</v>
      </c>
      <c r="D173" s="4">
        <f>+Tabla22[[#This Row],[Share diario]]</f>
        <v>2.99533657978222E-2</v>
      </c>
      <c r="E173" s="3">
        <f>+Tabla22[[#This Row],[Global 2026]]</f>
        <v>0</v>
      </c>
      <c r="F173" s="7">
        <v>46192</v>
      </c>
      <c r="G173" s="3">
        <f>+Tabla2[[#This Row],[Meta Digital]]+Tabla2[[#This Row],[Meta MKPlace]]</f>
        <v>4513976.1035951497</v>
      </c>
      <c r="H173" s="3">
        <v>3416185.2471049661</v>
      </c>
      <c r="I173" s="3">
        <v>1097790.8564901836</v>
      </c>
      <c r="J173" s="3">
        <v>2155416</v>
      </c>
      <c r="K173" s="3">
        <f>+Tabla22[[#This Row],[Web + APP 2026]]</f>
        <v>0</v>
      </c>
      <c r="L173" s="3">
        <v>37026.724137931029</v>
      </c>
      <c r="M173" s="3">
        <f>+Tabla22[[#This Row],[Afiliados 2026]]</f>
        <v>0</v>
      </c>
      <c r="N173" s="3">
        <v>33900</v>
      </c>
      <c r="O173" s="3">
        <f>+Tabla22[[#This Row],[TMK 2026]]</f>
        <v>0</v>
      </c>
      <c r="P173" s="3">
        <v>3527</v>
      </c>
      <c r="Q173" s="3">
        <f>+Tabla22[[#This Row],[WA 2026]]</f>
        <v>0</v>
      </c>
      <c r="R173" s="3">
        <v>110621</v>
      </c>
      <c r="S173" s="3">
        <f>+Tabla22[[#This Row],[Ent. en Tienda 2026]]</f>
        <v>0</v>
      </c>
      <c r="T173" s="3">
        <v>822254</v>
      </c>
      <c r="U173" s="3">
        <f>+Tabla22[[#This Row],[Meli Drop 2026]]</f>
        <v>0</v>
      </c>
      <c r="V173" s="3">
        <v>98107</v>
      </c>
      <c r="W173" s="3">
        <f>+Tabla22[[#This Row],[Meli Full 2026]]</f>
        <v>0</v>
      </c>
      <c r="X173" s="3">
        <v>33075</v>
      </c>
      <c r="Y173" s="3">
        <f>+Tabla22[[#This Row],[Amazon Drop 2026]]</f>
        <v>0</v>
      </c>
      <c r="Z173" s="3">
        <v>9793</v>
      </c>
      <c r="AA173" s="3">
        <f>+Tabla22[[#This Row],[Amazon Full 2026]]</f>
        <v>0</v>
      </c>
      <c r="AB173" s="3">
        <v>0</v>
      </c>
      <c r="AC173" s="3">
        <f>+Tabla22[[#This Row],[TikTok 2026]]</f>
        <v>0</v>
      </c>
      <c r="AD173" s="3">
        <v>0</v>
      </c>
      <c r="AE173" s="3">
        <f>+Tabla22[[#This Row],[Shein 2026]]</f>
        <v>0</v>
      </c>
      <c r="AF173" s="5">
        <f t="shared" si="55"/>
        <v>0</v>
      </c>
      <c r="AG173" s="4">
        <f t="shared" si="56"/>
        <v>0</v>
      </c>
      <c r="AH173" s="5">
        <f t="shared" si="57"/>
        <v>-4513976.1035951497</v>
      </c>
      <c r="AI173" s="17">
        <f t="shared" si="50"/>
        <v>-1</v>
      </c>
      <c r="AJ173" s="17">
        <f t="shared" si="51"/>
        <v>8.6729764356396413E-2</v>
      </c>
      <c r="AK173" s="14" t="e">
        <f t="shared" si="52"/>
        <v>#DIV/0!</v>
      </c>
      <c r="AL173" s="14">
        <f t="shared" si="53"/>
        <v>-1</v>
      </c>
    </row>
    <row r="174" spans="1:38" x14ac:dyDescent="0.3">
      <c r="A174" s="63">
        <v>45829</v>
      </c>
      <c r="B174" s="3">
        <v>50963433</v>
      </c>
      <c r="C174" s="3">
        <f t="shared" si="54"/>
        <v>2900614.7931034481</v>
      </c>
      <c r="D174" s="4">
        <f>+Tabla22[[#This Row],[Share diario]]</f>
        <v>2.853394743937528E-2</v>
      </c>
      <c r="E174" s="3">
        <f>+Tabla22[[#This Row],[Global 2026]]</f>
        <v>0</v>
      </c>
      <c r="F174" s="7">
        <v>46193</v>
      </c>
      <c r="G174" s="3">
        <f>+Tabla2[[#This Row],[Meta Digital]]+Tabla2[[#This Row],[Meta MKPlace]]</f>
        <v>4300069.5732145309</v>
      </c>
      <c r="H174" s="3">
        <v>3254300.3995614266</v>
      </c>
      <c r="I174" s="3">
        <v>1045769.173653104</v>
      </c>
      <c r="J174" s="3">
        <v>2319435</v>
      </c>
      <c r="K174" s="3">
        <f>+Tabla22[[#This Row],[Web + APP 2026]]</f>
        <v>0</v>
      </c>
      <c r="L174" s="3">
        <v>39113.793103448261</v>
      </c>
      <c r="M174" s="3">
        <f>+Tabla22[[#This Row],[Afiliados 2026]]</f>
        <v>0</v>
      </c>
      <c r="N174" s="3">
        <v>21973</v>
      </c>
      <c r="O174" s="3">
        <f>+Tabla22[[#This Row],[TMK 2026]]</f>
        <v>0</v>
      </c>
      <c r="P174" s="3">
        <v>5556</v>
      </c>
      <c r="Q174" s="3">
        <f>+Tabla22[[#This Row],[WA 2026]]</f>
        <v>0</v>
      </c>
      <c r="R174" s="3">
        <v>84521</v>
      </c>
      <c r="S174" s="3">
        <f>+Tabla22[[#This Row],[Ent. en Tienda 2026]]</f>
        <v>0</v>
      </c>
      <c r="T174" s="3">
        <v>311488</v>
      </c>
      <c r="U174" s="3">
        <f>+Tabla22[[#This Row],[Meli Drop 2026]]</f>
        <v>0</v>
      </c>
      <c r="V174" s="3">
        <v>82471</v>
      </c>
      <c r="W174" s="3">
        <f>+Tabla22[[#This Row],[Meli Full 2026]]</f>
        <v>0</v>
      </c>
      <c r="X174" s="3">
        <v>25122</v>
      </c>
      <c r="Y174" s="3">
        <f>+Tabla22[[#This Row],[Amazon Drop 2026]]</f>
        <v>0</v>
      </c>
      <c r="Z174" s="3">
        <v>10935</v>
      </c>
      <c r="AA174" s="3">
        <f>+Tabla22[[#This Row],[Amazon Full 2026]]</f>
        <v>0</v>
      </c>
      <c r="AB174" s="3">
        <v>0</v>
      </c>
      <c r="AC174" s="3">
        <f>+Tabla22[[#This Row],[TikTok 2026]]</f>
        <v>0</v>
      </c>
      <c r="AD174" s="3">
        <v>0</v>
      </c>
      <c r="AE174" s="3">
        <f>+Tabla22[[#This Row],[Shein 2026]]</f>
        <v>0</v>
      </c>
      <c r="AF174" s="5">
        <f t="shared" si="55"/>
        <v>0</v>
      </c>
      <c r="AG174" s="4">
        <f t="shared" si="56"/>
        <v>0</v>
      </c>
      <c r="AH174" s="5">
        <f t="shared" si="57"/>
        <v>-4300069.5732145309</v>
      </c>
      <c r="AI174" s="17">
        <f t="shared" si="50"/>
        <v>-1</v>
      </c>
      <c r="AJ174" s="17">
        <f t="shared" si="51"/>
        <v>5.6915608355964722E-2</v>
      </c>
      <c r="AK174" s="14" t="e">
        <f t="shared" si="52"/>
        <v>#DIV/0!</v>
      </c>
      <c r="AL174" s="14">
        <f t="shared" si="53"/>
        <v>-1</v>
      </c>
    </row>
    <row r="175" spans="1:38" x14ac:dyDescent="0.3">
      <c r="A175" s="7">
        <v>45830</v>
      </c>
      <c r="B175" s="3">
        <v>48992029</v>
      </c>
      <c r="C175" s="3">
        <f t="shared" si="54"/>
        <v>3347668.5172413792</v>
      </c>
      <c r="D175" s="4">
        <f>+Tabla22[[#This Row],[Share diario]]</f>
        <v>2.5052364292157094E-2</v>
      </c>
      <c r="E175" s="3">
        <f>+Tabla22[[#This Row],[Global 2026]]</f>
        <v>0</v>
      </c>
      <c r="F175" s="7">
        <v>46194</v>
      </c>
      <c r="G175" s="3">
        <f>+Tabla2[[#This Row],[Meta Digital]]+Tabla2[[#This Row],[Meta MKPlace]]</f>
        <v>3775394.5421913015</v>
      </c>
      <c r="H175" s="3">
        <v>2857225.3908837442</v>
      </c>
      <c r="I175" s="3">
        <v>918169.15130755748</v>
      </c>
      <c r="J175" s="3">
        <v>2913089</v>
      </c>
      <c r="K175" s="3">
        <f>+Tabla22[[#This Row],[Web + APP 2026]]</f>
        <v>0</v>
      </c>
      <c r="L175" s="3">
        <v>49765.517241379282</v>
      </c>
      <c r="M175" s="3">
        <f>+Tabla22[[#This Row],[Afiliados 2026]]</f>
        <v>0</v>
      </c>
      <c r="N175" s="3">
        <v>3999</v>
      </c>
      <c r="O175" s="3">
        <f>+Tabla22[[#This Row],[TMK 2026]]</f>
        <v>0</v>
      </c>
      <c r="P175" s="3">
        <v>5169</v>
      </c>
      <c r="Q175" s="3">
        <f>+Tabla22[[#This Row],[WA 2026]]</f>
        <v>0</v>
      </c>
      <c r="R175" s="3">
        <v>91234</v>
      </c>
      <c r="S175" s="3">
        <f>+Tabla22[[#This Row],[Ent. en Tienda 2026]]</f>
        <v>0</v>
      </c>
      <c r="T175" s="3">
        <v>100157</v>
      </c>
      <c r="U175" s="3">
        <f>+Tabla22[[#This Row],[Meli Drop 2026]]</f>
        <v>0</v>
      </c>
      <c r="V175" s="3">
        <v>134523</v>
      </c>
      <c r="W175" s="3">
        <f>+Tabla22[[#This Row],[Meli Full 2026]]</f>
        <v>0</v>
      </c>
      <c r="X175" s="3">
        <v>40627</v>
      </c>
      <c r="Y175" s="3">
        <f>+Tabla22[[#This Row],[Amazon Drop 2026]]</f>
        <v>0</v>
      </c>
      <c r="Z175" s="3">
        <v>9105</v>
      </c>
      <c r="AA175" s="3">
        <f>+Tabla22[[#This Row],[Amazon Full 2026]]</f>
        <v>0</v>
      </c>
      <c r="AB175" s="3">
        <v>0</v>
      </c>
      <c r="AC175" s="3">
        <f>+Tabla22[[#This Row],[TikTok 2026]]</f>
        <v>0</v>
      </c>
      <c r="AD175" s="3">
        <v>0</v>
      </c>
      <c r="AE175" s="3">
        <f>+Tabla22[[#This Row],[Shein 2026]]</f>
        <v>0</v>
      </c>
      <c r="AF175" s="5">
        <f t="shared" si="55"/>
        <v>0</v>
      </c>
      <c r="AG175" s="4">
        <f t="shared" si="56"/>
        <v>0</v>
      </c>
      <c r="AH175" s="5">
        <f t="shared" si="57"/>
        <v>-3775394.5421913015</v>
      </c>
      <c r="AI175" s="17">
        <f t="shared" si="50"/>
        <v>-1</v>
      </c>
      <c r="AJ175" s="17">
        <f t="shared" si="51"/>
        <v>6.8330881279511396E-2</v>
      </c>
      <c r="AK175" s="14" t="e">
        <f t="shared" si="52"/>
        <v>#DIV/0!</v>
      </c>
      <c r="AL175" s="14">
        <f t="shared" si="53"/>
        <v>-1</v>
      </c>
    </row>
    <row r="176" spans="1:38" x14ac:dyDescent="0.3">
      <c r="A176" s="63">
        <v>45831</v>
      </c>
      <c r="B176" s="3">
        <v>31644110</v>
      </c>
      <c r="C176" s="3">
        <f t="shared" si="54"/>
        <v>5288599.1034482755</v>
      </c>
      <c r="D176" s="4">
        <f>+Tabla22[[#This Row],[Share diario]]</f>
        <v>2.8913529443040858E-2</v>
      </c>
      <c r="E176" s="3">
        <f>+Tabla22[[#This Row],[Global 2026]]</f>
        <v>0</v>
      </c>
      <c r="F176" s="7">
        <v>46195</v>
      </c>
      <c r="G176" s="3">
        <f>+Tabla2[[#This Row],[Meta Digital]]+Tabla2[[#This Row],[Meta MKPlace]]</f>
        <v>4357272.6303088944</v>
      </c>
      <c r="H176" s="3">
        <v>3297591.7762214467</v>
      </c>
      <c r="I176" s="3">
        <v>1059680.8540874475</v>
      </c>
      <c r="J176" s="3">
        <v>3567197</v>
      </c>
      <c r="K176" s="3">
        <f>+Tabla22[[#This Row],[Web + APP 2026]]</f>
        <v>0</v>
      </c>
      <c r="L176" s="3">
        <v>48518.10344827584</v>
      </c>
      <c r="M176" s="3">
        <f>+Tabla22[[#This Row],[Afiliados 2026]]</f>
        <v>0</v>
      </c>
      <c r="N176" s="3">
        <v>41503</v>
      </c>
      <c r="O176" s="3">
        <f>+Tabla22[[#This Row],[TMK 2026]]</f>
        <v>0</v>
      </c>
      <c r="P176" s="3">
        <v>11366</v>
      </c>
      <c r="Q176" s="3">
        <f>+Tabla22[[#This Row],[WA 2026]]</f>
        <v>0</v>
      </c>
      <c r="R176" s="3">
        <v>144879</v>
      </c>
      <c r="S176" s="3">
        <f>+Tabla22[[#This Row],[Ent. en Tienda 2026]]</f>
        <v>0</v>
      </c>
      <c r="T176" s="3">
        <v>1270698</v>
      </c>
      <c r="U176" s="3">
        <f>+Tabla22[[#This Row],[Meli Drop 2026]]</f>
        <v>0</v>
      </c>
      <c r="V176" s="3">
        <v>117470</v>
      </c>
      <c r="W176" s="3">
        <f>+Tabla22[[#This Row],[Meli Full 2026]]</f>
        <v>0</v>
      </c>
      <c r="X176" s="3">
        <v>71619</v>
      </c>
      <c r="Y176" s="3">
        <f>+Tabla22[[#This Row],[Amazon Drop 2026]]</f>
        <v>0</v>
      </c>
      <c r="Z176" s="3">
        <v>15349</v>
      </c>
      <c r="AA176" s="3">
        <f>+Tabla22[[#This Row],[Amazon Full 2026]]</f>
        <v>0</v>
      </c>
      <c r="AB176" s="3">
        <v>0</v>
      </c>
      <c r="AC176" s="3">
        <f>+Tabla22[[#This Row],[TikTok 2026]]</f>
        <v>0</v>
      </c>
      <c r="AD176" s="3">
        <v>0</v>
      </c>
      <c r="AE176" s="3">
        <f>+Tabla22[[#This Row],[Shein 2026]]</f>
        <v>0</v>
      </c>
      <c r="AF176" s="5">
        <f t="shared" si="55"/>
        <v>0</v>
      </c>
      <c r="AG176" s="4">
        <f t="shared" si="56"/>
        <v>0</v>
      </c>
      <c r="AH176" s="5">
        <f t="shared" si="57"/>
        <v>-4357272.6303088944</v>
      </c>
      <c r="AI176" s="17">
        <f t="shared" si="50"/>
        <v>-1</v>
      </c>
      <c r="AJ176" s="17">
        <f t="shared" si="51"/>
        <v>0.16712744025501983</v>
      </c>
      <c r="AK176" s="14" t="e">
        <f t="shared" si="52"/>
        <v>#DIV/0!</v>
      </c>
      <c r="AL176" s="14">
        <f t="shared" si="53"/>
        <v>-1</v>
      </c>
    </row>
    <row r="177" spans="1:38" x14ac:dyDescent="0.3">
      <c r="A177" s="7">
        <v>45832</v>
      </c>
      <c r="B177" s="3">
        <v>32757630</v>
      </c>
      <c r="C177" s="3">
        <f t="shared" si="54"/>
        <v>4406506.931034483</v>
      </c>
      <c r="D177" s="4">
        <f>+Tabla22[[#This Row],[Share diario]]</f>
        <v>4.567718252343491E-2</v>
      </c>
      <c r="E177" s="3">
        <f>+Tabla22[[#This Row],[Global 2026]]</f>
        <v>0</v>
      </c>
      <c r="F177" s="7">
        <v>46196</v>
      </c>
      <c r="G177" s="3">
        <f>+Tabla2[[#This Row],[Meta Digital]]+Tabla2[[#This Row],[Meta MKPlace]]</f>
        <v>6883557.3198031113</v>
      </c>
      <c r="H177" s="3">
        <v>5209488.5803192221</v>
      </c>
      <c r="I177" s="3">
        <v>1674068.7394838894</v>
      </c>
      <c r="J177" s="3">
        <v>3442550</v>
      </c>
      <c r="K177" s="3">
        <f>+Tabla22[[#This Row],[Web + APP 2026]]</f>
        <v>0</v>
      </c>
      <c r="L177" s="3">
        <v>48212.931034482724</v>
      </c>
      <c r="M177" s="3">
        <f>+Tabla22[[#This Row],[Afiliados 2026]]</f>
        <v>0</v>
      </c>
      <c r="N177" s="3">
        <v>85752</v>
      </c>
      <c r="O177" s="3">
        <f>+Tabla22[[#This Row],[TMK 2026]]</f>
        <v>0</v>
      </c>
      <c r="P177" s="3">
        <v>8426</v>
      </c>
      <c r="Q177" s="3">
        <f>+Tabla22[[#This Row],[WA 2026]]</f>
        <v>0</v>
      </c>
      <c r="R177" s="3">
        <v>104213</v>
      </c>
      <c r="S177" s="3">
        <f>+Tabla22[[#This Row],[Ent. en Tienda 2026]]</f>
        <v>0</v>
      </c>
      <c r="T177" s="3">
        <v>504323</v>
      </c>
      <c r="U177" s="3">
        <f>+Tabla22[[#This Row],[Meli Drop 2026]]</f>
        <v>0</v>
      </c>
      <c r="V177" s="3">
        <v>137554</v>
      </c>
      <c r="W177" s="3">
        <f>+Tabla22[[#This Row],[Meli Full 2026]]</f>
        <v>0</v>
      </c>
      <c r="X177" s="3">
        <v>60128</v>
      </c>
      <c r="Y177" s="3">
        <f>+Tabla22[[#This Row],[Amazon Drop 2026]]</f>
        <v>0</v>
      </c>
      <c r="Z177" s="3">
        <v>15348</v>
      </c>
      <c r="AA177" s="3">
        <f>+Tabla22[[#This Row],[Amazon Full 2026]]</f>
        <v>0</v>
      </c>
      <c r="AB177" s="3">
        <v>0</v>
      </c>
      <c r="AC177" s="3">
        <f>+Tabla22[[#This Row],[TikTok 2026]]</f>
        <v>0</v>
      </c>
      <c r="AD177" s="3">
        <v>0</v>
      </c>
      <c r="AE177" s="3">
        <f>+Tabla22[[#This Row],[Shein 2026]]</f>
        <v>0</v>
      </c>
      <c r="AF177" s="5">
        <f t="shared" si="55"/>
        <v>0</v>
      </c>
      <c r="AG177" s="4">
        <f t="shared" si="56"/>
        <v>0</v>
      </c>
      <c r="AH177" s="5">
        <f t="shared" si="57"/>
        <v>-6883557.3198031113</v>
      </c>
      <c r="AI177" s="17">
        <f t="shared" si="50"/>
        <v>-1</v>
      </c>
      <c r="AJ177" s="17">
        <f t="shared" si="51"/>
        <v>0.13451849022760448</v>
      </c>
      <c r="AK177" s="14" t="e">
        <f t="shared" si="52"/>
        <v>#DIV/0!</v>
      </c>
      <c r="AL177" s="14">
        <f t="shared" si="53"/>
        <v>-1</v>
      </c>
    </row>
    <row r="178" spans="1:38" x14ac:dyDescent="0.3">
      <c r="A178" s="63">
        <v>45833</v>
      </c>
      <c r="B178" s="3">
        <v>36673425</v>
      </c>
      <c r="C178" s="3">
        <f t="shared" si="54"/>
        <v>4415501.3793103453</v>
      </c>
      <c r="D178" s="4">
        <f>+Tabla22[[#This Row],[Share diario]]</f>
        <v>3.805862714161988E-2</v>
      </c>
      <c r="E178" s="3">
        <f>+Tabla22[[#This Row],[Global 2026]]</f>
        <v>0</v>
      </c>
      <c r="F178" s="7">
        <v>46197</v>
      </c>
      <c r="G178" s="3">
        <f>+Tabla2[[#This Row],[Meta Digital]]+Tabla2[[#This Row],[Meta MKPlace]]</f>
        <v>5735440.0374398176</v>
      </c>
      <c r="H178" s="3">
        <v>4340591.3526994493</v>
      </c>
      <c r="I178" s="3">
        <v>1394848.6847403685</v>
      </c>
      <c r="J178" s="3">
        <v>3181484</v>
      </c>
      <c r="K178" s="3">
        <f>+Tabla22[[#This Row],[Web + APP 2026]]</f>
        <v>0</v>
      </c>
      <c r="L178" s="3">
        <v>41541.379310344812</v>
      </c>
      <c r="M178" s="3">
        <f>+Tabla22[[#This Row],[Afiliados 2026]]</f>
        <v>0</v>
      </c>
      <c r="N178" s="3">
        <v>19984</v>
      </c>
      <c r="O178" s="3">
        <f>+Tabla22[[#This Row],[TMK 2026]]</f>
        <v>0</v>
      </c>
      <c r="P178" s="3">
        <v>5166</v>
      </c>
      <c r="Q178" s="3">
        <f>+Tabla22[[#This Row],[WA 2026]]</f>
        <v>0</v>
      </c>
      <c r="R178" s="3">
        <v>119359</v>
      </c>
      <c r="S178" s="3">
        <f>+Tabla22[[#This Row],[Ent. en Tienda 2026]]</f>
        <v>0</v>
      </c>
      <c r="T178" s="3">
        <v>869828</v>
      </c>
      <c r="U178" s="3">
        <f>+Tabla22[[#This Row],[Meli Drop 2026]]</f>
        <v>0</v>
      </c>
      <c r="V178" s="3">
        <v>125724</v>
      </c>
      <c r="W178" s="3">
        <f>+Tabla22[[#This Row],[Meli Full 2026]]</f>
        <v>0</v>
      </c>
      <c r="X178" s="3">
        <v>44086</v>
      </c>
      <c r="Y178" s="3">
        <f>+Tabla22[[#This Row],[Amazon Drop 2026]]</f>
        <v>0</v>
      </c>
      <c r="Z178" s="3">
        <v>8329</v>
      </c>
      <c r="AA178" s="3">
        <f>+Tabla22[[#This Row],[Amazon Full 2026]]</f>
        <v>0</v>
      </c>
      <c r="AB178" s="3">
        <v>0</v>
      </c>
      <c r="AC178" s="3">
        <f>+Tabla22[[#This Row],[TikTok 2026]]</f>
        <v>0</v>
      </c>
      <c r="AD178" s="3">
        <v>0</v>
      </c>
      <c r="AE178" s="3">
        <f>+Tabla22[[#This Row],[Shein 2026]]</f>
        <v>0</v>
      </c>
      <c r="AF178" s="5">
        <f t="shared" si="55"/>
        <v>0</v>
      </c>
      <c r="AG178" s="4">
        <f t="shared" si="56"/>
        <v>0</v>
      </c>
      <c r="AH178" s="5">
        <f t="shared" si="57"/>
        <v>-5735440.0374398176</v>
      </c>
      <c r="AI178" s="17">
        <f t="shared" si="50"/>
        <v>-1</v>
      </c>
      <c r="AJ178" s="17">
        <f t="shared" si="51"/>
        <v>0.12040057287559984</v>
      </c>
      <c r="AK178" s="14" t="e">
        <f t="shared" si="52"/>
        <v>#DIV/0!</v>
      </c>
      <c r="AL178" s="14">
        <f t="shared" si="53"/>
        <v>-1</v>
      </c>
    </row>
    <row r="179" spans="1:38" x14ac:dyDescent="0.3">
      <c r="A179" s="7">
        <v>45834</v>
      </c>
      <c r="B179" s="3">
        <v>40294476</v>
      </c>
      <c r="C179" s="3">
        <f t="shared" si="54"/>
        <v>3543329.4137931033</v>
      </c>
      <c r="D179" s="4">
        <f>+Tabla22[[#This Row],[Share diario]]</f>
        <v>3.8136311429567943E-2</v>
      </c>
      <c r="E179" s="3">
        <f>+Tabla22[[#This Row],[Global 2026]]</f>
        <v>0</v>
      </c>
      <c r="F179" s="7">
        <v>46198</v>
      </c>
      <c r="G179" s="3">
        <f>+Tabla2[[#This Row],[Meta Digital]]+Tabla2[[#This Row],[Meta MKPlace]]</f>
        <v>5747147.0696908589</v>
      </c>
      <c r="H179" s="3">
        <v>4349451.2557971943</v>
      </c>
      <c r="I179" s="3">
        <v>1397695.8138936651</v>
      </c>
      <c r="J179" s="3">
        <v>2646749</v>
      </c>
      <c r="K179" s="3">
        <f>+Tabla22[[#This Row],[Web + APP 2026]]</f>
        <v>0</v>
      </c>
      <c r="L179" s="3">
        <v>43047.413793103435</v>
      </c>
      <c r="M179" s="3">
        <f>+Tabla22[[#This Row],[Afiliados 2026]]</f>
        <v>0</v>
      </c>
      <c r="N179" s="3">
        <v>27161</v>
      </c>
      <c r="O179" s="3">
        <f>+Tabla22[[#This Row],[TMK 2026]]</f>
        <v>0</v>
      </c>
      <c r="P179" s="3">
        <v>7060</v>
      </c>
      <c r="Q179" s="3">
        <f>+Tabla22[[#This Row],[WA 2026]]</f>
        <v>0</v>
      </c>
      <c r="R179" s="3">
        <v>96473</v>
      </c>
      <c r="S179" s="3">
        <f>+Tabla22[[#This Row],[Ent. en Tienda 2026]]</f>
        <v>0</v>
      </c>
      <c r="T179" s="3">
        <v>505360</v>
      </c>
      <c r="U179" s="3">
        <f>+Tabla22[[#This Row],[Meli Drop 2026]]</f>
        <v>0</v>
      </c>
      <c r="V179" s="3">
        <v>154811</v>
      </c>
      <c r="W179" s="3">
        <f>+Tabla22[[#This Row],[Meli Full 2026]]</f>
        <v>0</v>
      </c>
      <c r="X179" s="3">
        <v>46738</v>
      </c>
      <c r="Y179" s="3">
        <f>+Tabla22[[#This Row],[Amazon Drop 2026]]</f>
        <v>0</v>
      </c>
      <c r="Z179" s="3">
        <v>15930</v>
      </c>
      <c r="AA179" s="3">
        <f>+Tabla22[[#This Row],[Amazon Full 2026]]</f>
        <v>0</v>
      </c>
      <c r="AB179" s="3">
        <v>0</v>
      </c>
      <c r="AC179" s="3">
        <f>+Tabla22[[#This Row],[TikTok 2026]]</f>
        <v>0</v>
      </c>
      <c r="AD179" s="3">
        <v>0</v>
      </c>
      <c r="AE179" s="3">
        <f>+Tabla22[[#This Row],[Shein 2026]]</f>
        <v>0</v>
      </c>
      <c r="AF179" s="5">
        <f t="shared" si="55"/>
        <v>0</v>
      </c>
      <c r="AG179" s="4">
        <f t="shared" si="56"/>
        <v>0</v>
      </c>
      <c r="AH179" s="5">
        <f t="shared" si="57"/>
        <v>-5747147.0696908589</v>
      </c>
      <c r="AI179" s="17">
        <f t="shared" si="50"/>
        <v>-1</v>
      </c>
      <c r="AJ179" s="17">
        <f t="shared" si="51"/>
        <v>8.7935860334630064E-2</v>
      </c>
      <c r="AK179" s="14" t="e">
        <f t="shared" si="52"/>
        <v>#DIV/0!</v>
      </c>
      <c r="AL179" s="14">
        <f t="shared" si="53"/>
        <v>-1</v>
      </c>
    </row>
    <row r="180" spans="1:38" x14ac:dyDescent="0.3">
      <c r="A180" s="63">
        <v>45835</v>
      </c>
      <c r="B180" s="3">
        <v>45550137</v>
      </c>
      <c r="C180" s="3">
        <f t="shared" si="54"/>
        <v>3003218.9655172415</v>
      </c>
      <c r="D180" s="4">
        <f>+Tabla22[[#This Row],[Share diario]]</f>
        <v>3.0603436034498083E-2</v>
      </c>
      <c r="E180" s="3">
        <f>+Tabla22[[#This Row],[Global 2026]]</f>
        <v>0</v>
      </c>
      <c r="F180" s="7">
        <v>46199</v>
      </c>
      <c r="G180" s="3">
        <f>+Tabla2[[#This Row],[Meta Digital]]+Tabla2[[#This Row],[Meta MKPlace]]</f>
        <v>4611941.7724224813</v>
      </c>
      <c r="H180" s="3">
        <v>3490325.8417581269</v>
      </c>
      <c r="I180" s="3">
        <v>1121615.9306643547</v>
      </c>
      <c r="J180" s="3">
        <v>2155899</v>
      </c>
      <c r="K180" s="3">
        <f>+Tabla22[[#This Row],[Web + APP 2026]]</f>
        <v>0</v>
      </c>
      <c r="L180" s="3">
        <v>39018.965517241362</v>
      </c>
      <c r="M180" s="3">
        <f>+Tabla22[[#This Row],[Afiliados 2026]]</f>
        <v>0</v>
      </c>
      <c r="N180" s="3">
        <v>39894</v>
      </c>
      <c r="O180" s="3">
        <f>+Tabla22[[#This Row],[TMK 2026]]</f>
        <v>0</v>
      </c>
      <c r="P180" s="3">
        <v>8661</v>
      </c>
      <c r="Q180" s="3">
        <f>+Tabla22[[#This Row],[WA 2026]]</f>
        <v>0</v>
      </c>
      <c r="R180" s="3">
        <v>57827</v>
      </c>
      <c r="S180" s="3">
        <f>+Tabla22[[#This Row],[Ent. en Tienda 2026]]</f>
        <v>0</v>
      </c>
      <c r="T180" s="3">
        <v>506732</v>
      </c>
      <c r="U180" s="3">
        <f>+Tabla22[[#This Row],[Meli Drop 2026]]</f>
        <v>0</v>
      </c>
      <c r="V180" s="3">
        <v>154811</v>
      </c>
      <c r="W180" s="3">
        <f>+Tabla22[[#This Row],[Meli Full 2026]]</f>
        <v>0</v>
      </c>
      <c r="X180" s="3">
        <v>29295</v>
      </c>
      <c r="Y180" s="3">
        <f>+Tabla22[[#This Row],[Amazon Drop 2026]]</f>
        <v>0</v>
      </c>
      <c r="Z180" s="3">
        <v>11081</v>
      </c>
      <c r="AA180" s="3">
        <f>+Tabla22[[#This Row],[Amazon Full 2026]]</f>
        <v>0</v>
      </c>
      <c r="AB180" s="3">
        <v>0</v>
      </c>
      <c r="AC180" s="3">
        <f>+Tabla22[[#This Row],[TikTok 2026]]</f>
        <v>0</v>
      </c>
      <c r="AD180" s="3">
        <v>0</v>
      </c>
      <c r="AE180" s="3">
        <f>+Tabla22[[#This Row],[Shein 2026]]</f>
        <v>0</v>
      </c>
      <c r="AF180" s="5">
        <f t="shared" si="55"/>
        <v>0</v>
      </c>
      <c r="AG180" s="4">
        <f t="shared" si="56"/>
        <v>0</v>
      </c>
      <c r="AH180" s="5">
        <f t="shared" si="57"/>
        <v>-4611941.7724224813</v>
      </c>
      <c r="AI180" s="17">
        <f t="shared" si="50"/>
        <v>-1</v>
      </c>
      <c r="AJ180" s="17">
        <f t="shared" si="51"/>
        <v>6.5932160983780172E-2</v>
      </c>
      <c r="AK180" s="14" t="e">
        <f t="shared" si="52"/>
        <v>#DIV/0!</v>
      </c>
      <c r="AL180" s="14">
        <f t="shared" si="53"/>
        <v>-1</v>
      </c>
    </row>
    <row r="181" spans="1:38" x14ac:dyDescent="0.3">
      <c r="A181" s="7">
        <v>45836</v>
      </c>
      <c r="B181" s="3">
        <v>52421787</v>
      </c>
      <c r="C181" s="3">
        <f t="shared" si="54"/>
        <v>2541734.4137931038</v>
      </c>
      <c r="D181" s="4">
        <f>+Tabla22[[#This Row],[Share diario]]</f>
        <v>2.5938547838940781E-2</v>
      </c>
      <c r="E181" s="3">
        <f>+Tabla22[[#This Row],[Global 2026]]</f>
        <v>0</v>
      </c>
      <c r="F181" s="7">
        <v>46200</v>
      </c>
      <c r="G181" s="3">
        <f>+Tabla2[[#This Row],[Meta Digital]]+Tabla2[[#This Row],[Meta MKPlace]]</f>
        <v>3908942.5174199017</v>
      </c>
      <c r="H181" s="3">
        <v>2958294.7391227223</v>
      </c>
      <c r="I181" s="3">
        <v>950647.77829717961</v>
      </c>
      <c r="J181" s="3">
        <v>1738073</v>
      </c>
      <c r="K181" s="3">
        <f>+Tabla22[[#This Row],[Web + APP 2026]]</f>
        <v>0</v>
      </c>
      <c r="L181" s="3">
        <v>45922.413793103435</v>
      </c>
      <c r="M181" s="3">
        <f>+Tabla22[[#This Row],[Afiliados 2026]]</f>
        <v>0</v>
      </c>
      <c r="N181" s="3">
        <v>20153</v>
      </c>
      <c r="O181" s="3">
        <f>+Tabla22[[#This Row],[TMK 2026]]</f>
        <v>0</v>
      </c>
      <c r="P181" s="3">
        <v>5603</v>
      </c>
      <c r="Q181" s="3">
        <f>+Tabla22[[#This Row],[WA 2026]]</f>
        <v>0</v>
      </c>
      <c r="R181" s="3">
        <v>54501</v>
      </c>
      <c r="S181" s="3">
        <f>+Tabla22[[#This Row],[Ent. en Tienda 2026]]</f>
        <v>0</v>
      </c>
      <c r="T181" s="3">
        <v>502302</v>
      </c>
      <c r="U181" s="3">
        <f>+Tabla22[[#This Row],[Meli Drop 2026]]</f>
        <v>0</v>
      </c>
      <c r="V181" s="3">
        <v>134913</v>
      </c>
      <c r="W181" s="3">
        <f>+Tabla22[[#This Row],[Meli Full 2026]]</f>
        <v>0</v>
      </c>
      <c r="X181" s="3">
        <v>29728</v>
      </c>
      <c r="Y181" s="3">
        <f>+Tabla22[[#This Row],[Amazon Drop 2026]]</f>
        <v>0</v>
      </c>
      <c r="Z181" s="3">
        <v>10539</v>
      </c>
      <c r="AA181" s="3">
        <f>+Tabla22[[#This Row],[Amazon Full 2026]]</f>
        <v>0</v>
      </c>
      <c r="AB181" s="3">
        <v>0</v>
      </c>
      <c r="AC181" s="3">
        <f>+Tabla22[[#This Row],[TikTok 2026]]</f>
        <v>0</v>
      </c>
      <c r="AD181" s="3">
        <v>0</v>
      </c>
      <c r="AE181" s="3">
        <f>+Tabla22[[#This Row],[Shein 2026]]</f>
        <v>0</v>
      </c>
      <c r="AF181" s="5">
        <f t="shared" si="55"/>
        <v>0</v>
      </c>
      <c r="AG181" s="4">
        <f t="shared" si="56"/>
        <v>0</v>
      </c>
      <c r="AH181" s="5">
        <f t="shared" si="57"/>
        <v>-3908942.5174199017</v>
      </c>
      <c r="AI181" s="17">
        <f t="shared" si="50"/>
        <v>-1</v>
      </c>
      <c r="AJ181" s="17">
        <f t="shared" si="51"/>
        <v>4.8486222222701103E-2</v>
      </c>
      <c r="AK181" s="14" t="e">
        <f t="shared" si="52"/>
        <v>#DIV/0!</v>
      </c>
      <c r="AL181" s="14">
        <f t="shared" si="53"/>
        <v>-1</v>
      </c>
    </row>
    <row r="182" spans="1:38" x14ac:dyDescent="0.3">
      <c r="A182" s="63">
        <v>45837</v>
      </c>
      <c r="B182" s="3">
        <v>53869935</v>
      </c>
      <c r="C182" s="3">
        <f t="shared" si="54"/>
        <v>2780664.7586206896</v>
      </c>
      <c r="D182" s="4">
        <f>+Tabla22[[#This Row],[Share diario]]</f>
        <v>2.1952744852455224E-2</v>
      </c>
      <c r="E182" s="3">
        <f>+Tabla22[[#This Row],[Global 2026]]</f>
        <v>0</v>
      </c>
      <c r="F182" s="7">
        <v>46201</v>
      </c>
      <c r="G182" s="3">
        <f>+Tabla2[[#This Row],[Meta Digital]]+Tabla2[[#This Row],[Meta MKPlace]]</f>
        <v>3308281.4913410861</v>
      </c>
      <c r="H182" s="3">
        <v>2503713.3924986022</v>
      </c>
      <c r="I182" s="3">
        <v>804568.09884248395</v>
      </c>
      <c r="J182" s="3">
        <v>2175842</v>
      </c>
      <c r="K182" s="3">
        <f>+Tabla22[[#This Row],[Web + APP 2026]]</f>
        <v>0</v>
      </c>
      <c r="L182" s="3">
        <v>46807.758620689638</v>
      </c>
      <c r="M182" s="3">
        <f>+Tabla22[[#This Row],[Afiliados 2026]]</f>
        <v>0</v>
      </c>
      <c r="N182" s="3">
        <v>7774</v>
      </c>
      <c r="O182" s="3">
        <f>+Tabla22[[#This Row],[TMK 2026]]</f>
        <v>0</v>
      </c>
      <c r="P182" s="3">
        <v>4942</v>
      </c>
      <c r="Q182" s="3">
        <f>+Tabla22[[#This Row],[WA 2026]]</f>
        <v>0</v>
      </c>
      <c r="R182" s="3">
        <v>107553</v>
      </c>
      <c r="S182" s="3">
        <f>+Tabla22[[#This Row],[Ent. en Tienda 2026]]</f>
        <v>0</v>
      </c>
      <c r="T182" s="3">
        <v>253751</v>
      </c>
      <c r="U182" s="3">
        <f>+Tabla22[[#This Row],[Meli Drop 2026]]</f>
        <v>0</v>
      </c>
      <c r="V182" s="3">
        <v>130575</v>
      </c>
      <c r="W182" s="3">
        <f>+Tabla22[[#This Row],[Meli Full 2026]]</f>
        <v>0</v>
      </c>
      <c r="X182" s="3">
        <v>43414</v>
      </c>
      <c r="Y182" s="3">
        <f>+Tabla22[[#This Row],[Amazon Drop 2026]]</f>
        <v>0</v>
      </c>
      <c r="Z182" s="3">
        <v>10006</v>
      </c>
      <c r="AA182" s="3">
        <f>+Tabla22[[#This Row],[Amazon Full 2026]]</f>
        <v>0</v>
      </c>
      <c r="AB182" s="3">
        <v>0</v>
      </c>
      <c r="AC182" s="3">
        <f>+Tabla22[[#This Row],[TikTok 2026]]</f>
        <v>0</v>
      </c>
      <c r="AD182" s="3">
        <v>0</v>
      </c>
      <c r="AE182" s="3">
        <f>+Tabla22[[#This Row],[Shein 2026]]</f>
        <v>0</v>
      </c>
      <c r="AF182" s="5">
        <f t="shared" si="55"/>
        <v>0</v>
      </c>
      <c r="AG182" s="4">
        <f t="shared" si="56"/>
        <v>0</v>
      </c>
      <c r="AH182" s="5">
        <f t="shared" si="57"/>
        <v>-3308281.4913410861</v>
      </c>
      <c r="AI182" s="17">
        <f t="shared" si="50"/>
        <v>-1</v>
      </c>
      <c r="AJ182" s="17">
        <f t="shared" si="51"/>
        <v>5.1618119803201724E-2</v>
      </c>
      <c r="AK182" s="14" t="e">
        <f t="shared" si="52"/>
        <v>#DIV/0!</v>
      </c>
      <c r="AL182" s="14">
        <f t="shared" si="53"/>
        <v>-1</v>
      </c>
    </row>
    <row r="183" spans="1:38" x14ac:dyDescent="0.3">
      <c r="A183" s="7">
        <v>45838</v>
      </c>
      <c r="B183" s="3">
        <v>31090588</v>
      </c>
      <c r="C183" s="3">
        <f t="shared" si="54"/>
        <v>4938052.4137931038</v>
      </c>
      <c r="D183" s="4">
        <f>+Tabla22[[#This Row],[Share diario]]</f>
        <v>2.401636600384122E-2</v>
      </c>
      <c r="E183" s="3">
        <f>+Tabla22[[#This Row],[Global 2026]]</f>
        <v>0</v>
      </c>
      <c r="F183" s="7">
        <v>46202</v>
      </c>
      <c r="G183" s="3">
        <f>+Tabla2[[#This Row],[Meta Digital]]+Tabla2[[#This Row],[Meta MKPlace]]</f>
        <v>3619269.4660182809</v>
      </c>
      <c r="H183" s="3">
        <v>2739069.6519775004</v>
      </c>
      <c r="I183" s="3">
        <v>880199.81404078065</v>
      </c>
      <c r="J183" s="3">
        <v>3654183</v>
      </c>
      <c r="K183" s="3">
        <f>+Tabla22[[#This Row],[Web + APP 2026]]</f>
        <v>0</v>
      </c>
      <c r="L183" s="3">
        <v>47272.41379310342</v>
      </c>
      <c r="M183" s="3">
        <f>+Tabla22[[#This Row],[Afiliados 2026]]</f>
        <v>0</v>
      </c>
      <c r="N183" s="3">
        <v>48765</v>
      </c>
      <c r="O183" s="3">
        <f>+Tabla22[[#This Row],[TMK 2026]]</f>
        <v>0</v>
      </c>
      <c r="P183" s="3">
        <v>11584</v>
      </c>
      <c r="Q183" s="3">
        <f>+Tabla22[[#This Row],[WA 2026]]</f>
        <v>0</v>
      </c>
      <c r="R183" s="3">
        <v>80803</v>
      </c>
      <c r="S183" s="3">
        <f>+Tabla22[[#This Row],[Ent. en Tienda 2026]]</f>
        <v>0</v>
      </c>
      <c r="T183" s="3">
        <v>907574</v>
      </c>
      <c r="U183" s="3">
        <f>+Tabla22[[#This Row],[Meli Drop 2026]]</f>
        <v>0</v>
      </c>
      <c r="V183" s="3">
        <v>118765</v>
      </c>
      <c r="W183" s="3">
        <f>+Tabla22[[#This Row],[Meli Full 2026]]</f>
        <v>0</v>
      </c>
      <c r="X183" s="3">
        <v>58578</v>
      </c>
      <c r="Y183" s="3">
        <f>+Tabla22[[#This Row],[Amazon Drop 2026]]</f>
        <v>0</v>
      </c>
      <c r="Z183" s="3">
        <v>10528</v>
      </c>
      <c r="AA183" s="3">
        <f>+Tabla22[[#This Row],[Amazon Full 2026]]</f>
        <v>0</v>
      </c>
      <c r="AB183" s="3">
        <v>0</v>
      </c>
      <c r="AC183" s="3">
        <f>+Tabla22[[#This Row],[TikTok 2026]]</f>
        <v>0</v>
      </c>
      <c r="AD183" s="3">
        <v>0</v>
      </c>
      <c r="AE183" s="3">
        <f>+Tabla22[[#This Row],[Shein 2026]]</f>
        <v>0</v>
      </c>
      <c r="AF183" s="5">
        <f t="shared" si="55"/>
        <v>0</v>
      </c>
      <c r="AG183" s="4">
        <f t="shared" si="56"/>
        <v>0</v>
      </c>
      <c r="AH183" s="5">
        <f t="shared" si="57"/>
        <v>-3619269.4660182809</v>
      </c>
      <c r="AI183" s="17">
        <f t="shared" si="50"/>
        <v>-1</v>
      </c>
      <c r="AJ183" s="17">
        <f t="shared" si="51"/>
        <v>0.15882788751994989</v>
      </c>
      <c r="AK183" s="14" t="e">
        <f t="shared" si="52"/>
        <v>#DIV/0!</v>
      </c>
      <c r="AL183" s="14">
        <f t="shared" si="53"/>
        <v>-1</v>
      </c>
    </row>
    <row r="184" spans="1:38" x14ac:dyDescent="0.3">
      <c r="A184" s="63">
        <v>45839</v>
      </c>
      <c r="B184" s="3">
        <v>35520249</v>
      </c>
      <c r="C184" s="3">
        <f t="shared" si="54"/>
        <v>4679845.4137931038</v>
      </c>
      <c r="D184" s="4">
        <f>+Tabla22[[#This Row],[Share diario]]</f>
        <v>4.2649540455439054E-2</v>
      </c>
      <c r="E184" s="3">
        <f>+Tabla22[[#This Row],[Global 2026]]</f>
        <v>0</v>
      </c>
      <c r="F184" s="7">
        <v>46203</v>
      </c>
      <c r="G184" s="3">
        <f>+Tabla2[[#This Row],[Meta Digital]]+Tabla2[[#This Row],[Meta MKPlace]]</f>
        <v>6427291.2681874242</v>
      </c>
      <c r="H184" s="3">
        <v>4864185.6104955832</v>
      </c>
      <c r="I184" s="3">
        <v>1563105.6576918412</v>
      </c>
      <c r="J184" s="3">
        <v>3679795</v>
      </c>
      <c r="K184" s="3">
        <f>+Tabla22[[#This Row],[Web + APP 2026]]</f>
        <v>0</v>
      </c>
      <c r="L184" s="3">
        <v>42322.41379310342</v>
      </c>
      <c r="M184" s="3">
        <f>+Tabla22[[#This Row],[Afiliados 2026]]</f>
        <v>0</v>
      </c>
      <c r="N184" s="3">
        <v>86850</v>
      </c>
      <c r="O184" s="3">
        <f>+Tabla22[[#This Row],[TMK 2026]]</f>
        <v>0</v>
      </c>
      <c r="P184" s="3">
        <v>9893</v>
      </c>
      <c r="Q184" s="3">
        <f>+Tabla22[[#This Row],[WA 2026]]</f>
        <v>0</v>
      </c>
      <c r="R184" s="3">
        <v>74174</v>
      </c>
      <c r="S184" s="3">
        <f>+Tabla22[[#This Row],[Ent. en Tienda 2026]]</f>
        <v>0</v>
      </c>
      <c r="T184" s="3">
        <v>622788</v>
      </c>
      <c r="U184" s="3">
        <f>+Tabla22[[#This Row],[Meli Drop 2026]]</f>
        <v>0</v>
      </c>
      <c r="V184" s="3">
        <v>102657</v>
      </c>
      <c r="W184" s="3">
        <f>+Tabla22[[#This Row],[Meli Full 2026]]</f>
        <v>0</v>
      </c>
      <c r="X184" s="3">
        <v>47524</v>
      </c>
      <c r="Y184" s="3">
        <f>+Tabla22[[#This Row],[Amazon Drop 2026]]</f>
        <v>0</v>
      </c>
      <c r="Z184" s="3">
        <v>13842</v>
      </c>
      <c r="AA184" s="3">
        <f>+Tabla22[[#This Row],[Amazon Full 2026]]</f>
        <v>0</v>
      </c>
      <c r="AB184" s="3">
        <v>0</v>
      </c>
      <c r="AC184" s="3">
        <f>+Tabla22[[#This Row],[TikTok 2026]]</f>
        <v>0</v>
      </c>
      <c r="AD184" s="3">
        <v>0</v>
      </c>
      <c r="AE184" s="3">
        <f>+Tabla22[[#This Row],[Shein 2026]]</f>
        <v>0</v>
      </c>
      <c r="AF184" s="5">
        <f t="shared" si="55"/>
        <v>0</v>
      </c>
      <c r="AG184" s="4">
        <f t="shared" si="56"/>
        <v>0</v>
      </c>
      <c r="AH184" s="5">
        <f t="shared" si="57"/>
        <v>-6427291.2681874242</v>
      </c>
      <c r="AI184" s="17">
        <f t="shared" si="50"/>
        <v>-1</v>
      </c>
      <c r="AJ184" s="17">
        <f t="shared" si="51"/>
        <v>0.13175148107191206</v>
      </c>
      <c r="AK184" s="14" t="e">
        <f t="shared" si="52"/>
        <v>#DIV/0!</v>
      </c>
      <c r="AL184" s="14">
        <f t="shared" si="53"/>
        <v>-1</v>
      </c>
    </row>
    <row r="185" spans="1:38" x14ac:dyDescent="0.3">
      <c r="A185" s="7">
        <v>45840</v>
      </c>
      <c r="B185" s="3">
        <v>37199061</v>
      </c>
      <c r="C185" s="3">
        <f t="shared" si="54"/>
        <v>4524076.3103448274</v>
      </c>
      <c r="D185" s="4">
        <f>+Tabla22[[#This Row],[Share diario]]</f>
        <v>4.0509870767977997E-2</v>
      </c>
      <c r="E185" s="3">
        <f>+Tabla22[[#This Row],[Global 2026]]</f>
        <v>0</v>
      </c>
      <c r="F185" s="7">
        <v>46204</v>
      </c>
      <c r="G185" s="3">
        <f>+Tabla2[[#This Row],[Meta Digital]]+Tabla2[[#This Row],[Meta MKPlace]]</f>
        <v>6105570.618243413</v>
      </c>
      <c r="H185" s="3">
        <v>4829509.6890521059</v>
      </c>
      <c r="I185" s="3">
        <v>1276060.9291913069</v>
      </c>
      <c r="J185" s="3">
        <v>3685044</v>
      </c>
      <c r="K185" s="3">
        <f>+Tabla22[[#This Row],[Web + APP 2026]]</f>
        <v>0</v>
      </c>
      <c r="L185" s="3">
        <v>36679.310344827565</v>
      </c>
      <c r="M185" s="3">
        <f>+Tabla22[[#This Row],[Afiliados 2026]]</f>
        <v>0</v>
      </c>
      <c r="N185" s="3">
        <v>54428</v>
      </c>
      <c r="O185" s="3">
        <f>+Tabla22[[#This Row],[TMK 2026]]</f>
        <v>0</v>
      </c>
      <c r="P185" s="3">
        <v>10227</v>
      </c>
      <c r="Q185" s="3">
        <f>+Tabla22[[#This Row],[WA 2026]]</f>
        <v>0</v>
      </c>
      <c r="R185" s="3">
        <v>69019</v>
      </c>
      <c r="S185" s="3">
        <f>+Tabla22[[#This Row],[Ent. en Tienda 2026]]</f>
        <v>0</v>
      </c>
      <c r="T185" s="3">
        <v>520885</v>
      </c>
      <c r="U185" s="3">
        <f>+Tabla22[[#This Row],[Meli Drop 2026]]</f>
        <v>0</v>
      </c>
      <c r="V185" s="3">
        <v>97656</v>
      </c>
      <c r="W185" s="3">
        <f>+Tabla22[[#This Row],[Meli Full 2026]]</f>
        <v>0</v>
      </c>
      <c r="X185" s="3">
        <v>41854</v>
      </c>
      <c r="Y185" s="3">
        <f>+Tabla22[[#This Row],[Amazon Drop 2026]]</f>
        <v>0</v>
      </c>
      <c r="Z185" s="3">
        <v>8284</v>
      </c>
      <c r="AA185" s="3">
        <f>+Tabla22[[#This Row],[Amazon Full 2026]]</f>
        <v>0</v>
      </c>
      <c r="AB185" s="3">
        <v>0</v>
      </c>
      <c r="AC185" s="3">
        <f>+Tabla22[[#This Row],[TikTok 2026]]</f>
        <v>0</v>
      </c>
      <c r="AD185" s="3">
        <v>0</v>
      </c>
      <c r="AE185" s="3">
        <f>+Tabla22[[#This Row],[Shein 2026]]</f>
        <v>0</v>
      </c>
      <c r="AF185" s="5">
        <f t="shared" si="55"/>
        <v>0</v>
      </c>
      <c r="AG185" s="4">
        <f t="shared" si="56"/>
        <v>0</v>
      </c>
      <c r="AH185" s="5">
        <f t="shared" si="57"/>
        <v>-6105570.618243413</v>
      </c>
      <c r="AI185" s="17">
        <f t="shared" si="50"/>
        <v>-1</v>
      </c>
      <c r="AJ185" s="17">
        <f t="shared" si="51"/>
        <v>0.12161802445348896</v>
      </c>
      <c r="AK185" s="14" t="e">
        <f t="shared" si="52"/>
        <v>#DIV/0!</v>
      </c>
      <c r="AL185" s="14">
        <f t="shared" si="53"/>
        <v>-1</v>
      </c>
    </row>
    <row r="186" spans="1:38" x14ac:dyDescent="0.3">
      <c r="A186" s="63">
        <v>45841</v>
      </c>
      <c r="B186" s="3">
        <v>43524406</v>
      </c>
      <c r="C186" s="3">
        <f t="shared" si="54"/>
        <v>3572178.5517241377</v>
      </c>
      <c r="D186" s="4">
        <f>+Tabla22[[#This Row],[Share diario]]</f>
        <v>3.916149583411048E-2</v>
      </c>
      <c r="E186" s="3">
        <f>+Tabla22[[#This Row],[Global 2026]]</f>
        <v>0</v>
      </c>
      <c r="F186" s="7">
        <v>46205</v>
      </c>
      <c r="G186" s="3">
        <f>+Tabla2[[#This Row],[Meta Digital]]+Tabla2[[#This Row],[Meta MKPlace]]</f>
        <v>5902346.1146218153</v>
      </c>
      <c r="H186" s="3">
        <v>4668758.9958473351</v>
      </c>
      <c r="I186" s="3">
        <v>1233587.1187744802</v>
      </c>
      <c r="J186" s="3">
        <v>2698039</v>
      </c>
      <c r="K186" s="3">
        <f>+Tabla22[[#This Row],[Web + APP 2026]]</f>
        <v>0</v>
      </c>
      <c r="L186" s="3">
        <v>35471.55172413792</v>
      </c>
      <c r="M186" s="3">
        <f>+Tabla22[[#This Row],[Afiliados 2026]]</f>
        <v>0</v>
      </c>
      <c r="N186" s="3">
        <v>41667</v>
      </c>
      <c r="O186" s="3">
        <f>+Tabla22[[#This Row],[TMK 2026]]</f>
        <v>0</v>
      </c>
      <c r="P186" s="3">
        <v>9394</v>
      </c>
      <c r="Q186" s="3">
        <f>+Tabla22[[#This Row],[WA 2026]]</f>
        <v>0</v>
      </c>
      <c r="R186" s="3">
        <v>92502</v>
      </c>
      <c r="S186" s="3">
        <f>+Tabla22[[#This Row],[Ent. en Tienda 2026]]</f>
        <v>0</v>
      </c>
      <c r="T186" s="3">
        <v>552929</v>
      </c>
      <c r="U186" s="3">
        <f>+Tabla22[[#This Row],[Meli Drop 2026]]</f>
        <v>0</v>
      </c>
      <c r="V186" s="3">
        <v>93404</v>
      </c>
      <c r="W186" s="3">
        <f>+Tabla22[[#This Row],[Meli Full 2026]]</f>
        <v>0</v>
      </c>
      <c r="X186" s="3">
        <v>39271</v>
      </c>
      <c r="Y186" s="3">
        <f>+Tabla22[[#This Row],[Amazon Drop 2026]]</f>
        <v>0</v>
      </c>
      <c r="Z186" s="3">
        <v>9501</v>
      </c>
      <c r="AA186" s="3">
        <f>+Tabla22[[#This Row],[Amazon Full 2026]]</f>
        <v>0</v>
      </c>
      <c r="AB186" s="3">
        <v>0</v>
      </c>
      <c r="AC186" s="3">
        <f>+Tabla22[[#This Row],[TikTok 2026]]</f>
        <v>0</v>
      </c>
      <c r="AD186" s="3">
        <v>0</v>
      </c>
      <c r="AE186" s="3">
        <f>+Tabla22[[#This Row],[Shein 2026]]</f>
        <v>0</v>
      </c>
      <c r="AF186" s="5">
        <f t="shared" si="55"/>
        <v>0</v>
      </c>
      <c r="AG186" s="4">
        <f t="shared" si="56"/>
        <v>0</v>
      </c>
      <c r="AH186" s="5">
        <f t="shared" si="57"/>
        <v>-5902346.1146218153</v>
      </c>
      <c r="AI186" s="17">
        <f t="shared" si="50"/>
        <v>-1</v>
      </c>
      <c r="AJ186" s="17">
        <f t="shared" si="51"/>
        <v>8.2072999496515531E-2</v>
      </c>
      <c r="AK186" s="14" t="e">
        <f t="shared" si="52"/>
        <v>#DIV/0!</v>
      </c>
      <c r="AL186" s="14">
        <f t="shared" si="53"/>
        <v>-1</v>
      </c>
    </row>
    <row r="187" spans="1:38" x14ac:dyDescent="0.3">
      <c r="A187" s="7">
        <v>45842</v>
      </c>
      <c r="B187" s="3">
        <v>42164351</v>
      </c>
      <c r="C187" s="3">
        <f t="shared" si="54"/>
        <v>2896851.1379310344</v>
      </c>
      <c r="D187" s="4">
        <f>+Tabla22[[#This Row],[Share diario]]</f>
        <v>3.0921639219958472E-2</v>
      </c>
      <c r="E187" s="3">
        <f>+Tabla22[[#This Row],[Global 2026]]</f>
        <v>0</v>
      </c>
      <c r="F187" s="7">
        <v>46206</v>
      </c>
      <c r="G187" s="3">
        <f>+Tabla2[[#This Row],[Meta Digital]]+Tabla2[[#This Row],[Meta MKPlace]]</f>
        <v>4660450.6089547584</v>
      </c>
      <c r="H187" s="3">
        <v>3686418.9735260666</v>
      </c>
      <c r="I187" s="3">
        <v>974031.63542869186</v>
      </c>
      <c r="J187" s="3">
        <v>2179555</v>
      </c>
      <c r="K187" s="3">
        <f>+Tabla22[[#This Row],[Web + APP 2026]]</f>
        <v>0</v>
      </c>
      <c r="L187" s="3">
        <v>32924.137931034464</v>
      </c>
      <c r="M187" s="3">
        <f>+Tabla22[[#This Row],[Afiliados 2026]]</f>
        <v>0</v>
      </c>
      <c r="N187" s="3">
        <v>12896</v>
      </c>
      <c r="O187" s="3">
        <f>+Tabla22[[#This Row],[TMK 2026]]</f>
        <v>0</v>
      </c>
      <c r="P187" s="3">
        <v>-1764</v>
      </c>
      <c r="Q187" s="3">
        <f>+Tabla22[[#This Row],[WA 2026]]</f>
        <v>0</v>
      </c>
      <c r="R187" s="3">
        <v>107559</v>
      </c>
      <c r="S187" s="3">
        <f>+Tabla22[[#This Row],[Ent. en Tienda 2026]]</f>
        <v>0</v>
      </c>
      <c r="T187" s="3">
        <v>416715</v>
      </c>
      <c r="U187" s="3">
        <f>+Tabla22[[#This Row],[Meli Drop 2026]]</f>
        <v>0</v>
      </c>
      <c r="V187" s="3">
        <v>115888</v>
      </c>
      <c r="W187" s="3">
        <f>+Tabla22[[#This Row],[Meli Full 2026]]</f>
        <v>0</v>
      </c>
      <c r="X187" s="3">
        <v>27713</v>
      </c>
      <c r="Y187" s="3">
        <f>+Tabla22[[#This Row],[Amazon Drop 2026]]</f>
        <v>0</v>
      </c>
      <c r="Z187" s="3">
        <v>5365</v>
      </c>
      <c r="AA187" s="3">
        <f>+Tabla22[[#This Row],[Amazon Full 2026]]</f>
        <v>0</v>
      </c>
      <c r="AB187" s="3">
        <v>0</v>
      </c>
      <c r="AC187" s="3">
        <f>+Tabla22[[#This Row],[TikTok 2026]]</f>
        <v>0</v>
      </c>
      <c r="AD187" s="3">
        <v>0</v>
      </c>
      <c r="AE187" s="3">
        <f>+Tabla22[[#This Row],[Shein 2026]]</f>
        <v>0</v>
      </c>
      <c r="AF187" s="5">
        <f t="shared" si="55"/>
        <v>0</v>
      </c>
      <c r="AG187" s="4">
        <f t="shared" si="56"/>
        <v>0</v>
      </c>
      <c r="AH187" s="5">
        <f t="shared" si="57"/>
        <v>-4660450.6089547584</v>
      </c>
      <c r="AI187" s="17">
        <f t="shared" si="50"/>
        <v>-1</v>
      </c>
      <c r="AJ187" s="17">
        <f t="shared" si="51"/>
        <v>6.8703799992819392E-2</v>
      </c>
      <c r="AK187" s="14" t="e">
        <f t="shared" si="52"/>
        <v>#DIV/0!</v>
      </c>
      <c r="AL187" s="14">
        <f t="shared" si="53"/>
        <v>-1</v>
      </c>
    </row>
    <row r="188" spans="1:38" x14ac:dyDescent="0.3">
      <c r="A188" s="63">
        <v>45843</v>
      </c>
      <c r="B188" s="3">
        <v>52117301</v>
      </c>
      <c r="C188" s="3">
        <f t="shared" si="54"/>
        <v>2366371.1379310344</v>
      </c>
      <c r="D188" s="4">
        <f>+Tabla22[[#This Row],[Share diario]]</f>
        <v>2.5075842224570606E-2</v>
      </c>
      <c r="E188" s="3">
        <f>+Tabla22[[#This Row],[Global 2026]]</f>
        <v>0</v>
      </c>
      <c r="F188" s="7">
        <v>46207</v>
      </c>
      <c r="G188" s="3">
        <f>+Tabla2[[#This Row],[Meta Digital]]+Tabla2[[#This Row],[Meta MKPlace]]</f>
        <v>3779383.2123273341</v>
      </c>
      <c r="H188" s="3">
        <v>2989494.1822533598</v>
      </c>
      <c r="I188" s="3">
        <v>789889.03007397405</v>
      </c>
      <c r="J188" s="3">
        <v>1713969</v>
      </c>
      <c r="K188" s="3">
        <f>+Tabla22[[#This Row],[Web + APP 2026]]</f>
        <v>0</v>
      </c>
      <c r="L188" s="3">
        <v>35299.137931034464</v>
      </c>
      <c r="M188" s="3">
        <f>+Tabla22[[#This Row],[Afiliados 2026]]</f>
        <v>0</v>
      </c>
      <c r="N188" s="3">
        <v>11072</v>
      </c>
      <c r="O188" s="3">
        <f>+Tabla22[[#This Row],[TMK 2026]]</f>
        <v>0</v>
      </c>
      <c r="P188" s="3">
        <v>8150</v>
      </c>
      <c r="Q188" s="3">
        <f>+Tabla22[[#This Row],[WA 2026]]</f>
        <v>0</v>
      </c>
      <c r="R188" s="3">
        <v>64081</v>
      </c>
      <c r="S188" s="3">
        <f>+Tabla22[[#This Row],[Ent. en Tienda 2026]]</f>
        <v>0</v>
      </c>
      <c r="T188" s="3">
        <v>404189</v>
      </c>
      <c r="U188" s="3">
        <f>+Tabla22[[#This Row],[Meli Drop 2026]]</f>
        <v>0</v>
      </c>
      <c r="V188" s="3">
        <v>108332</v>
      </c>
      <c r="W188" s="3">
        <f>+Tabla22[[#This Row],[Meli Full 2026]]</f>
        <v>0</v>
      </c>
      <c r="X188" s="3">
        <v>16902</v>
      </c>
      <c r="Y188" s="3">
        <f>+Tabla22[[#This Row],[Amazon Drop 2026]]</f>
        <v>0</v>
      </c>
      <c r="Z188" s="3">
        <v>4377</v>
      </c>
      <c r="AA188" s="3">
        <f>+Tabla22[[#This Row],[Amazon Full 2026]]</f>
        <v>0</v>
      </c>
      <c r="AB188" s="3">
        <v>0</v>
      </c>
      <c r="AC188" s="3">
        <f>+Tabla22[[#This Row],[TikTok 2026]]</f>
        <v>0</v>
      </c>
      <c r="AD188" s="3">
        <v>0</v>
      </c>
      <c r="AE188" s="3">
        <f>+Tabla22[[#This Row],[Shein 2026]]</f>
        <v>0</v>
      </c>
      <c r="AF188" s="5">
        <f t="shared" si="55"/>
        <v>0</v>
      </c>
      <c r="AG188" s="4">
        <f t="shared" si="56"/>
        <v>0</v>
      </c>
      <c r="AH188" s="5">
        <f t="shared" si="57"/>
        <v>-3779383.2123273341</v>
      </c>
      <c r="AI188" s="17">
        <f t="shared" si="50"/>
        <v>-1</v>
      </c>
      <c r="AJ188" s="17">
        <f t="shared" si="51"/>
        <v>4.5404713838328552E-2</v>
      </c>
      <c r="AK188" s="14" t="e">
        <f t="shared" si="52"/>
        <v>#DIV/0!</v>
      </c>
      <c r="AL188" s="14">
        <f t="shared" si="53"/>
        <v>-1</v>
      </c>
    </row>
    <row r="189" spans="1:38" x14ac:dyDescent="0.3">
      <c r="A189" s="7">
        <v>45844</v>
      </c>
      <c r="B189" s="3">
        <v>52957760</v>
      </c>
      <c r="C189" s="3">
        <f t="shared" si="54"/>
        <v>2778413.5172413792</v>
      </c>
      <c r="D189" s="4">
        <f>+Tabla22[[#This Row],[Share diario]]</f>
        <v>2.0483879382879395E-2</v>
      </c>
      <c r="E189" s="3">
        <f>+Tabla22[[#This Row],[Global 2026]]</f>
        <v>0</v>
      </c>
      <c r="F189" s="7">
        <v>46208</v>
      </c>
      <c r="G189" s="3">
        <f>+Tabla2[[#This Row],[Meta Digital]]+Tabla2[[#This Row],[Meta MKPlace]]</f>
        <v>3087291.3128770511</v>
      </c>
      <c r="H189" s="3">
        <v>2442049.11231635</v>
      </c>
      <c r="I189" s="3">
        <v>645242.20056070096</v>
      </c>
      <c r="J189" s="3">
        <v>2262588</v>
      </c>
      <c r="K189" s="3">
        <f>+Tabla22[[#This Row],[Web + APP 2026]]</f>
        <v>0</v>
      </c>
      <c r="L189" s="3">
        <v>39215.51724137929</v>
      </c>
      <c r="M189" s="3">
        <f>+Tabla22[[#This Row],[Afiliados 2026]]</f>
        <v>0</v>
      </c>
      <c r="N189" s="3">
        <v>24461</v>
      </c>
      <c r="O189" s="3">
        <f>+Tabla22[[#This Row],[TMK 2026]]</f>
        <v>0</v>
      </c>
      <c r="P189" s="3">
        <v>3632</v>
      </c>
      <c r="Q189" s="3">
        <f>+Tabla22[[#This Row],[WA 2026]]</f>
        <v>0</v>
      </c>
      <c r="R189" s="3">
        <v>74909</v>
      </c>
      <c r="S189" s="3">
        <f>+Tabla22[[#This Row],[Ent. en Tienda 2026]]</f>
        <v>0</v>
      </c>
      <c r="T189" s="3">
        <v>230319</v>
      </c>
      <c r="U189" s="3">
        <f>+Tabla22[[#This Row],[Meli Drop 2026]]</f>
        <v>0</v>
      </c>
      <c r="V189" s="3">
        <v>105857</v>
      </c>
      <c r="W189" s="3">
        <f>+Tabla22[[#This Row],[Meli Full 2026]]</f>
        <v>0</v>
      </c>
      <c r="X189" s="3">
        <v>29115</v>
      </c>
      <c r="Y189" s="3">
        <f>+Tabla22[[#This Row],[Amazon Drop 2026]]</f>
        <v>0</v>
      </c>
      <c r="Z189" s="3">
        <v>8317</v>
      </c>
      <c r="AA189" s="3">
        <f>+Tabla22[[#This Row],[Amazon Full 2026]]</f>
        <v>0</v>
      </c>
      <c r="AB189" s="3">
        <v>0</v>
      </c>
      <c r="AC189" s="3">
        <f>+Tabla22[[#This Row],[TikTok 2026]]</f>
        <v>0</v>
      </c>
      <c r="AD189" s="3">
        <v>0</v>
      </c>
      <c r="AE189" s="3">
        <f>+Tabla22[[#This Row],[Shein 2026]]</f>
        <v>0</v>
      </c>
      <c r="AF189" s="5">
        <f t="shared" si="55"/>
        <v>0</v>
      </c>
      <c r="AG189" s="4">
        <f t="shared" si="56"/>
        <v>0</v>
      </c>
      <c r="AH189" s="5">
        <f t="shared" si="57"/>
        <v>-3087291.3128770511</v>
      </c>
      <c r="AI189" s="17">
        <f t="shared" si="50"/>
        <v>-1</v>
      </c>
      <c r="AJ189" s="17">
        <f t="shared" si="51"/>
        <v>5.2464709935642659E-2</v>
      </c>
      <c r="AK189" s="14" t="e">
        <f t="shared" si="52"/>
        <v>#DIV/0!</v>
      </c>
      <c r="AL189" s="14">
        <f t="shared" si="53"/>
        <v>-1</v>
      </c>
    </row>
    <row r="190" spans="1:38" x14ac:dyDescent="0.3">
      <c r="A190" s="63">
        <v>45845</v>
      </c>
      <c r="B190" s="3">
        <v>31819363</v>
      </c>
      <c r="C190" s="3">
        <f t="shared" si="54"/>
        <v>4749834.4482758623</v>
      </c>
      <c r="D190" s="4">
        <f>+Tabla22[[#This Row],[Share diario]]</f>
        <v>2.4050617610513119E-2</v>
      </c>
      <c r="E190" s="3">
        <f>+Tabla22[[#This Row],[Global 2026]]</f>
        <v>0</v>
      </c>
      <c r="F190" s="7">
        <v>46209</v>
      </c>
      <c r="G190" s="3">
        <f>+Tabla2[[#This Row],[Meta Digital]]+Tabla2[[#This Row],[Meta MKPlace]]</f>
        <v>3624863.3098437795</v>
      </c>
      <c r="H190" s="3">
        <v>2867268.8551126164</v>
      </c>
      <c r="I190" s="3">
        <v>757594.45473116322</v>
      </c>
      <c r="J190" s="3">
        <v>3483892</v>
      </c>
      <c r="K190" s="3">
        <f>+Tabla22[[#This Row],[Web + APP 2026]]</f>
        <v>0</v>
      </c>
      <c r="L190" s="3">
        <v>35553.448275862058</v>
      </c>
      <c r="M190" s="3">
        <f>+Tabla22[[#This Row],[Afiliados 2026]]</f>
        <v>0</v>
      </c>
      <c r="N190" s="3">
        <v>63151</v>
      </c>
      <c r="O190" s="3">
        <f>+Tabla22[[#This Row],[TMK 2026]]</f>
        <v>0</v>
      </c>
      <c r="P190" s="3">
        <v>5117</v>
      </c>
      <c r="Q190" s="3">
        <f>+Tabla22[[#This Row],[WA 2026]]</f>
        <v>0</v>
      </c>
      <c r="R190" s="3">
        <v>82044</v>
      </c>
      <c r="S190" s="3">
        <f>+Tabla22[[#This Row],[Ent. en Tienda 2026]]</f>
        <v>0</v>
      </c>
      <c r="T190" s="3">
        <v>867493</v>
      </c>
      <c r="U190" s="3">
        <f>+Tabla22[[#This Row],[Meli Drop 2026]]</f>
        <v>0</v>
      </c>
      <c r="V190" s="3">
        <v>163273</v>
      </c>
      <c r="W190" s="3">
        <f>+Tabla22[[#This Row],[Meli Full 2026]]</f>
        <v>0</v>
      </c>
      <c r="X190" s="3">
        <v>43008</v>
      </c>
      <c r="Y190" s="3">
        <f>+Tabla22[[#This Row],[Amazon Drop 2026]]</f>
        <v>0</v>
      </c>
      <c r="Z190" s="3">
        <v>6303</v>
      </c>
      <c r="AA190" s="3">
        <f>+Tabla22[[#This Row],[Amazon Full 2026]]</f>
        <v>0</v>
      </c>
      <c r="AB190" s="3">
        <v>0</v>
      </c>
      <c r="AC190" s="3">
        <f>+Tabla22[[#This Row],[TikTok 2026]]</f>
        <v>0</v>
      </c>
      <c r="AD190" s="3">
        <v>0</v>
      </c>
      <c r="AE190" s="3">
        <f>+Tabla22[[#This Row],[Shein 2026]]</f>
        <v>0</v>
      </c>
      <c r="AF190" s="5">
        <f t="shared" si="55"/>
        <v>0</v>
      </c>
      <c r="AG190" s="4">
        <f t="shared" si="56"/>
        <v>0</v>
      </c>
      <c r="AH190" s="5">
        <f t="shared" si="57"/>
        <v>-3624863.3098437795</v>
      </c>
      <c r="AI190" s="17">
        <f t="shared" si="50"/>
        <v>-1</v>
      </c>
      <c r="AJ190" s="17">
        <f t="shared" si="51"/>
        <v>0.14927496971815124</v>
      </c>
      <c r="AK190" s="14" t="e">
        <f t="shared" si="52"/>
        <v>#DIV/0!</v>
      </c>
      <c r="AL190" s="14">
        <f t="shared" si="53"/>
        <v>-1</v>
      </c>
    </row>
    <row r="191" spans="1:38" x14ac:dyDescent="0.3">
      <c r="A191" s="7">
        <v>45846</v>
      </c>
      <c r="B191" s="3">
        <v>36389509</v>
      </c>
      <c r="C191" s="3">
        <f t="shared" si="54"/>
        <v>4566477.7931034481</v>
      </c>
      <c r="D191" s="4">
        <f>+Tabla22[[#This Row],[Share diario]]</f>
        <v>4.1115712733124039E-2</v>
      </c>
      <c r="E191" s="3">
        <f>+Tabla22[[#This Row],[Global 2026]]</f>
        <v>0</v>
      </c>
      <c r="F191" s="7">
        <v>46210</v>
      </c>
      <c r="G191" s="3">
        <f>+Tabla2[[#This Row],[Meta Digital]]+Tabla2[[#This Row],[Meta MKPlace]]</f>
        <v>6196881.9661092404</v>
      </c>
      <c r="H191" s="3">
        <v>4901737.0150158331</v>
      </c>
      <c r="I191" s="3">
        <v>1295144.9510934073</v>
      </c>
      <c r="J191" s="3">
        <v>3544388</v>
      </c>
      <c r="K191" s="3">
        <f>+Tabla22[[#This Row],[Web + APP 2026]]</f>
        <v>0</v>
      </c>
      <c r="L191" s="3">
        <v>38138.793103448261</v>
      </c>
      <c r="M191" s="3">
        <f>+Tabla22[[#This Row],[Afiliados 2026]]</f>
        <v>0</v>
      </c>
      <c r="N191" s="3">
        <v>75946</v>
      </c>
      <c r="O191" s="3">
        <f>+Tabla22[[#This Row],[TMK 2026]]</f>
        <v>0</v>
      </c>
      <c r="P191" s="3">
        <v>5502</v>
      </c>
      <c r="Q191" s="3">
        <f>+Tabla22[[#This Row],[WA 2026]]</f>
        <v>0</v>
      </c>
      <c r="R191" s="3">
        <v>59539</v>
      </c>
      <c r="S191" s="3">
        <f>+Tabla22[[#This Row],[Ent. en Tienda 2026]]</f>
        <v>0</v>
      </c>
      <c r="T191" s="3">
        <v>634734</v>
      </c>
      <c r="U191" s="3">
        <f>+Tabla22[[#This Row],[Meli Drop 2026]]</f>
        <v>0</v>
      </c>
      <c r="V191" s="3">
        <v>168311</v>
      </c>
      <c r="W191" s="3">
        <f>+Tabla22[[#This Row],[Meli Full 2026]]</f>
        <v>0</v>
      </c>
      <c r="X191" s="3">
        <v>34428</v>
      </c>
      <c r="Y191" s="3">
        <f>+Tabla22[[#This Row],[Amazon Drop 2026]]</f>
        <v>0</v>
      </c>
      <c r="Z191" s="3">
        <v>5491</v>
      </c>
      <c r="AA191" s="3">
        <f>+Tabla22[[#This Row],[Amazon Full 2026]]</f>
        <v>0</v>
      </c>
      <c r="AB191" s="3">
        <v>0</v>
      </c>
      <c r="AC191" s="3">
        <f>+Tabla22[[#This Row],[TikTok 2026]]</f>
        <v>0</v>
      </c>
      <c r="AD191" s="3">
        <v>0</v>
      </c>
      <c r="AE191" s="3">
        <f>+Tabla22[[#This Row],[Shein 2026]]</f>
        <v>0</v>
      </c>
      <c r="AF191" s="5">
        <f t="shared" si="55"/>
        <v>0</v>
      </c>
      <c r="AG191" s="4">
        <f t="shared" si="56"/>
        <v>0</v>
      </c>
      <c r="AH191" s="5">
        <f t="shared" si="57"/>
        <v>-6196881.9661092404</v>
      </c>
      <c r="AI191" s="17">
        <f t="shared" si="50"/>
        <v>-1</v>
      </c>
      <c r="AJ191" s="17">
        <f t="shared" si="51"/>
        <v>0.12548885430422951</v>
      </c>
      <c r="AK191" s="14" t="e">
        <f t="shared" si="52"/>
        <v>#DIV/0!</v>
      </c>
      <c r="AL191" s="14">
        <f t="shared" si="53"/>
        <v>-1</v>
      </c>
    </row>
    <row r="192" spans="1:38" x14ac:dyDescent="0.3">
      <c r="A192" s="63">
        <v>45847</v>
      </c>
      <c r="B192" s="3">
        <v>38311714</v>
      </c>
      <c r="C192" s="3">
        <f t="shared" si="54"/>
        <v>4237273.6896551726</v>
      </c>
      <c r="D192" s="4">
        <f>+Tabla22[[#This Row],[Share diario]]</f>
        <v>3.9528533296899274E-2</v>
      </c>
      <c r="E192" s="3">
        <f>+Tabla22[[#This Row],[Global 2026]]</f>
        <v>0</v>
      </c>
      <c r="F192" s="7">
        <v>46211</v>
      </c>
      <c r="G192" s="3">
        <f>+Tabla2[[#This Row],[Meta Digital]]+Tabla2[[#This Row],[Meta MKPlace]]</f>
        <v>5957665.3024176275</v>
      </c>
      <c r="H192" s="3">
        <v>4712516.5035653003</v>
      </c>
      <c r="I192" s="3">
        <v>1245148.798852327</v>
      </c>
      <c r="J192" s="3">
        <v>3310758</v>
      </c>
      <c r="K192" s="3">
        <f>+Tabla22[[#This Row],[Web + APP 2026]]</f>
        <v>0</v>
      </c>
      <c r="L192" s="3">
        <v>33820.689655172413</v>
      </c>
      <c r="M192" s="3">
        <f>+Tabla22[[#This Row],[Afiliados 2026]]</f>
        <v>0</v>
      </c>
      <c r="N192" s="3">
        <v>39814</v>
      </c>
      <c r="O192" s="3">
        <f>+Tabla22[[#This Row],[TMK 2026]]</f>
        <v>0</v>
      </c>
      <c r="P192" s="3">
        <v>5684</v>
      </c>
      <c r="Q192" s="3">
        <f>+Tabla22[[#This Row],[WA 2026]]</f>
        <v>0</v>
      </c>
      <c r="R192" s="3">
        <v>93614</v>
      </c>
      <c r="S192" s="3">
        <f>+Tabla22[[#This Row],[Ent. en Tienda 2026]]</f>
        <v>0</v>
      </c>
      <c r="T192" s="3">
        <v>580420</v>
      </c>
      <c r="U192" s="3">
        <f>+Tabla22[[#This Row],[Meli Drop 2026]]</f>
        <v>0</v>
      </c>
      <c r="V192" s="3">
        <v>132668</v>
      </c>
      <c r="W192" s="3">
        <f>+Tabla22[[#This Row],[Meli Full 2026]]</f>
        <v>0</v>
      </c>
      <c r="X192" s="3">
        <v>37975</v>
      </c>
      <c r="Y192" s="3">
        <f>+Tabla22[[#This Row],[Amazon Drop 2026]]</f>
        <v>0</v>
      </c>
      <c r="Z192" s="3">
        <v>2520</v>
      </c>
      <c r="AA192" s="3">
        <f>+Tabla22[[#This Row],[Amazon Full 2026]]</f>
        <v>0</v>
      </c>
      <c r="AB192" s="3">
        <v>0</v>
      </c>
      <c r="AC192" s="3">
        <f>+Tabla22[[#This Row],[TikTok 2026]]</f>
        <v>0</v>
      </c>
      <c r="AD192" s="3">
        <v>0</v>
      </c>
      <c r="AE192" s="3">
        <f>+Tabla22[[#This Row],[Shein 2026]]</f>
        <v>0</v>
      </c>
      <c r="AF192" s="5">
        <f t="shared" si="55"/>
        <v>0</v>
      </c>
      <c r="AG192" s="4">
        <f t="shared" si="56"/>
        <v>0</v>
      </c>
      <c r="AH192" s="5">
        <f t="shared" si="57"/>
        <v>-5957665.3024176275</v>
      </c>
      <c r="AI192" s="17">
        <f t="shared" si="50"/>
        <v>-1</v>
      </c>
      <c r="AJ192" s="17">
        <f t="shared" si="51"/>
        <v>0.11059995096160857</v>
      </c>
      <c r="AK192" s="14" t="e">
        <f t="shared" si="52"/>
        <v>#DIV/0!</v>
      </c>
      <c r="AL192" s="14">
        <f t="shared" si="53"/>
        <v>-1</v>
      </c>
    </row>
    <row r="193" spans="1:38" x14ac:dyDescent="0.3">
      <c r="A193" s="7">
        <v>45848</v>
      </c>
      <c r="B193" s="3">
        <v>39604287</v>
      </c>
      <c r="C193" s="3">
        <f t="shared" si="54"/>
        <v>3522206.5862068967</v>
      </c>
      <c r="D193" s="4">
        <f>+Tabla22[[#This Row],[Share diario]]</f>
        <v>3.6678863167268087E-2</v>
      </c>
      <c r="E193" s="3">
        <f>+Tabla22[[#This Row],[Global 2026]]</f>
        <v>0</v>
      </c>
      <c r="F193" s="7">
        <v>46212</v>
      </c>
      <c r="G193" s="3">
        <f>+Tabla2[[#This Row],[Meta Digital]]+Tabla2[[#This Row],[Meta MKPlace]]</f>
        <v>5528168.4443601239</v>
      </c>
      <c r="H193" s="3">
        <v>4372784.2545911791</v>
      </c>
      <c r="I193" s="3">
        <v>1155384.1897689449</v>
      </c>
      <c r="J193" s="3">
        <v>2584721</v>
      </c>
      <c r="K193" s="3">
        <f>+Tabla22[[#This Row],[Web + APP 2026]]</f>
        <v>0</v>
      </c>
      <c r="L193" s="3">
        <v>34077.586206896543</v>
      </c>
      <c r="M193" s="3">
        <f>+Tabla22[[#This Row],[Afiliados 2026]]</f>
        <v>0</v>
      </c>
      <c r="N193" s="3">
        <v>28434</v>
      </c>
      <c r="O193" s="3">
        <f>+Tabla22[[#This Row],[TMK 2026]]</f>
        <v>0</v>
      </c>
      <c r="P193" s="3">
        <v>4376</v>
      </c>
      <c r="Q193" s="3">
        <f>+Tabla22[[#This Row],[WA 2026]]</f>
        <v>0</v>
      </c>
      <c r="R193" s="3">
        <v>129021</v>
      </c>
      <c r="S193" s="3">
        <f>+Tabla22[[#This Row],[Ent. en Tienda 2026]]</f>
        <v>0</v>
      </c>
      <c r="T193" s="3">
        <v>532963</v>
      </c>
      <c r="U193" s="3">
        <f>+Tabla22[[#This Row],[Meli Drop 2026]]</f>
        <v>0</v>
      </c>
      <c r="V193" s="3">
        <v>167845</v>
      </c>
      <c r="W193" s="3">
        <f>+Tabla22[[#This Row],[Meli Full 2026]]</f>
        <v>0</v>
      </c>
      <c r="X193" s="3">
        <v>35189</v>
      </c>
      <c r="Y193" s="3">
        <f>+Tabla22[[#This Row],[Amazon Drop 2026]]</f>
        <v>0</v>
      </c>
      <c r="Z193" s="3">
        <v>5580</v>
      </c>
      <c r="AA193" s="3">
        <f>+Tabla22[[#This Row],[Amazon Full 2026]]</f>
        <v>0</v>
      </c>
      <c r="AB193" s="3">
        <v>0</v>
      </c>
      <c r="AC193" s="3">
        <f>+Tabla22[[#This Row],[TikTok 2026]]</f>
        <v>0</v>
      </c>
      <c r="AD193" s="3">
        <v>0</v>
      </c>
      <c r="AE193" s="3">
        <f>+Tabla22[[#This Row],[Shein 2026]]</f>
        <v>0</v>
      </c>
      <c r="AF193" s="5">
        <f t="shared" si="55"/>
        <v>0</v>
      </c>
      <c r="AG193" s="4">
        <f t="shared" si="56"/>
        <v>0</v>
      </c>
      <c r="AH193" s="5">
        <f t="shared" si="57"/>
        <v>-5528168.4443601239</v>
      </c>
      <c r="AI193" s="17">
        <f t="shared" si="50"/>
        <v>-1</v>
      </c>
      <c r="AJ193" s="17">
        <f t="shared" si="51"/>
        <v>8.8934982877154095E-2</v>
      </c>
      <c r="AK193" s="14" t="e">
        <f t="shared" si="52"/>
        <v>#DIV/0!</v>
      </c>
      <c r="AL193" s="14">
        <f t="shared" si="53"/>
        <v>-1</v>
      </c>
    </row>
    <row r="194" spans="1:38" x14ac:dyDescent="0.3">
      <c r="A194" s="63">
        <v>45849</v>
      </c>
      <c r="B194" s="3">
        <v>39558146</v>
      </c>
      <c r="C194" s="3">
        <f t="shared" si="54"/>
        <v>2798016.4482758623</v>
      </c>
      <c r="D194" s="4">
        <f>+Tabla22[[#This Row],[Share diario]]</f>
        <v>3.0489069832269126E-2</v>
      </c>
      <c r="E194" s="3">
        <f>+Tabla22[[#This Row],[Global 2026]]</f>
        <v>0</v>
      </c>
      <c r="F194" s="7">
        <v>46213</v>
      </c>
      <c r="G194" s="3">
        <f>+Tabla2[[#This Row],[Meta Digital]]+Tabla2[[#This Row],[Meta MKPlace]]</f>
        <v>4595254.5741672236</v>
      </c>
      <c r="H194" s="3">
        <v>3634848.8744507465</v>
      </c>
      <c r="I194" s="3">
        <v>960405.69971647742</v>
      </c>
      <c r="J194" s="3">
        <v>1939583</v>
      </c>
      <c r="K194" s="3">
        <f>+Tabla22[[#This Row],[Web + APP 2026]]</f>
        <v>0</v>
      </c>
      <c r="L194" s="3">
        <v>35028.448275862058</v>
      </c>
      <c r="M194" s="3">
        <f>+Tabla22[[#This Row],[Afiliados 2026]]</f>
        <v>0</v>
      </c>
      <c r="N194" s="3">
        <v>26271</v>
      </c>
      <c r="O194" s="3">
        <f>+Tabla22[[#This Row],[TMK 2026]]</f>
        <v>0</v>
      </c>
      <c r="P194" s="3">
        <v>5444</v>
      </c>
      <c r="Q194" s="3">
        <f>+Tabla22[[#This Row],[WA 2026]]</f>
        <v>0</v>
      </c>
      <c r="R194" s="3">
        <v>85348</v>
      </c>
      <c r="S194" s="3">
        <f>+Tabla22[[#This Row],[Ent. en Tienda 2026]]</f>
        <v>0</v>
      </c>
      <c r="T194" s="3">
        <v>527863</v>
      </c>
      <c r="U194" s="3">
        <f>+Tabla22[[#This Row],[Meli Drop 2026]]</f>
        <v>0</v>
      </c>
      <c r="V194" s="3">
        <v>153400</v>
      </c>
      <c r="W194" s="3">
        <f>+Tabla22[[#This Row],[Meli Full 2026]]</f>
        <v>0</v>
      </c>
      <c r="X194" s="3">
        <v>20782</v>
      </c>
      <c r="Y194" s="3">
        <f>+Tabla22[[#This Row],[Amazon Drop 2026]]</f>
        <v>0</v>
      </c>
      <c r="Z194" s="3">
        <v>4297</v>
      </c>
      <c r="AA194" s="3">
        <f>+Tabla22[[#This Row],[Amazon Full 2026]]</f>
        <v>0</v>
      </c>
      <c r="AB194" s="3">
        <v>0</v>
      </c>
      <c r="AC194" s="3">
        <f>+Tabla22[[#This Row],[TikTok 2026]]</f>
        <v>0</v>
      </c>
      <c r="AD194" s="3">
        <v>0</v>
      </c>
      <c r="AE194" s="3">
        <f>+Tabla22[[#This Row],[Shein 2026]]</f>
        <v>0</v>
      </c>
      <c r="AF194" s="5">
        <f t="shared" si="55"/>
        <v>0</v>
      </c>
      <c r="AG194" s="4">
        <f t="shared" si="56"/>
        <v>0</v>
      </c>
      <c r="AH194" s="5">
        <f t="shared" si="57"/>
        <v>-4595254.5741672236</v>
      </c>
      <c r="AI194" s="17">
        <f t="shared" si="50"/>
        <v>-1</v>
      </c>
      <c r="AJ194" s="17">
        <f t="shared" si="51"/>
        <v>7.0731738749229098E-2</v>
      </c>
      <c r="AK194" s="14" t="e">
        <f t="shared" si="52"/>
        <v>#DIV/0!</v>
      </c>
      <c r="AL194" s="14">
        <f t="shared" si="53"/>
        <v>-1</v>
      </c>
    </row>
    <row r="195" spans="1:38" x14ac:dyDescent="0.3">
      <c r="A195" s="7">
        <v>45850</v>
      </c>
      <c r="B195" s="3">
        <v>50882667</v>
      </c>
      <c r="C195" s="3">
        <f t="shared" si="54"/>
        <v>2609361.5862068962</v>
      </c>
      <c r="D195" s="4">
        <f>+Tabla22[[#This Row],[Share diario]]</f>
        <v>2.4220305310140969E-2</v>
      </c>
      <c r="E195" s="3">
        <f>+Tabla22[[#This Row],[Global 2026]]</f>
        <v>0</v>
      </c>
      <c r="F195" s="7">
        <v>46214</v>
      </c>
      <c r="G195" s="3">
        <f>+Tabla2[[#This Row],[Meta Digital]]+Tabla2[[#This Row],[Meta MKPlace]]</f>
        <v>3650438.3169589364</v>
      </c>
      <c r="H195" s="3">
        <v>2887498.6996894958</v>
      </c>
      <c r="I195" s="3">
        <v>762939.61726944055</v>
      </c>
      <c r="J195" s="3">
        <v>1839299</v>
      </c>
      <c r="K195" s="3">
        <f>+Tabla22[[#This Row],[Web + APP 2026]]</f>
        <v>0</v>
      </c>
      <c r="L195" s="3">
        <v>37977.586206896543</v>
      </c>
      <c r="M195" s="3">
        <f>+Tabla22[[#This Row],[Afiliados 2026]]</f>
        <v>0</v>
      </c>
      <c r="N195" s="3">
        <v>10430</v>
      </c>
      <c r="O195" s="3">
        <f>+Tabla22[[#This Row],[TMK 2026]]</f>
        <v>0</v>
      </c>
      <c r="P195" s="3">
        <v>6547</v>
      </c>
      <c r="Q195" s="3">
        <f>+Tabla22[[#This Row],[WA 2026]]</f>
        <v>0</v>
      </c>
      <c r="R195" s="3">
        <v>71218</v>
      </c>
      <c r="S195" s="3">
        <f>+Tabla22[[#This Row],[Ent. en Tienda 2026]]</f>
        <v>0</v>
      </c>
      <c r="T195" s="3">
        <v>483286</v>
      </c>
      <c r="U195" s="3">
        <f>+Tabla22[[#This Row],[Meli Drop 2026]]</f>
        <v>0</v>
      </c>
      <c r="V195" s="3">
        <v>135225</v>
      </c>
      <c r="W195" s="3">
        <f>+Tabla22[[#This Row],[Meli Full 2026]]</f>
        <v>0</v>
      </c>
      <c r="X195" s="3">
        <v>12782</v>
      </c>
      <c r="Y195" s="3">
        <f>+Tabla22[[#This Row],[Amazon Drop 2026]]</f>
        <v>0</v>
      </c>
      <c r="Z195" s="3">
        <v>12597</v>
      </c>
      <c r="AA195" s="3">
        <f>+Tabla22[[#This Row],[Amazon Full 2026]]</f>
        <v>0</v>
      </c>
      <c r="AB195" s="3">
        <v>0</v>
      </c>
      <c r="AC195" s="3">
        <f>+Tabla22[[#This Row],[TikTok 2026]]</f>
        <v>0</v>
      </c>
      <c r="AD195" s="3">
        <v>0</v>
      </c>
      <c r="AE195" s="3">
        <f>+Tabla22[[#This Row],[Shein 2026]]</f>
        <v>0</v>
      </c>
      <c r="AF195" s="5">
        <f t="shared" si="55"/>
        <v>0</v>
      </c>
      <c r="AG195" s="4">
        <f t="shared" si="56"/>
        <v>0</v>
      </c>
      <c r="AH195" s="5">
        <f t="shared" si="57"/>
        <v>-3650438.3169589364</v>
      </c>
      <c r="AI195" s="17">
        <f t="shared" si="50"/>
        <v>-1</v>
      </c>
      <c r="AJ195" s="17">
        <f t="shared" si="51"/>
        <v>5.1281934302046236E-2</v>
      </c>
      <c r="AK195" s="14" t="e">
        <f t="shared" si="52"/>
        <v>#DIV/0!</v>
      </c>
      <c r="AL195" s="14">
        <f t="shared" si="53"/>
        <v>-1</v>
      </c>
    </row>
    <row r="196" spans="1:38" x14ac:dyDescent="0.3">
      <c r="A196" s="63">
        <v>45851</v>
      </c>
      <c r="B196" s="3">
        <v>53364930</v>
      </c>
      <c r="C196" s="3">
        <f t="shared" si="54"/>
        <v>2637981.4137931038</v>
      </c>
      <c r="D196" s="4">
        <f>+Tabla22[[#This Row],[Share diario]]</f>
        <v>2.2587263316993116E-2</v>
      </c>
      <c r="E196" s="3">
        <f>+Tabla22[[#This Row],[Global 2026]]</f>
        <v>0</v>
      </c>
      <c r="F196" s="7">
        <v>46215</v>
      </c>
      <c r="G196" s="3">
        <f>+Tabla2[[#This Row],[Meta Digital]]+Tabla2[[#This Row],[Meta MKPlace]]</f>
        <v>3404309.3359797443</v>
      </c>
      <c r="H196" s="3">
        <v>2692810.5414944612</v>
      </c>
      <c r="I196" s="3">
        <v>711498.79448528308</v>
      </c>
      <c r="J196" s="3">
        <v>1908062</v>
      </c>
      <c r="K196" s="3">
        <f>+Tabla22[[#This Row],[Web + APP 2026]]</f>
        <v>0</v>
      </c>
      <c r="L196" s="3">
        <v>38972.413793103435</v>
      </c>
      <c r="M196" s="3">
        <f>+Tabla22[[#This Row],[Afiliados 2026]]</f>
        <v>0</v>
      </c>
      <c r="N196" s="3">
        <v>978</v>
      </c>
      <c r="O196" s="3">
        <f>+Tabla22[[#This Row],[TMK 2026]]</f>
        <v>0</v>
      </c>
      <c r="P196" s="3">
        <v>654</v>
      </c>
      <c r="Q196" s="3">
        <f>+Tabla22[[#This Row],[WA 2026]]</f>
        <v>0</v>
      </c>
      <c r="R196" s="3">
        <v>51478</v>
      </c>
      <c r="S196" s="3">
        <f>+Tabla22[[#This Row],[Ent. en Tienda 2026]]</f>
        <v>0</v>
      </c>
      <c r="T196" s="3">
        <v>452704</v>
      </c>
      <c r="U196" s="3">
        <f>+Tabla22[[#This Row],[Meli Drop 2026]]</f>
        <v>0</v>
      </c>
      <c r="V196" s="3">
        <v>140269</v>
      </c>
      <c r="W196" s="3">
        <f>+Tabla22[[#This Row],[Meli Full 2026]]</f>
        <v>0</v>
      </c>
      <c r="X196" s="3">
        <v>31653</v>
      </c>
      <c r="Y196" s="3">
        <f>+Tabla22[[#This Row],[Amazon Drop 2026]]</f>
        <v>0</v>
      </c>
      <c r="Z196" s="3">
        <v>13211</v>
      </c>
      <c r="AA196" s="3">
        <f>+Tabla22[[#This Row],[Amazon Full 2026]]</f>
        <v>0</v>
      </c>
      <c r="AB196" s="3">
        <v>0</v>
      </c>
      <c r="AC196" s="3">
        <f>+Tabla22[[#This Row],[TikTok 2026]]</f>
        <v>0</v>
      </c>
      <c r="AD196" s="3">
        <v>0</v>
      </c>
      <c r="AE196" s="3">
        <f>+Tabla22[[#This Row],[Shein 2026]]</f>
        <v>0</v>
      </c>
      <c r="AF196" s="5">
        <f t="shared" si="55"/>
        <v>0</v>
      </c>
      <c r="AG196" s="4">
        <f t="shared" si="56"/>
        <v>0</v>
      </c>
      <c r="AH196" s="5">
        <f t="shared" si="57"/>
        <v>-3404309.3359797443</v>
      </c>
      <c r="AI196" s="17">
        <f t="shared" ref="AI196:AI259" si="58">+AF196/C196-1</f>
        <v>-1</v>
      </c>
      <c r="AJ196" s="17">
        <f t="shared" ref="AJ196:AJ259" si="59">+C196/B196</f>
        <v>4.9432865625291811E-2</v>
      </c>
      <c r="AK196" s="14" t="e">
        <f t="shared" ref="AK196:AK259" si="60">+AF196/E196</f>
        <v>#DIV/0!</v>
      </c>
      <c r="AL196" s="14">
        <f t="shared" ref="AL196:AL259" si="61">+E196/B196-1</f>
        <v>-1</v>
      </c>
    </row>
    <row r="197" spans="1:38" x14ac:dyDescent="0.3">
      <c r="A197" s="7">
        <v>45852</v>
      </c>
      <c r="B197" s="3">
        <v>31077373</v>
      </c>
      <c r="C197" s="3">
        <f t="shared" ref="C197:C260" si="62">+J197+L197+N197+P197+R197+T197+V197+X197+Z197+AB197+AD197</f>
        <v>3858302.6551724137</v>
      </c>
      <c r="D197" s="4">
        <f>+Tabla22[[#This Row],[Share diario]]</f>
        <v>2.2835003448216675E-2</v>
      </c>
      <c r="E197" s="3">
        <f>+Tabla22[[#This Row],[Global 2026]]</f>
        <v>0</v>
      </c>
      <c r="F197" s="7">
        <v>46216</v>
      </c>
      <c r="G197" s="3">
        <f>+Tabla2[[#This Row],[Meta Digital]]+Tabla2[[#This Row],[Meta MKPlace]]</f>
        <v>3441648.2570249825</v>
      </c>
      <c r="H197" s="3">
        <v>2722345.6484061573</v>
      </c>
      <c r="I197" s="3">
        <v>719302.60861882532</v>
      </c>
      <c r="J197" s="3">
        <v>2840112</v>
      </c>
      <c r="K197" s="3">
        <f>+Tabla22[[#This Row],[Web + APP 2026]]</f>
        <v>0</v>
      </c>
      <c r="L197" s="3">
        <v>38589.655172413783</v>
      </c>
      <c r="M197" s="3">
        <f>+Tabla22[[#This Row],[Afiliados 2026]]</f>
        <v>0</v>
      </c>
      <c r="N197" s="3">
        <v>41758</v>
      </c>
      <c r="O197" s="3">
        <f>+Tabla22[[#This Row],[TMK 2026]]</f>
        <v>0</v>
      </c>
      <c r="P197" s="3">
        <v>3383</v>
      </c>
      <c r="Q197" s="3">
        <f>+Tabla22[[#This Row],[WA 2026]]</f>
        <v>0</v>
      </c>
      <c r="R197" s="3">
        <v>79566</v>
      </c>
      <c r="S197" s="3">
        <f>+Tabla22[[#This Row],[Ent. en Tienda 2026]]</f>
        <v>0</v>
      </c>
      <c r="T197" s="3">
        <v>679280</v>
      </c>
      <c r="U197" s="3">
        <f>+Tabla22[[#This Row],[Meli Drop 2026]]</f>
        <v>0</v>
      </c>
      <c r="V197" s="3">
        <v>124738</v>
      </c>
      <c r="W197" s="3">
        <f>+Tabla22[[#This Row],[Meli Full 2026]]</f>
        <v>0</v>
      </c>
      <c r="X197" s="3">
        <v>35820</v>
      </c>
      <c r="Y197" s="3">
        <f>+Tabla22[[#This Row],[Amazon Drop 2026]]</f>
        <v>0</v>
      </c>
      <c r="Z197" s="3">
        <v>15056</v>
      </c>
      <c r="AA197" s="3">
        <f>+Tabla22[[#This Row],[Amazon Full 2026]]</f>
        <v>0</v>
      </c>
      <c r="AB197" s="3">
        <v>0</v>
      </c>
      <c r="AC197" s="3">
        <f>+Tabla22[[#This Row],[TikTok 2026]]</f>
        <v>0</v>
      </c>
      <c r="AD197" s="3">
        <v>0</v>
      </c>
      <c r="AE197" s="3">
        <f>+Tabla22[[#This Row],[Shein 2026]]</f>
        <v>0</v>
      </c>
      <c r="AF197" s="5">
        <f t="shared" si="55"/>
        <v>0</v>
      </c>
      <c r="AG197" s="4">
        <f t="shared" si="56"/>
        <v>0</v>
      </c>
      <c r="AH197" s="5">
        <f t="shared" si="57"/>
        <v>-3441648.2570249825</v>
      </c>
      <c r="AI197" s="17">
        <f t="shared" si="58"/>
        <v>-1</v>
      </c>
      <c r="AJ197" s="17">
        <f t="shared" si="59"/>
        <v>0.1241515058294153</v>
      </c>
      <c r="AK197" s="14" t="e">
        <f t="shared" si="60"/>
        <v>#DIV/0!</v>
      </c>
      <c r="AL197" s="14">
        <f t="shared" si="61"/>
        <v>-1</v>
      </c>
    </row>
    <row r="198" spans="1:38" x14ac:dyDescent="0.3">
      <c r="A198" s="63">
        <v>45853</v>
      </c>
      <c r="B198" s="3">
        <v>32826678</v>
      </c>
      <c r="C198" s="3">
        <f t="shared" si="62"/>
        <v>4127129.7586206896</v>
      </c>
      <c r="D198" s="4">
        <f>+Tabla22[[#This Row],[Share diario]]</f>
        <v>3.3398398477888454E-2</v>
      </c>
      <c r="E198" s="3">
        <f>+Tabla22[[#This Row],[Global 2026]]</f>
        <v>0</v>
      </c>
      <c r="F198" s="7">
        <v>46217</v>
      </c>
      <c r="G198" s="3">
        <f>+Tabla2[[#This Row],[Meta Digital]]+Tabla2[[#This Row],[Meta MKPlace]]</f>
        <v>5033743.0502042435</v>
      </c>
      <c r="H198" s="3">
        <v>3981693.498150757</v>
      </c>
      <c r="I198" s="3">
        <v>1052049.5520534862</v>
      </c>
      <c r="J198" s="3">
        <v>3030753</v>
      </c>
      <c r="K198" s="3">
        <f>+Tabla22[[#This Row],[Web + APP 2026]]</f>
        <v>0</v>
      </c>
      <c r="L198" s="3">
        <v>41557.758620689645</v>
      </c>
      <c r="M198" s="3">
        <f>+Tabla22[[#This Row],[Afiliados 2026]]</f>
        <v>0</v>
      </c>
      <c r="N198" s="3">
        <v>41277</v>
      </c>
      <c r="O198" s="3">
        <f>+Tabla22[[#This Row],[TMK 2026]]</f>
        <v>0</v>
      </c>
      <c r="P198" s="3">
        <v>10445</v>
      </c>
      <c r="Q198" s="3">
        <f>+Tabla22[[#This Row],[WA 2026]]</f>
        <v>0</v>
      </c>
      <c r="R198" s="3">
        <v>72001</v>
      </c>
      <c r="S198" s="3">
        <f>+Tabla22[[#This Row],[Ent. en Tienda 2026]]</f>
        <v>0</v>
      </c>
      <c r="T198" s="3">
        <v>731523</v>
      </c>
      <c r="U198" s="3">
        <f>+Tabla22[[#This Row],[Meli Drop 2026]]</f>
        <v>0</v>
      </c>
      <c r="V198" s="3">
        <v>137392</v>
      </c>
      <c r="W198" s="3">
        <f>+Tabla22[[#This Row],[Meli Full 2026]]</f>
        <v>0</v>
      </c>
      <c r="X198" s="3">
        <v>41913</v>
      </c>
      <c r="Y198" s="3">
        <f>+Tabla22[[#This Row],[Amazon Drop 2026]]</f>
        <v>0</v>
      </c>
      <c r="Z198" s="3">
        <v>20268</v>
      </c>
      <c r="AA198" s="3">
        <f>+Tabla22[[#This Row],[Amazon Full 2026]]</f>
        <v>0</v>
      </c>
      <c r="AB198" s="3">
        <v>0</v>
      </c>
      <c r="AC198" s="3">
        <f>+Tabla22[[#This Row],[TikTok 2026]]</f>
        <v>0</v>
      </c>
      <c r="AD198" s="3">
        <v>0</v>
      </c>
      <c r="AE198" s="3">
        <f>+Tabla22[[#This Row],[Shein 2026]]</f>
        <v>0</v>
      </c>
      <c r="AF198" s="5">
        <f t="shared" si="55"/>
        <v>0</v>
      </c>
      <c r="AG198" s="4">
        <f t="shared" si="56"/>
        <v>0</v>
      </c>
      <c r="AH198" s="5">
        <f t="shared" si="57"/>
        <v>-5033743.0502042435</v>
      </c>
      <c r="AI198" s="17">
        <f t="shared" si="58"/>
        <v>-1</v>
      </c>
      <c r="AJ198" s="17">
        <f t="shared" si="59"/>
        <v>0.12572486800585456</v>
      </c>
      <c r="AK198" s="14" t="e">
        <f t="shared" si="60"/>
        <v>#DIV/0!</v>
      </c>
      <c r="AL198" s="14">
        <f t="shared" si="61"/>
        <v>-1</v>
      </c>
    </row>
    <row r="199" spans="1:38" x14ac:dyDescent="0.3">
      <c r="A199" s="7">
        <v>45854</v>
      </c>
      <c r="B199" s="3">
        <v>31130597</v>
      </c>
      <c r="C199" s="3">
        <f t="shared" si="62"/>
        <v>4171609.8620689656</v>
      </c>
      <c r="D199" s="4">
        <f>+Tabla22[[#This Row],[Share diario]]</f>
        <v>3.5725430731458736E-2</v>
      </c>
      <c r="E199" s="3">
        <f>+Tabla22[[#This Row],[Global 2026]]</f>
        <v>0</v>
      </c>
      <c r="F199" s="7">
        <v>46218</v>
      </c>
      <c r="G199" s="3">
        <f>+Tabla2[[#This Row],[Meta Digital]]+Tabla2[[#This Row],[Meta MKPlace]]</f>
        <v>5384468.9223374724</v>
      </c>
      <c r="H199" s="3">
        <v>4259117.8542965222</v>
      </c>
      <c r="I199" s="3">
        <v>1125351.0680409502</v>
      </c>
      <c r="J199" s="3">
        <v>3000776</v>
      </c>
      <c r="K199" s="3">
        <f>+Tabla22[[#This Row],[Web + APP 2026]]</f>
        <v>0</v>
      </c>
      <c r="L199" s="3">
        <v>43500.862068965507</v>
      </c>
      <c r="M199" s="3">
        <f>+Tabla22[[#This Row],[Afiliados 2026]]</f>
        <v>0</v>
      </c>
      <c r="N199" s="3">
        <v>50474</v>
      </c>
      <c r="O199" s="3">
        <f>+Tabla22[[#This Row],[TMK 2026]]</f>
        <v>0</v>
      </c>
      <c r="P199" s="3">
        <v>7851</v>
      </c>
      <c r="Q199" s="3">
        <f>+Tabla22[[#This Row],[WA 2026]]</f>
        <v>0</v>
      </c>
      <c r="R199" s="3">
        <v>87553</v>
      </c>
      <c r="S199" s="3">
        <f>+Tabla22[[#This Row],[Ent. en Tienda 2026]]</f>
        <v>0</v>
      </c>
      <c r="T199" s="3">
        <v>786889</v>
      </c>
      <c r="U199" s="3">
        <f>+Tabla22[[#This Row],[Meli Drop 2026]]</f>
        <v>0</v>
      </c>
      <c r="V199" s="3">
        <v>104771</v>
      </c>
      <c r="W199" s="3">
        <f>+Tabla22[[#This Row],[Meli Full 2026]]</f>
        <v>0</v>
      </c>
      <c r="X199" s="3">
        <v>62833</v>
      </c>
      <c r="Y199" s="3">
        <f>+Tabla22[[#This Row],[Amazon Drop 2026]]</f>
        <v>0</v>
      </c>
      <c r="Z199" s="3">
        <v>26962</v>
      </c>
      <c r="AA199" s="3">
        <f>+Tabla22[[#This Row],[Amazon Full 2026]]</f>
        <v>0</v>
      </c>
      <c r="AB199" s="3">
        <v>0</v>
      </c>
      <c r="AC199" s="3">
        <f>+Tabla22[[#This Row],[TikTok 2026]]</f>
        <v>0</v>
      </c>
      <c r="AD199" s="3">
        <v>0</v>
      </c>
      <c r="AE199" s="3">
        <f>+Tabla22[[#This Row],[Shein 2026]]</f>
        <v>0</v>
      </c>
      <c r="AF199" s="5">
        <f t="shared" si="55"/>
        <v>0</v>
      </c>
      <c r="AG199" s="4">
        <f t="shared" si="56"/>
        <v>0</v>
      </c>
      <c r="AH199" s="5">
        <f t="shared" si="57"/>
        <v>-5384468.9223374724</v>
      </c>
      <c r="AI199" s="17">
        <f t="shared" si="58"/>
        <v>-1</v>
      </c>
      <c r="AJ199" s="17">
        <f t="shared" si="59"/>
        <v>0.13400352913466343</v>
      </c>
      <c r="AK199" s="14" t="e">
        <f t="shared" si="60"/>
        <v>#DIV/0!</v>
      </c>
      <c r="AL199" s="14">
        <f t="shared" si="61"/>
        <v>-1</v>
      </c>
    </row>
    <row r="200" spans="1:38" x14ac:dyDescent="0.3">
      <c r="A200" s="63">
        <v>45855</v>
      </c>
      <c r="B200" s="3">
        <v>39024266</v>
      </c>
      <c r="C200" s="3">
        <f t="shared" si="62"/>
        <v>3727069</v>
      </c>
      <c r="D200" s="4">
        <f>+Tabla22[[#This Row],[Share diario]]</f>
        <v>3.611046123633934E-2</v>
      </c>
      <c r="E200" s="3">
        <f>+Tabla22[[#This Row],[Global 2026]]</f>
        <v>0</v>
      </c>
      <c r="F200" s="7">
        <v>46219</v>
      </c>
      <c r="G200" s="3">
        <f>+Tabla2[[#This Row],[Meta Digital]]+Tabla2[[#This Row],[Meta MKPlace]]</f>
        <v>5442499.9871905521</v>
      </c>
      <c r="H200" s="3">
        <v>4305020.4582458632</v>
      </c>
      <c r="I200" s="3">
        <v>1137479.5289446893</v>
      </c>
      <c r="J200" s="3">
        <v>2683648</v>
      </c>
      <c r="K200" s="3">
        <f>+Tabla22[[#This Row],[Web + APP 2026]]</f>
        <v>0</v>
      </c>
      <c r="L200" s="3">
        <v>39649.999999999993</v>
      </c>
      <c r="M200" s="3">
        <f>+Tabla22[[#This Row],[Afiliados 2026]]</f>
        <v>0</v>
      </c>
      <c r="N200" s="3">
        <v>18997</v>
      </c>
      <c r="O200" s="3">
        <f>+Tabla22[[#This Row],[TMK 2026]]</f>
        <v>0</v>
      </c>
      <c r="P200" s="3">
        <v>6904</v>
      </c>
      <c r="Q200" s="3">
        <f>+Tabla22[[#This Row],[WA 2026]]</f>
        <v>0</v>
      </c>
      <c r="R200" s="3">
        <v>157886</v>
      </c>
      <c r="S200" s="3">
        <f>+Tabla22[[#This Row],[Ent. en Tienda 2026]]</f>
        <v>0</v>
      </c>
      <c r="T200" s="3">
        <v>648054</v>
      </c>
      <c r="U200" s="3">
        <f>+Tabla22[[#This Row],[Meli Drop 2026]]</f>
        <v>0</v>
      </c>
      <c r="V200" s="3">
        <v>111421</v>
      </c>
      <c r="W200" s="3">
        <f>+Tabla22[[#This Row],[Meli Full 2026]]</f>
        <v>0</v>
      </c>
      <c r="X200" s="3">
        <v>44791</v>
      </c>
      <c r="Y200" s="3">
        <f>+Tabla22[[#This Row],[Amazon Drop 2026]]</f>
        <v>0</v>
      </c>
      <c r="Z200" s="3">
        <v>15718</v>
      </c>
      <c r="AA200" s="3">
        <f>+Tabla22[[#This Row],[Amazon Full 2026]]</f>
        <v>0</v>
      </c>
      <c r="AB200" s="3">
        <v>0</v>
      </c>
      <c r="AC200" s="3">
        <f>+Tabla22[[#This Row],[TikTok 2026]]</f>
        <v>0</v>
      </c>
      <c r="AD200" s="3">
        <v>0</v>
      </c>
      <c r="AE200" s="3">
        <f>+Tabla22[[#This Row],[Shein 2026]]</f>
        <v>0</v>
      </c>
      <c r="AF200" s="5">
        <f t="shared" si="55"/>
        <v>0</v>
      </c>
      <c r="AG200" s="4">
        <f t="shared" si="56"/>
        <v>0</v>
      </c>
      <c r="AH200" s="5">
        <f t="shared" si="57"/>
        <v>-5442499.9871905521</v>
      </c>
      <c r="AI200" s="17">
        <f t="shared" si="58"/>
        <v>-1</v>
      </c>
      <c r="AJ200" s="17">
        <f t="shared" si="59"/>
        <v>9.5506447193651256E-2</v>
      </c>
      <c r="AK200" s="14" t="e">
        <f t="shared" si="60"/>
        <v>#DIV/0!</v>
      </c>
      <c r="AL200" s="14">
        <f t="shared" si="61"/>
        <v>-1</v>
      </c>
    </row>
    <row r="201" spans="1:38" x14ac:dyDescent="0.3">
      <c r="A201" s="7">
        <v>45856</v>
      </c>
      <c r="B201" s="3">
        <v>42222744</v>
      </c>
      <c r="C201" s="3">
        <f t="shared" si="62"/>
        <v>3149721.6551724137</v>
      </c>
      <c r="D201" s="4">
        <f>+Tabla22[[#This Row],[Share diario]]</f>
        <v>3.226240830270552E-2</v>
      </c>
      <c r="E201" s="3">
        <f>+Tabla22[[#This Row],[Global 2026]]</f>
        <v>0</v>
      </c>
      <c r="F201" s="7">
        <v>46220</v>
      </c>
      <c r="G201" s="3">
        <f>+Tabla2[[#This Row],[Meta Digital]]+Tabla2[[#This Row],[Meta MKPlace]]</f>
        <v>4862528.7731719716</v>
      </c>
      <c r="H201" s="3">
        <v>3846262.9116367479</v>
      </c>
      <c r="I201" s="3">
        <v>1016265.8615352239</v>
      </c>
      <c r="J201" s="3">
        <v>2251369</v>
      </c>
      <c r="K201" s="3">
        <f>+Tabla22[[#This Row],[Web + APP 2026]]</f>
        <v>0</v>
      </c>
      <c r="L201" s="3">
        <v>44689.655172413783</v>
      </c>
      <c r="M201" s="3">
        <f>+Tabla22[[#This Row],[Afiliados 2026]]</f>
        <v>0</v>
      </c>
      <c r="N201" s="3">
        <v>10825</v>
      </c>
      <c r="O201" s="3">
        <f>+Tabla22[[#This Row],[TMK 2026]]</f>
        <v>0</v>
      </c>
      <c r="P201" s="3">
        <v>8554</v>
      </c>
      <c r="Q201" s="3">
        <f>+Tabla22[[#This Row],[WA 2026]]</f>
        <v>0</v>
      </c>
      <c r="R201" s="3">
        <v>102621</v>
      </c>
      <c r="S201" s="3">
        <f>+Tabla22[[#This Row],[Ent. en Tienda 2026]]</f>
        <v>0</v>
      </c>
      <c r="T201" s="3">
        <v>610477</v>
      </c>
      <c r="U201" s="3">
        <f>+Tabla22[[#This Row],[Meli Drop 2026]]</f>
        <v>0</v>
      </c>
      <c r="V201" s="3">
        <v>69555</v>
      </c>
      <c r="W201" s="3">
        <f>+Tabla22[[#This Row],[Meli Full 2026]]</f>
        <v>0</v>
      </c>
      <c r="X201" s="3">
        <v>31664</v>
      </c>
      <c r="Y201" s="3">
        <f>+Tabla22[[#This Row],[Amazon Drop 2026]]</f>
        <v>0</v>
      </c>
      <c r="Z201" s="3">
        <v>19967</v>
      </c>
      <c r="AA201" s="3">
        <f>+Tabla22[[#This Row],[Amazon Full 2026]]</f>
        <v>0</v>
      </c>
      <c r="AB201" s="3">
        <v>0</v>
      </c>
      <c r="AC201" s="3">
        <f>+Tabla22[[#This Row],[TikTok 2026]]</f>
        <v>0</v>
      </c>
      <c r="AD201" s="3">
        <v>0</v>
      </c>
      <c r="AE201" s="3">
        <f>+Tabla22[[#This Row],[Shein 2026]]</f>
        <v>0</v>
      </c>
      <c r="AF201" s="5">
        <f t="shared" si="55"/>
        <v>0</v>
      </c>
      <c r="AG201" s="4">
        <f t="shared" si="56"/>
        <v>0</v>
      </c>
      <c r="AH201" s="5">
        <f t="shared" si="57"/>
        <v>-4862528.7731719716</v>
      </c>
      <c r="AI201" s="17">
        <f t="shared" si="58"/>
        <v>-1</v>
      </c>
      <c r="AJ201" s="17">
        <f t="shared" si="59"/>
        <v>7.459774890927065E-2</v>
      </c>
      <c r="AK201" s="14" t="e">
        <f t="shared" si="60"/>
        <v>#DIV/0!</v>
      </c>
      <c r="AL201" s="14">
        <f t="shared" si="61"/>
        <v>-1</v>
      </c>
    </row>
    <row r="202" spans="1:38" x14ac:dyDescent="0.3">
      <c r="A202" s="63">
        <v>45857</v>
      </c>
      <c r="B202" s="3">
        <v>48194941</v>
      </c>
      <c r="C202" s="3">
        <f t="shared" si="62"/>
        <v>2813694.068965517</v>
      </c>
      <c r="D202" s="4">
        <f>+Tabla22[[#This Row],[Share diario]]</f>
        <v>2.7264750418907149E-2</v>
      </c>
      <c r="E202" s="3">
        <f>+Tabla22[[#This Row],[Global 2026]]</f>
        <v>0</v>
      </c>
      <c r="F202" s="7">
        <v>46221</v>
      </c>
      <c r="G202" s="3">
        <f>+Tabla2[[#This Row],[Meta Digital]]+Tabla2[[#This Row],[Meta MKPlace]]</f>
        <v>4109291.2891493849</v>
      </c>
      <c r="H202" s="3">
        <v>3250451.6509538097</v>
      </c>
      <c r="I202" s="3">
        <v>858839.63819557521</v>
      </c>
      <c r="J202" s="3">
        <v>1984365</v>
      </c>
      <c r="K202" s="3">
        <f>+Tabla22[[#This Row],[Web + APP 2026]]</f>
        <v>0</v>
      </c>
      <c r="L202" s="3">
        <v>43837.068965517232</v>
      </c>
      <c r="M202" s="3">
        <f>+Tabla22[[#This Row],[Afiliados 2026]]</f>
        <v>0</v>
      </c>
      <c r="N202" s="3">
        <v>7363</v>
      </c>
      <c r="O202" s="3">
        <f>+Tabla22[[#This Row],[TMK 2026]]</f>
        <v>0</v>
      </c>
      <c r="P202" s="3">
        <v>4630</v>
      </c>
      <c r="Q202" s="3">
        <f>+Tabla22[[#This Row],[WA 2026]]</f>
        <v>0</v>
      </c>
      <c r="R202" s="3">
        <v>162628</v>
      </c>
      <c r="S202" s="3">
        <f>+Tabla22[[#This Row],[Ent. en Tienda 2026]]</f>
        <v>0</v>
      </c>
      <c r="T202" s="3">
        <v>508767</v>
      </c>
      <c r="U202" s="3">
        <f>+Tabla22[[#This Row],[Meli Drop 2026]]</f>
        <v>0</v>
      </c>
      <c r="V202" s="3">
        <v>55690</v>
      </c>
      <c r="W202" s="3">
        <f>+Tabla22[[#This Row],[Meli Full 2026]]</f>
        <v>0</v>
      </c>
      <c r="X202" s="3">
        <v>34679</v>
      </c>
      <c r="Y202" s="3">
        <f>+Tabla22[[#This Row],[Amazon Drop 2026]]</f>
        <v>0</v>
      </c>
      <c r="Z202" s="3">
        <v>11735</v>
      </c>
      <c r="AA202" s="3">
        <f>+Tabla22[[#This Row],[Amazon Full 2026]]</f>
        <v>0</v>
      </c>
      <c r="AB202" s="3">
        <v>0</v>
      </c>
      <c r="AC202" s="3">
        <f>+Tabla22[[#This Row],[TikTok 2026]]</f>
        <v>0</v>
      </c>
      <c r="AD202" s="3">
        <v>0</v>
      </c>
      <c r="AE202" s="3">
        <f>+Tabla22[[#This Row],[Shein 2026]]</f>
        <v>0</v>
      </c>
      <c r="AF202" s="5">
        <f t="shared" si="55"/>
        <v>0</v>
      </c>
      <c r="AG202" s="4">
        <f t="shared" si="56"/>
        <v>0</v>
      </c>
      <c r="AH202" s="5">
        <f t="shared" si="57"/>
        <v>-4109291.2891493849</v>
      </c>
      <c r="AI202" s="17">
        <f t="shared" si="58"/>
        <v>-1</v>
      </c>
      <c r="AJ202" s="17">
        <f t="shared" si="59"/>
        <v>5.8381523259163591E-2</v>
      </c>
      <c r="AK202" s="14" t="e">
        <f t="shared" si="60"/>
        <v>#DIV/0!</v>
      </c>
      <c r="AL202" s="14">
        <f t="shared" si="61"/>
        <v>-1</v>
      </c>
    </row>
    <row r="203" spans="1:38" x14ac:dyDescent="0.3">
      <c r="A203" s="7">
        <v>45858</v>
      </c>
      <c r="B203" s="3">
        <v>49418322</v>
      </c>
      <c r="C203" s="3">
        <f t="shared" si="62"/>
        <v>2876821.4482758623</v>
      </c>
      <c r="D203" s="4">
        <f>+Tabla22[[#This Row],[Share diario]]</f>
        <v>2.4356014576565763E-2</v>
      </c>
      <c r="E203" s="3">
        <f>+Tabla22[[#This Row],[Global 2026]]</f>
        <v>0</v>
      </c>
      <c r="F203" s="7">
        <v>46222</v>
      </c>
      <c r="G203" s="3">
        <f>+Tabla2[[#This Row],[Meta Digital]]+Tabla2[[#This Row],[Meta MKPlace]]</f>
        <v>3670892.1592941126</v>
      </c>
      <c r="H203" s="3">
        <v>2903677.7001322913</v>
      </c>
      <c r="I203" s="3">
        <v>767214.45916182152</v>
      </c>
      <c r="J203" s="3">
        <v>2341728</v>
      </c>
      <c r="K203" s="3">
        <f>+Tabla22[[#This Row],[Web + APP 2026]]</f>
        <v>0</v>
      </c>
      <c r="L203" s="3">
        <v>48778.448275862058</v>
      </c>
      <c r="M203" s="3">
        <f>+Tabla22[[#This Row],[Afiliados 2026]]</f>
        <v>0</v>
      </c>
      <c r="N203" s="3">
        <v>7001</v>
      </c>
      <c r="O203" s="3">
        <f>+Tabla22[[#This Row],[TMK 2026]]</f>
        <v>0</v>
      </c>
      <c r="P203" s="3">
        <v>5776</v>
      </c>
      <c r="Q203" s="3">
        <f>+Tabla22[[#This Row],[WA 2026]]</f>
        <v>0</v>
      </c>
      <c r="R203" s="3">
        <v>121377</v>
      </c>
      <c r="S203" s="3">
        <f>+Tabla22[[#This Row],[Ent. en Tienda 2026]]</f>
        <v>0</v>
      </c>
      <c r="T203" s="3">
        <v>238970</v>
      </c>
      <c r="U203" s="3">
        <f>+Tabla22[[#This Row],[Meli Drop 2026]]</f>
        <v>0</v>
      </c>
      <c r="V203" s="3">
        <v>55955</v>
      </c>
      <c r="W203" s="3">
        <f>+Tabla22[[#This Row],[Meli Full 2026]]</f>
        <v>0</v>
      </c>
      <c r="X203" s="3">
        <v>41650</v>
      </c>
      <c r="Y203" s="3">
        <f>+Tabla22[[#This Row],[Amazon Drop 2026]]</f>
        <v>0</v>
      </c>
      <c r="Z203" s="3">
        <v>15586</v>
      </c>
      <c r="AA203" s="3">
        <f>+Tabla22[[#This Row],[Amazon Full 2026]]</f>
        <v>0</v>
      </c>
      <c r="AB203" s="3">
        <v>0</v>
      </c>
      <c r="AC203" s="3">
        <f>+Tabla22[[#This Row],[TikTok 2026]]</f>
        <v>0</v>
      </c>
      <c r="AD203" s="3">
        <v>0</v>
      </c>
      <c r="AE203" s="3">
        <f>+Tabla22[[#This Row],[Shein 2026]]</f>
        <v>0</v>
      </c>
      <c r="AF203" s="5">
        <f t="shared" si="55"/>
        <v>0</v>
      </c>
      <c r="AG203" s="4">
        <f t="shared" si="56"/>
        <v>0</v>
      </c>
      <c r="AH203" s="5">
        <f t="shared" si="57"/>
        <v>-3670892.1592941126</v>
      </c>
      <c r="AI203" s="17">
        <f t="shared" si="58"/>
        <v>-1</v>
      </c>
      <c r="AJ203" s="17">
        <f t="shared" si="59"/>
        <v>5.8213661084564189E-2</v>
      </c>
      <c r="AK203" s="14" t="e">
        <f t="shared" si="60"/>
        <v>#DIV/0!</v>
      </c>
      <c r="AL203" s="14">
        <f t="shared" si="61"/>
        <v>-1</v>
      </c>
    </row>
    <row r="204" spans="1:38" x14ac:dyDescent="0.3">
      <c r="A204" s="63">
        <v>45859</v>
      </c>
      <c r="B204" s="3">
        <v>33737301</v>
      </c>
      <c r="C204" s="3">
        <f t="shared" si="62"/>
        <v>5029885.7931034481</v>
      </c>
      <c r="D204" s="4">
        <f>+Tabla22[[#This Row],[Share diario]]</f>
        <v>2.4902460399379916E-2</v>
      </c>
      <c r="E204" s="3">
        <f>+Tabla22[[#This Row],[Global 2026]]</f>
        <v>0</v>
      </c>
      <c r="F204" s="7">
        <v>46223</v>
      </c>
      <c r="G204" s="3">
        <f>+Tabla2[[#This Row],[Meta Digital]]+Tabla2[[#This Row],[Meta MKPlace]]</f>
        <v>3753251.4336385094</v>
      </c>
      <c r="H204" s="3">
        <v>2968823.9310580418</v>
      </c>
      <c r="I204" s="3">
        <v>784427.50258046738</v>
      </c>
      <c r="J204" s="3">
        <v>3558327</v>
      </c>
      <c r="K204" s="3">
        <f>+Tabla22[[#This Row],[Web + APP 2026]]</f>
        <v>0</v>
      </c>
      <c r="L204" s="3">
        <v>45088.793103448261</v>
      </c>
      <c r="M204" s="3">
        <f>+Tabla22[[#This Row],[Afiliados 2026]]</f>
        <v>0</v>
      </c>
      <c r="N204" s="3">
        <v>41407</v>
      </c>
      <c r="O204" s="3">
        <f>+Tabla22[[#This Row],[TMK 2026]]</f>
        <v>0</v>
      </c>
      <c r="P204" s="3">
        <v>3984</v>
      </c>
      <c r="Q204" s="3">
        <f>+Tabla22[[#This Row],[WA 2026]]</f>
        <v>0</v>
      </c>
      <c r="R204" s="3">
        <v>148938</v>
      </c>
      <c r="S204" s="3">
        <f>+Tabla22[[#This Row],[Ent. en Tienda 2026]]</f>
        <v>0</v>
      </c>
      <c r="T204" s="3">
        <v>1077744</v>
      </c>
      <c r="U204" s="3">
        <f>+Tabla22[[#This Row],[Meli Drop 2026]]</f>
        <v>0</v>
      </c>
      <c r="V204" s="3">
        <v>70738</v>
      </c>
      <c r="W204" s="3">
        <f>+Tabla22[[#This Row],[Meli Full 2026]]</f>
        <v>0</v>
      </c>
      <c r="X204" s="3">
        <v>68483</v>
      </c>
      <c r="Y204" s="3">
        <f>+Tabla22[[#This Row],[Amazon Drop 2026]]</f>
        <v>0</v>
      </c>
      <c r="Z204" s="3">
        <v>15176</v>
      </c>
      <c r="AA204" s="3">
        <f>+Tabla22[[#This Row],[Amazon Full 2026]]</f>
        <v>0</v>
      </c>
      <c r="AB204" s="3">
        <v>0</v>
      </c>
      <c r="AC204" s="3">
        <f>+Tabla22[[#This Row],[TikTok 2026]]</f>
        <v>0</v>
      </c>
      <c r="AD204" s="3">
        <v>0</v>
      </c>
      <c r="AE204" s="3">
        <f>+Tabla22[[#This Row],[Shein 2026]]</f>
        <v>0</v>
      </c>
      <c r="AF204" s="5">
        <f t="shared" si="55"/>
        <v>0</v>
      </c>
      <c r="AG204" s="4">
        <f t="shared" si="56"/>
        <v>0</v>
      </c>
      <c r="AH204" s="5">
        <f t="shared" si="57"/>
        <v>-3753251.4336385094</v>
      </c>
      <c r="AI204" s="17">
        <f t="shared" si="58"/>
        <v>-1</v>
      </c>
      <c r="AJ204" s="17">
        <f t="shared" si="59"/>
        <v>0.14908975063249572</v>
      </c>
      <c r="AK204" s="14" t="e">
        <f t="shared" si="60"/>
        <v>#DIV/0!</v>
      </c>
      <c r="AL204" s="14">
        <f t="shared" si="61"/>
        <v>-1</v>
      </c>
    </row>
    <row r="205" spans="1:38" x14ac:dyDescent="0.3">
      <c r="A205" s="7">
        <v>45860</v>
      </c>
      <c r="B205" s="3">
        <v>35193931</v>
      </c>
      <c r="C205" s="3">
        <f t="shared" si="62"/>
        <v>4443268.2413793104</v>
      </c>
      <c r="D205" s="4">
        <f>+Tabla22[[#This Row],[Share diario]]</f>
        <v>4.3539904727570439E-2</v>
      </c>
      <c r="E205" s="3">
        <f>+Tabla22[[#This Row],[Global 2026]]</f>
        <v>0</v>
      </c>
      <c r="F205" s="7">
        <v>46224</v>
      </c>
      <c r="G205" s="3">
        <f>+Tabla2[[#This Row],[Meta Digital]]+Tabla2[[#This Row],[Meta MKPlace]]</f>
        <v>6562251.569459659</v>
      </c>
      <c r="H205" s="3">
        <v>5190744.57054119</v>
      </c>
      <c r="I205" s="3">
        <v>1371506.9989184688</v>
      </c>
      <c r="J205" s="3">
        <v>3287363</v>
      </c>
      <c r="K205" s="3">
        <f>+Tabla22[[#This Row],[Web + APP 2026]]</f>
        <v>0</v>
      </c>
      <c r="L205" s="3">
        <v>43017.241379310326</v>
      </c>
      <c r="M205" s="3">
        <f>+Tabla22[[#This Row],[Afiliados 2026]]</f>
        <v>0</v>
      </c>
      <c r="N205" s="3">
        <v>45721</v>
      </c>
      <c r="O205" s="3">
        <f>+Tabla22[[#This Row],[TMK 2026]]</f>
        <v>0</v>
      </c>
      <c r="P205" s="3">
        <v>7885</v>
      </c>
      <c r="Q205" s="3">
        <f>+Tabla22[[#This Row],[WA 2026]]</f>
        <v>0</v>
      </c>
      <c r="R205" s="3">
        <v>127866</v>
      </c>
      <c r="S205" s="3">
        <f>+Tabla22[[#This Row],[Ent. en Tienda 2026]]</f>
        <v>0</v>
      </c>
      <c r="T205" s="3">
        <v>797541</v>
      </c>
      <c r="U205" s="3">
        <f>+Tabla22[[#This Row],[Meli Drop 2026]]</f>
        <v>0</v>
      </c>
      <c r="V205" s="3">
        <v>74451</v>
      </c>
      <c r="W205" s="3">
        <f>+Tabla22[[#This Row],[Meli Full 2026]]</f>
        <v>0</v>
      </c>
      <c r="X205" s="3">
        <v>41790</v>
      </c>
      <c r="Y205" s="3">
        <f>+Tabla22[[#This Row],[Amazon Drop 2026]]</f>
        <v>0</v>
      </c>
      <c r="Z205" s="3">
        <v>17634</v>
      </c>
      <c r="AA205" s="3">
        <f>+Tabla22[[#This Row],[Amazon Full 2026]]</f>
        <v>0</v>
      </c>
      <c r="AB205" s="3">
        <v>0</v>
      </c>
      <c r="AC205" s="3">
        <f>+Tabla22[[#This Row],[TikTok 2026]]</f>
        <v>0</v>
      </c>
      <c r="AD205" s="3">
        <v>0</v>
      </c>
      <c r="AE205" s="3">
        <f>+Tabla22[[#This Row],[Shein 2026]]</f>
        <v>0</v>
      </c>
      <c r="AF205" s="5">
        <f t="shared" si="55"/>
        <v>0</v>
      </c>
      <c r="AG205" s="4">
        <f t="shared" si="56"/>
        <v>0</v>
      </c>
      <c r="AH205" s="5">
        <f t="shared" si="57"/>
        <v>-6562251.569459659</v>
      </c>
      <c r="AI205" s="17">
        <f t="shared" si="58"/>
        <v>-1</v>
      </c>
      <c r="AJ205" s="17">
        <f t="shared" si="59"/>
        <v>0.12625097893666129</v>
      </c>
      <c r="AK205" s="14" t="e">
        <f t="shared" si="60"/>
        <v>#DIV/0!</v>
      </c>
      <c r="AL205" s="14">
        <f t="shared" si="61"/>
        <v>-1</v>
      </c>
    </row>
    <row r="206" spans="1:38" x14ac:dyDescent="0.3">
      <c r="A206" s="63">
        <v>45861</v>
      </c>
      <c r="B206" s="3">
        <v>37862518</v>
      </c>
      <c r="C206" s="3">
        <f t="shared" si="62"/>
        <v>4308608.1724137925</v>
      </c>
      <c r="D206" s="4">
        <f>+Tabla22[[#This Row],[Share diario]]</f>
        <v>3.8462001696728344E-2</v>
      </c>
      <c r="E206" s="3">
        <f>+Tabla22[[#This Row],[Global 2026]]</f>
        <v>0</v>
      </c>
      <c r="F206" s="7">
        <v>46225</v>
      </c>
      <c r="G206" s="3">
        <f>+Tabla2[[#This Row],[Meta Digital]]+Tabla2[[#This Row],[Meta MKPlace]]</f>
        <v>5796919.6896081399</v>
      </c>
      <c r="H206" s="3">
        <v>4585366.636161197</v>
      </c>
      <c r="I206" s="3">
        <v>1211553.0534469429</v>
      </c>
      <c r="J206" s="3">
        <v>3324693</v>
      </c>
      <c r="K206" s="3">
        <f>+Tabla22[[#This Row],[Web + APP 2026]]</f>
        <v>0</v>
      </c>
      <c r="L206" s="3">
        <v>47655.172413793087</v>
      </c>
      <c r="M206" s="3">
        <f>+Tabla22[[#This Row],[Afiliados 2026]]</f>
        <v>0</v>
      </c>
      <c r="N206" s="3">
        <v>29991</v>
      </c>
      <c r="O206" s="3">
        <f>+Tabla22[[#This Row],[TMK 2026]]</f>
        <v>0</v>
      </c>
      <c r="P206" s="3">
        <v>3101</v>
      </c>
      <c r="Q206" s="3">
        <f>+Tabla22[[#This Row],[WA 2026]]</f>
        <v>0</v>
      </c>
      <c r="R206" s="3">
        <v>106991</v>
      </c>
      <c r="S206" s="3">
        <f>+Tabla22[[#This Row],[Ent. en Tienda 2026]]</f>
        <v>0</v>
      </c>
      <c r="T206" s="3">
        <v>677329</v>
      </c>
      <c r="U206" s="3">
        <f>+Tabla22[[#This Row],[Meli Drop 2026]]</f>
        <v>0</v>
      </c>
      <c r="V206" s="3">
        <v>77441</v>
      </c>
      <c r="W206" s="3">
        <f>+Tabla22[[#This Row],[Meli Full 2026]]</f>
        <v>0</v>
      </c>
      <c r="X206" s="3">
        <v>28165</v>
      </c>
      <c r="Y206" s="3">
        <f>+Tabla22[[#This Row],[Amazon Drop 2026]]</f>
        <v>0</v>
      </c>
      <c r="Z206" s="3">
        <v>13242</v>
      </c>
      <c r="AA206" s="3">
        <f>+Tabla22[[#This Row],[Amazon Full 2026]]</f>
        <v>0</v>
      </c>
      <c r="AB206" s="3">
        <v>0</v>
      </c>
      <c r="AC206" s="3">
        <f>+Tabla22[[#This Row],[TikTok 2026]]</f>
        <v>0</v>
      </c>
      <c r="AD206" s="3">
        <v>0</v>
      </c>
      <c r="AE206" s="3">
        <f>+Tabla22[[#This Row],[Shein 2026]]</f>
        <v>0</v>
      </c>
      <c r="AF206" s="5">
        <f t="shared" si="55"/>
        <v>0</v>
      </c>
      <c r="AG206" s="4">
        <f t="shared" si="56"/>
        <v>0</v>
      </c>
      <c r="AH206" s="5">
        <f t="shared" si="57"/>
        <v>-5796919.6896081399</v>
      </c>
      <c r="AI206" s="17">
        <f t="shared" si="58"/>
        <v>-1</v>
      </c>
      <c r="AJ206" s="17">
        <f t="shared" si="59"/>
        <v>0.11379613401342702</v>
      </c>
      <c r="AK206" s="14" t="e">
        <f t="shared" si="60"/>
        <v>#DIV/0!</v>
      </c>
      <c r="AL206" s="14">
        <f t="shared" si="61"/>
        <v>-1</v>
      </c>
    </row>
    <row r="207" spans="1:38" x14ac:dyDescent="0.3">
      <c r="A207" s="7">
        <v>45862</v>
      </c>
      <c r="B207" s="3">
        <v>40833224</v>
      </c>
      <c r="C207" s="3">
        <f t="shared" si="62"/>
        <v>3661084.3448275863</v>
      </c>
      <c r="D207" s="4">
        <f>+Tabla22[[#This Row],[Share diario]]</f>
        <v>3.7296351657237256E-2</v>
      </c>
      <c r="E207" s="3">
        <f>+Tabla22[[#This Row],[Global 2026]]</f>
        <v>0</v>
      </c>
      <c r="F207" s="7">
        <v>46226</v>
      </c>
      <c r="G207" s="3">
        <f>+Tabla2[[#This Row],[Meta Digital]]+Tabla2[[#This Row],[Meta MKPlace]]</f>
        <v>5621235.134280039</v>
      </c>
      <c r="H207" s="3">
        <v>4446400.0570770651</v>
      </c>
      <c r="I207" s="3">
        <v>1174835.0772029737</v>
      </c>
      <c r="J207" s="3">
        <v>2646867</v>
      </c>
      <c r="K207" s="3">
        <f>+Tabla22[[#This Row],[Web + APP 2026]]</f>
        <v>0</v>
      </c>
      <c r="L207" s="3">
        <v>44960.344827586188</v>
      </c>
      <c r="M207" s="3">
        <f>+Tabla22[[#This Row],[Afiliados 2026]]</f>
        <v>0</v>
      </c>
      <c r="N207" s="3">
        <v>35095</v>
      </c>
      <c r="O207" s="3">
        <f>+Tabla22[[#This Row],[TMK 2026]]</f>
        <v>0</v>
      </c>
      <c r="P207" s="3">
        <v>7885</v>
      </c>
      <c r="Q207" s="3">
        <f>+Tabla22[[#This Row],[WA 2026]]</f>
        <v>0</v>
      </c>
      <c r="R207" s="3">
        <v>163118</v>
      </c>
      <c r="S207" s="3">
        <f>+Tabla22[[#This Row],[Ent. en Tienda 2026]]</f>
        <v>0</v>
      </c>
      <c r="T207" s="3">
        <v>660447</v>
      </c>
      <c r="U207" s="3">
        <f>+Tabla22[[#This Row],[Meli Drop 2026]]</f>
        <v>0</v>
      </c>
      <c r="V207" s="3">
        <v>62295</v>
      </c>
      <c r="W207" s="3">
        <f>+Tabla22[[#This Row],[Meli Full 2026]]</f>
        <v>0</v>
      </c>
      <c r="X207" s="3">
        <v>26946</v>
      </c>
      <c r="Y207" s="3">
        <f>+Tabla22[[#This Row],[Amazon Drop 2026]]</f>
        <v>0</v>
      </c>
      <c r="Z207" s="3">
        <v>13471</v>
      </c>
      <c r="AA207" s="3">
        <f>+Tabla22[[#This Row],[Amazon Full 2026]]</f>
        <v>0</v>
      </c>
      <c r="AB207" s="3">
        <v>0</v>
      </c>
      <c r="AC207" s="3">
        <f>+Tabla22[[#This Row],[TikTok 2026]]</f>
        <v>0</v>
      </c>
      <c r="AD207" s="3">
        <v>0</v>
      </c>
      <c r="AE207" s="3">
        <f>+Tabla22[[#This Row],[Shein 2026]]</f>
        <v>0</v>
      </c>
      <c r="AF207" s="5">
        <f t="shared" si="55"/>
        <v>0</v>
      </c>
      <c r="AG207" s="4">
        <f t="shared" si="56"/>
        <v>0</v>
      </c>
      <c r="AH207" s="5">
        <f t="shared" si="57"/>
        <v>-5621235.134280039</v>
      </c>
      <c r="AI207" s="17">
        <f t="shared" si="58"/>
        <v>-1</v>
      </c>
      <c r="AJ207" s="17">
        <f t="shared" si="59"/>
        <v>8.9659448512505069E-2</v>
      </c>
      <c r="AK207" s="14" t="e">
        <f t="shared" si="60"/>
        <v>#DIV/0!</v>
      </c>
      <c r="AL207" s="14">
        <f t="shared" si="61"/>
        <v>-1</v>
      </c>
    </row>
    <row r="208" spans="1:38" x14ac:dyDescent="0.3">
      <c r="A208" s="63">
        <v>45863</v>
      </c>
      <c r="B208" s="3">
        <v>41355051</v>
      </c>
      <c r="C208" s="3">
        <f t="shared" si="62"/>
        <v>3089100.5862068967</v>
      </c>
      <c r="D208" s="4">
        <f>+Tabla22[[#This Row],[Share diario]]</f>
        <v>3.1691229210800961E-2</v>
      </c>
      <c r="E208" s="3">
        <f>+Tabla22[[#This Row],[Global 2026]]</f>
        <v>0</v>
      </c>
      <c r="F208" s="7">
        <v>46227</v>
      </c>
      <c r="G208" s="3">
        <f>+Tabla2[[#This Row],[Meta Digital]]+Tabla2[[#This Row],[Meta MKPlace]]</f>
        <v>4776441.747585997</v>
      </c>
      <c r="H208" s="3">
        <v>3778168.0274457671</v>
      </c>
      <c r="I208" s="3">
        <v>998273.72014023026</v>
      </c>
      <c r="J208" s="3">
        <v>2242610</v>
      </c>
      <c r="K208" s="3">
        <f>+Tabla22[[#This Row],[Web + APP 2026]]</f>
        <v>0</v>
      </c>
      <c r="L208" s="3">
        <v>44752.586206896522</v>
      </c>
      <c r="M208" s="3">
        <f>+Tabla22[[#This Row],[Afiliados 2026]]</f>
        <v>0</v>
      </c>
      <c r="N208" s="3">
        <v>-1659</v>
      </c>
      <c r="O208" s="3">
        <f>+Tabla22[[#This Row],[TMK 2026]]</f>
        <v>0</v>
      </c>
      <c r="P208" s="3">
        <v>4160</v>
      </c>
      <c r="Q208" s="3">
        <f>+Tabla22[[#This Row],[WA 2026]]</f>
        <v>0</v>
      </c>
      <c r="R208" s="3">
        <v>125791</v>
      </c>
      <c r="S208" s="3">
        <f>+Tabla22[[#This Row],[Ent. en Tienda 2026]]</f>
        <v>0</v>
      </c>
      <c r="T208" s="3">
        <v>585838</v>
      </c>
      <c r="U208" s="3">
        <f>+Tabla22[[#This Row],[Meli Drop 2026]]</f>
        <v>0</v>
      </c>
      <c r="V208" s="3">
        <v>65896</v>
      </c>
      <c r="W208" s="3">
        <f>+Tabla22[[#This Row],[Meli Full 2026]]</f>
        <v>0</v>
      </c>
      <c r="X208" s="3">
        <v>16520</v>
      </c>
      <c r="Y208" s="3">
        <f>+Tabla22[[#This Row],[Amazon Drop 2026]]</f>
        <v>0</v>
      </c>
      <c r="Z208" s="3">
        <v>5192</v>
      </c>
      <c r="AA208" s="3">
        <f>+Tabla22[[#This Row],[Amazon Full 2026]]</f>
        <v>0</v>
      </c>
      <c r="AB208" s="3">
        <v>0</v>
      </c>
      <c r="AC208" s="3">
        <f>+Tabla22[[#This Row],[TikTok 2026]]</f>
        <v>0</v>
      </c>
      <c r="AD208" s="3">
        <v>0</v>
      </c>
      <c r="AE208" s="3">
        <f>+Tabla22[[#This Row],[Shein 2026]]</f>
        <v>0</v>
      </c>
      <c r="AF208" s="5">
        <f t="shared" si="55"/>
        <v>0</v>
      </c>
      <c r="AG208" s="4">
        <f t="shared" si="56"/>
        <v>0</v>
      </c>
      <c r="AH208" s="5">
        <f t="shared" si="57"/>
        <v>-4776441.747585997</v>
      </c>
      <c r="AI208" s="17">
        <f t="shared" si="58"/>
        <v>-1</v>
      </c>
      <c r="AJ208" s="17">
        <f t="shared" si="59"/>
        <v>7.4697056623310581E-2</v>
      </c>
      <c r="AK208" s="14" t="e">
        <f t="shared" si="60"/>
        <v>#DIV/0!</v>
      </c>
      <c r="AL208" s="14">
        <f t="shared" si="61"/>
        <v>-1</v>
      </c>
    </row>
    <row r="209" spans="1:38" x14ac:dyDescent="0.3">
      <c r="A209" s="7">
        <v>45864</v>
      </c>
      <c r="B209" s="3">
        <v>46933783</v>
      </c>
      <c r="C209" s="3">
        <f t="shared" si="62"/>
        <v>2553876.2068965519</v>
      </c>
      <c r="D209" s="4">
        <f>+Tabla22[[#This Row],[Share diario]]</f>
        <v>2.6739999823006733E-2</v>
      </c>
      <c r="E209" s="3">
        <f>+Tabla22[[#This Row],[Global 2026]]</f>
        <v>0</v>
      </c>
      <c r="F209" s="7">
        <v>46228</v>
      </c>
      <c r="G209" s="3">
        <f>+Tabla2[[#This Row],[Meta Digital]]+Tabla2[[#This Row],[Meta MKPlace]]</f>
        <v>4030201.8781121145</v>
      </c>
      <c r="H209" s="3">
        <v>3187891.8836874026</v>
      </c>
      <c r="I209" s="3">
        <v>842309.99442471203</v>
      </c>
      <c r="J209" s="3">
        <v>1814470</v>
      </c>
      <c r="K209" s="3">
        <f>+Tabla22[[#This Row],[Web + APP 2026]]</f>
        <v>0</v>
      </c>
      <c r="L209" s="3">
        <v>48636.206896551696</v>
      </c>
      <c r="M209" s="3">
        <f>+Tabla22[[#This Row],[Afiliados 2026]]</f>
        <v>0</v>
      </c>
      <c r="N209" s="3">
        <v>22502</v>
      </c>
      <c r="O209" s="3">
        <f>+Tabla22[[#This Row],[TMK 2026]]</f>
        <v>0</v>
      </c>
      <c r="P209" s="3">
        <v>8441</v>
      </c>
      <c r="Q209" s="3">
        <f>+Tabla22[[#This Row],[WA 2026]]</f>
        <v>0</v>
      </c>
      <c r="R209" s="3">
        <v>137101</v>
      </c>
      <c r="S209" s="3">
        <f>+Tabla22[[#This Row],[Ent. en Tienda 2026]]</f>
        <v>0</v>
      </c>
      <c r="T209" s="3">
        <v>418048</v>
      </c>
      <c r="U209" s="3">
        <f>+Tabla22[[#This Row],[Meli Drop 2026]]</f>
        <v>0</v>
      </c>
      <c r="V209" s="3">
        <v>74083</v>
      </c>
      <c r="W209" s="3">
        <f>+Tabla22[[#This Row],[Meli Full 2026]]</f>
        <v>0</v>
      </c>
      <c r="X209" s="3">
        <v>22565</v>
      </c>
      <c r="Y209" s="3">
        <f>+Tabla22[[#This Row],[Amazon Drop 2026]]</f>
        <v>0</v>
      </c>
      <c r="Z209" s="3">
        <v>8030</v>
      </c>
      <c r="AA209" s="3">
        <f>+Tabla22[[#This Row],[Amazon Full 2026]]</f>
        <v>0</v>
      </c>
      <c r="AB209" s="3">
        <v>0</v>
      </c>
      <c r="AC209" s="3">
        <f>+Tabla22[[#This Row],[TikTok 2026]]</f>
        <v>0</v>
      </c>
      <c r="AD209" s="3">
        <v>0</v>
      </c>
      <c r="AE209" s="3">
        <f>+Tabla22[[#This Row],[Shein 2026]]</f>
        <v>0</v>
      </c>
      <c r="AF209" s="5">
        <f t="shared" si="55"/>
        <v>0</v>
      </c>
      <c r="AG209" s="4">
        <f t="shared" si="56"/>
        <v>0</v>
      </c>
      <c r="AH209" s="5">
        <f t="shared" si="57"/>
        <v>-4030201.8781121145</v>
      </c>
      <c r="AI209" s="17">
        <f t="shared" si="58"/>
        <v>-1</v>
      </c>
      <c r="AJ209" s="17">
        <f t="shared" si="59"/>
        <v>5.4414454656181284E-2</v>
      </c>
      <c r="AK209" s="14" t="e">
        <f t="shared" si="60"/>
        <v>#DIV/0!</v>
      </c>
      <c r="AL209" s="14">
        <f t="shared" si="61"/>
        <v>-1</v>
      </c>
    </row>
    <row r="210" spans="1:38" x14ac:dyDescent="0.3">
      <c r="A210" s="63">
        <v>45865</v>
      </c>
      <c r="B210" s="3">
        <v>47081332</v>
      </c>
      <c r="C210" s="3">
        <f t="shared" si="62"/>
        <v>3234996.3103448274</v>
      </c>
      <c r="D210" s="4">
        <f>+Tabla22[[#This Row],[Share diario]]</f>
        <v>2.2106968489572207E-2</v>
      </c>
      <c r="E210" s="3">
        <f>+Tabla22[[#This Row],[Global 2026]]</f>
        <v>0</v>
      </c>
      <c r="F210" s="7">
        <v>46229</v>
      </c>
      <c r="G210" s="3">
        <f>+Tabla2[[#This Row],[Meta Digital]]+Tabla2[[#This Row],[Meta MKPlace]]</f>
        <v>3331920.2137534292</v>
      </c>
      <c r="H210" s="3">
        <v>2635550.7063319045</v>
      </c>
      <c r="I210" s="3">
        <v>696369.5074215245</v>
      </c>
      <c r="J210" s="3">
        <v>2492742</v>
      </c>
      <c r="K210" s="3">
        <f>+Tabla22[[#This Row],[Web + APP 2026]]</f>
        <v>0</v>
      </c>
      <c r="L210" s="3">
        <v>46004.310344827565</v>
      </c>
      <c r="M210" s="3">
        <f>+Tabla22[[#This Row],[Afiliados 2026]]</f>
        <v>0</v>
      </c>
      <c r="N210" s="3">
        <v>188</v>
      </c>
      <c r="O210" s="3">
        <f>+Tabla22[[#This Row],[TMK 2026]]</f>
        <v>0</v>
      </c>
      <c r="P210" s="3">
        <v>5260</v>
      </c>
      <c r="Q210" s="3">
        <f>+Tabla22[[#This Row],[WA 2026]]</f>
        <v>0</v>
      </c>
      <c r="R210" s="3">
        <v>96913</v>
      </c>
      <c r="S210" s="3">
        <f>+Tabla22[[#This Row],[Ent. en Tienda 2026]]</f>
        <v>0</v>
      </c>
      <c r="T210" s="3">
        <v>456920</v>
      </c>
      <c r="U210" s="3">
        <f>+Tabla22[[#This Row],[Meli Drop 2026]]</f>
        <v>0</v>
      </c>
      <c r="V210" s="3">
        <v>102581</v>
      </c>
      <c r="W210" s="3">
        <f>+Tabla22[[#This Row],[Meli Full 2026]]</f>
        <v>0</v>
      </c>
      <c r="X210" s="3">
        <v>25564</v>
      </c>
      <c r="Y210" s="3">
        <f>+Tabla22[[#This Row],[Amazon Drop 2026]]</f>
        <v>0</v>
      </c>
      <c r="Z210" s="3">
        <v>8824</v>
      </c>
      <c r="AA210" s="3">
        <f>+Tabla22[[#This Row],[Amazon Full 2026]]</f>
        <v>0</v>
      </c>
      <c r="AB210" s="3">
        <v>0</v>
      </c>
      <c r="AC210" s="3">
        <f>+Tabla22[[#This Row],[TikTok 2026]]</f>
        <v>0</v>
      </c>
      <c r="AD210" s="3">
        <v>0</v>
      </c>
      <c r="AE210" s="3">
        <f>+Tabla22[[#This Row],[Shein 2026]]</f>
        <v>0</v>
      </c>
      <c r="AF210" s="5">
        <f t="shared" si="55"/>
        <v>0</v>
      </c>
      <c r="AG210" s="4">
        <f t="shared" si="56"/>
        <v>0</v>
      </c>
      <c r="AH210" s="5">
        <f t="shared" si="57"/>
        <v>-3331920.2137534292</v>
      </c>
      <c r="AI210" s="17">
        <f t="shared" si="58"/>
        <v>-1</v>
      </c>
      <c r="AJ210" s="17">
        <f t="shared" si="59"/>
        <v>6.87108068723465E-2</v>
      </c>
      <c r="AK210" s="14" t="e">
        <f t="shared" si="60"/>
        <v>#DIV/0!</v>
      </c>
      <c r="AL210" s="14">
        <f t="shared" si="61"/>
        <v>-1</v>
      </c>
    </row>
    <row r="211" spans="1:38" x14ac:dyDescent="0.3">
      <c r="A211" s="7">
        <v>45866</v>
      </c>
      <c r="B211" s="3">
        <v>31605607</v>
      </c>
      <c r="C211" s="3">
        <f t="shared" si="62"/>
        <v>4663929.6896551717</v>
      </c>
      <c r="D211" s="4">
        <f>+Tabla22[[#This Row],[Share diario]]</f>
        <v>2.8002908403920262E-2</v>
      </c>
      <c r="E211" s="3">
        <f>+Tabla22[[#This Row],[Global 2026]]</f>
        <v>0</v>
      </c>
      <c r="F211" s="7">
        <v>46230</v>
      </c>
      <c r="G211" s="3">
        <f>+Tabla2[[#This Row],[Meta Digital]]+Tabla2[[#This Row],[Meta MKPlace]]</f>
        <v>4220545.0556876976</v>
      </c>
      <c r="H211" s="3">
        <v>3338453.4409642089</v>
      </c>
      <c r="I211" s="3">
        <v>882091.61472348822</v>
      </c>
      <c r="J211" s="3">
        <v>3484387</v>
      </c>
      <c r="K211" s="3">
        <f>+Tabla22[[#This Row],[Web + APP 2026]]</f>
        <v>0</v>
      </c>
      <c r="L211" s="3">
        <v>44995.689655172384</v>
      </c>
      <c r="M211" s="3">
        <f>+Tabla22[[#This Row],[Afiliados 2026]]</f>
        <v>0</v>
      </c>
      <c r="N211" s="3">
        <v>50334</v>
      </c>
      <c r="O211" s="3">
        <f>+Tabla22[[#This Row],[TMK 2026]]</f>
        <v>0</v>
      </c>
      <c r="P211" s="3">
        <v>7472</v>
      </c>
      <c r="Q211" s="3">
        <f>+Tabla22[[#This Row],[WA 2026]]</f>
        <v>0</v>
      </c>
      <c r="R211" s="3">
        <v>92406</v>
      </c>
      <c r="S211" s="3">
        <f>+Tabla22[[#This Row],[Ent. en Tienda 2026]]</f>
        <v>0</v>
      </c>
      <c r="T211" s="3">
        <v>769591</v>
      </c>
      <c r="U211" s="3">
        <f>+Tabla22[[#This Row],[Meli Drop 2026]]</f>
        <v>0</v>
      </c>
      <c r="V211" s="3">
        <v>185943</v>
      </c>
      <c r="W211" s="3">
        <f>+Tabla22[[#This Row],[Meli Full 2026]]</f>
        <v>0</v>
      </c>
      <c r="X211" s="3">
        <v>24718</v>
      </c>
      <c r="Y211" s="3">
        <f>+Tabla22[[#This Row],[Amazon Drop 2026]]</f>
        <v>0</v>
      </c>
      <c r="Z211" s="3">
        <v>4083</v>
      </c>
      <c r="AA211" s="3">
        <f>+Tabla22[[#This Row],[Amazon Full 2026]]</f>
        <v>0</v>
      </c>
      <c r="AB211" s="3">
        <v>0</v>
      </c>
      <c r="AC211" s="3">
        <f>+Tabla22[[#This Row],[TikTok 2026]]</f>
        <v>0</v>
      </c>
      <c r="AD211" s="3">
        <v>0</v>
      </c>
      <c r="AE211" s="3">
        <f>+Tabla22[[#This Row],[Shein 2026]]</f>
        <v>0</v>
      </c>
      <c r="AF211" s="5">
        <f t="shared" si="55"/>
        <v>0</v>
      </c>
      <c r="AG211" s="4">
        <f t="shared" si="56"/>
        <v>0</v>
      </c>
      <c r="AH211" s="5">
        <f t="shared" si="57"/>
        <v>-4220545.0556876976</v>
      </c>
      <c r="AI211" s="17">
        <f t="shared" si="58"/>
        <v>-1</v>
      </c>
      <c r="AJ211" s="17">
        <f t="shared" si="59"/>
        <v>0.14756652797888589</v>
      </c>
      <c r="AK211" s="14" t="e">
        <f t="shared" si="60"/>
        <v>#DIV/0!</v>
      </c>
      <c r="AL211" s="14">
        <f t="shared" si="61"/>
        <v>-1</v>
      </c>
    </row>
    <row r="212" spans="1:38" x14ac:dyDescent="0.3">
      <c r="A212" s="63">
        <v>45867</v>
      </c>
      <c r="B212" s="3">
        <v>34983760</v>
      </c>
      <c r="C212" s="3">
        <f t="shared" si="62"/>
        <v>4911503.0344827585</v>
      </c>
      <c r="D212" s="4">
        <f>+Tabla22[[#This Row],[Share diario]]</f>
        <v>4.0372100420669917E-2</v>
      </c>
      <c r="E212" s="3">
        <f>+Tabla22[[#This Row],[Global 2026]]</f>
        <v>0</v>
      </c>
      <c r="F212" s="7">
        <v>46231</v>
      </c>
      <c r="G212" s="3">
        <f>+Tabla2[[#This Row],[Meta Digital]]+Tabla2[[#This Row],[Meta MKPlace]]</f>
        <v>6084806.1337204389</v>
      </c>
      <c r="H212" s="3">
        <v>4813084.970469336</v>
      </c>
      <c r="I212" s="3">
        <v>1271721.1632511024</v>
      </c>
      <c r="J212" s="3">
        <v>3757033</v>
      </c>
      <c r="K212" s="3">
        <f>+Tabla22[[#This Row],[Web + APP 2026]]</f>
        <v>0</v>
      </c>
      <c r="L212" s="3">
        <v>48606.034482758601</v>
      </c>
      <c r="M212" s="3">
        <f>+Tabla22[[#This Row],[Afiliados 2026]]</f>
        <v>0</v>
      </c>
      <c r="N212" s="3">
        <v>41706</v>
      </c>
      <c r="O212" s="3">
        <f>+Tabla22[[#This Row],[TMK 2026]]</f>
        <v>0</v>
      </c>
      <c r="P212" s="3">
        <v>2828</v>
      </c>
      <c r="Q212" s="3">
        <f>+Tabla22[[#This Row],[WA 2026]]</f>
        <v>0</v>
      </c>
      <c r="R212" s="3">
        <v>125933</v>
      </c>
      <c r="S212" s="3">
        <f>+Tabla22[[#This Row],[Ent. en Tienda 2026]]</f>
        <v>0</v>
      </c>
      <c r="T212" s="3">
        <v>723558</v>
      </c>
      <c r="U212" s="3">
        <f>+Tabla22[[#This Row],[Meli Drop 2026]]</f>
        <v>0</v>
      </c>
      <c r="V212" s="3">
        <v>178272</v>
      </c>
      <c r="W212" s="3">
        <f>+Tabla22[[#This Row],[Meli Full 2026]]</f>
        <v>0</v>
      </c>
      <c r="X212" s="3">
        <v>20718</v>
      </c>
      <c r="Y212" s="3">
        <f>+Tabla22[[#This Row],[Amazon Drop 2026]]</f>
        <v>0</v>
      </c>
      <c r="Z212" s="3">
        <v>12849</v>
      </c>
      <c r="AA212" s="3">
        <f>+Tabla22[[#This Row],[Amazon Full 2026]]</f>
        <v>0</v>
      </c>
      <c r="AB212" s="3">
        <v>0</v>
      </c>
      <c r="AC212" s="3">
        <f>+Tabla22[[#This Row],[TikTok 2026]]</f>
        <v>0</v>
      </c>
      <c r="AD212" s="3">
        <v>0</v>
      </c>
      <c r="AE212" s="3">
        <f>+Tabla22[[#This Row],[Shein 2026]]</f>
        <v>0</v>
      </c>
      <c r="AF212" s="5">
        <f t="shared" si="55"/>
        <v>0</v>
      </c>
      <c r="AG212" s="4">
        <f t="shared" si="56"/>
        <v>0</v>
      </c>
      <c r="AH212" s="5">
        <f t="shared" si="57"/>
        <v>-6084806.1337204389</v>
      </c>
      <c r="AI212" s="17">
        <f t="shared" si="58"/>
        <v>-1</v>
      </c>
      <c r="AJ212" s="17">
        <f t="shared" si="59"/>
        <v>0.14039380085167399</v>
      </c>
      <c r="AK212" s="14" t="e">
        <f t="shared" si="60"/>
        <v>#DIV/0!</v>
      </c>
      <c r="AL212" s="14">
        <f t="shared" si="61"/>
        <v>-1</v>
      </c>
    </row>
    <row r="213" spans="1:38" x14ac:dyDescent="0.3">
      <c r="A213" s="7">
        <v>45868</v>
      </c>
      <c r="B213" s="3">
        <v>38292331</v>
      </c>
      <c r="C213" s="3">
        <f t="shared" si="62"/>
        <v>4557922.9655172415</v>
      </c>
      <c r="D213" s="4">
        <f>+Tabla22[[#This Row],[Share diario]]</f>
        <v>4.2515155012815678E-2</v>
      </c>
      <c r="E213" s="3">
        <f>+Tabla22[[#This Row],[Global 2026]]</f>
        <v>0</v>
      </c>
      <c r="F213" s="7">
        <v>46232</v>
      </c>
      <c r="G213" s="3">
        <f>+Tabla2[[#This Row],[Meta Digital]]+Tabla2[[#This Row],[Meta MKPlace]]</f>
        <v>6407803.2428951189</v>
      </c>
      <c r="H213" s="3">
        <v>5068575.8599914247</v>
      </c>
      <c r="I213" s="3">
        <v>1339227.3829036939</v>
      </c>
      <c r="J213" s="3">
        <v>3422418</v>
      </c>
      <c r="K213" s="3">
        <f>+Tabla22[[#This Row],[Web + APP 2026]]</f>
        <v>0</v>
      </c>
      <c r="L213" s="3">
        <v>44943.965517241355</v>
      </c>
      <c r="M213" s="3">
        <f>+Tabla22[[#This Row],[Afiliados 2026]]</f>
        <v>0</v>
      </c>
      <c r="N213" s="3">
        <v>35371</v>
      </c>
      <c r="O213" s="3">
        <f>+Tabla22[[#This Row],[TMK 2026]]</f>
        <v>0</v>
      </c>
      <c r="P213" s="3">
        <v>6861</v>
      </c>
      <c r="Q213" s="3">
        <f>+Tabla22[[#This Row],[WA 2026]]</f>
        <v>0</v>
      </c>
      <c r="R213" s="3">
        <v>146730</v>
      </c>
      <c r="S213" s="3">
        <f>+Tabla22[[#This Row],[Ent. en Tienda 2026]]</f>
        <v>0</v>
      </c>
      <c r="T213" s="3">
        <v>716501</v>
      </c>
      <c r="U213" s="3">
        <f>+Tabla22[[#This Row],[Meli Drop 2026]]</f>
        <v>0</v>
      </c>
      <c r="V213" s="3">
        <v>157888</v>
      </c>
      <c r="W213" s="3">
        <f>+Tabla22[[#This Row],[Meli Full 2026]]</f>
        <v>0</v>
      </c>
      <c r="X213" s="3">
        <v>21031</v>
      </c>
      <c r="Y213" s="3">
        <f>+Tabla22[[#This Row],[Amazon Drop 2026]]</f>
        <v>0</v>
      </c>
      <c r="Z213" s="3">
        <v>6179</v>
      </c>
      <c r="AA213" s="3">
        <f>+Tabla22[[#This Row],[Amazon Full 2026]]</f>
        <v>0</v>
      </c>
      <c r="AB213" s="3">
        <v>0</v>
      </c>
      <c r="AC213" s="3">
        <f>+Tabla22[[#This Row],[TikTok 2026]]</f>
        <v>0</v>
      </c>
      <c r="AD213" s="3">
        <v>0</v>
      </c>
      <c r="AE213" s="3">
        <f>+Tabla22[[#This Row],[Shein 2026]]</f>
        <v>0</v>
      </c>
      <c r="AF213" s="5">
        <f t="shared" si="55"/>
        <v>0</v>
      </c>
      <c r="AG213" s="4">
        <f t="shared" si="56"/>
        <v>0</v>
      </c>
      <c r="AH213" s="5">
        <f t="shared" si="57"/>
        <v>-6407803.2428951189</v>
      </c>
      <c r="AI213" s="17">
        <f t="shared" si="58"/>
        <v>-1</v>
      </c>
      <c r="AJ213" s="17">
        <f t="shared" si="59"/>
        <v>0.11902965545548119</v>
      </c>
      <c r="AK213" s="14" t="e">
        <f t="shared" si="60"/>
        <v>#DIV/0!</v>
      </c>
      <c r="AL213" s="14">
        <f t="shared" si="61"/>
        <v>-1</v>
      </c>
    </row>
    <row r="214" spans="1:38" x14ac:dyDescent="0.3">
      <c r="A214" s="63">
        <v>45869</v>
      </c>
      <c r="B214" s="3">
        <v>42257151</v>
      </c>
      <c r="C214" s="3">
        <f t="shared" si="62"/>
        <v>4406171.068965517</v>
      </c>
      <c r="D214" s="4">
        <f>+Tabla22[[#This Row],[Share diario]]</f>
        <v>3.9454480645728755E-2</v>
      </c>
      <c r="E214" s="3">
        <f>+Tabla22[[#This Row],[Global 2026]]</f>
        <v>0</v>
      </c>
      <c r="F214" s="7">
        <v>46233</v>
      </c>
      <c r="G214" s="3">
        <f>+Tabla2[[#This Row],[Meta Digital]]+Tabla2[[#This Row],[Meta MKPlace]]</f>
        <v>5946504.2277803039</v>
      </c>
      <c r="H214" s="3">
        <v>4703688.0874398481</v>
      </c>
      <c r="I214" s="3">
        <v>1242816.1403404558</v>
      </c>
      <c r="J214" s="3">
        <v>3229434</v>
      </c>
      <c r="K214" s="3">
        <f>+Tabla22[[#This Row],[Web + APP 2026]]</f>
        <v>0</v>
      </c>
      <c r="L214" s="3">
        <v>53487.068965517217</v>
      </c>
      <c r="M214" s="3">
        <f>+Tabla22[[#This Row],[Afiliados 2026]]</f>
        <v>0</v>
      </c>
      <c r="N214" s="3">
        <v>38487</v>
      </c>
      <c r="O214" s="3">
        <f>+Tabla22[[#This Row],[TMK 2026]]</f>
        <v>0</v>
      </c>
      <c r="P214" s="3">
        <v>4745</v>
      </c>
      <c r="Q214" s="3">
        <f>+Tabla22[[#This Row],[WA 2026]]</f>
        <v>0</v>
      </c>
      <c r="R214" s="3">
        <v>157866</v>
      </c>
      <c r="S214" s="3">
        <f>+Tabla22[[#This Row],[Ent. en Tienda 2026]]</f>
        <v>0</v>
      </c>
      <c r="T214" s="3">
        <v>760045</v>
      </c>
      <c r="U214" s="3">
        <f>+Tabla22[[#This Row],[Meli Drop 2026]]</f>
        <v>0</v>
      </c>
      <c r="V214" s="3">
        <v>130193</v>
      </c>
      <c r="W214" s="3">
        <f>+Tabla22[[#This Row],[Meli Full 2026]]</f>
        <v>0</v>
      </c>
      <c r="X214" s="3">
        <v>26548</v>
      </c>
      <c r="Y214" s="3">
        <f>+Tabla22[[#This Row],[Amazon Drop 2026]]</f>
        <v>0</v>
      </c>
      <c r="Z214" s="3">
        <v>5366</v>
      </c>
      <c r="AA214" s="3">
        <f>+Tabla22[[#This Row],[Amazon Full 2026]]</f>
        <v>0</v>
      </c>
      <c r="AB214" s="3">
        <v>0</v>
      </c>
      <c r="AC214" s="3">
        <f>+Tabla22[[#This Row],[TikTok 2026]]</f>
        <v>0</v>
      </c>
      <c r="AD214" s="3">
        <v>0</v>
      </c>
      <c r="AE214" s="3">
        <f>+Tabla22[[#This Row],[Shein 2026]]</f>
        <v>0</v>
      </c>
      <c r="AF214" s="5">
        <f t="shared" ref="AF214:AF277" si="63">+AE214+AC214+AA214+Y214+W214+U214+S214+Q214+O214+M214+K214</f>
        <v>0</v>
      </c>
      <c r="AG214" s="4">
        <f t="shared" ref="AG214:AG277" si="64">+AF214/G214</f>
        <v>0</v>
      </c>
      <c r="AH214" s="5">
        <f t="shared" ref="AH214:AH277" si="65">+AF214-G214</f>
        <v>-5946504.2277803039</v>
      </c>
      <c r="AI214" s="17">
        <f t="shared" si="58"/>
        <v>-1</v>
      </c>
      <c r="AJ214" s="17">
        <f t="shared" si="59"/>
        <v>0.10427042440616778</v>
      </c>
      <c r="AK214" s="14" t="e">
        <f t="shared" si="60"/>
        <v>#DIV/0!</v>
      </c>
      <c r="AL214" s="14">
        <f t="shared" si="61"/>
        <v>-1</v>
      </c>
    </row>
    <row r="215" spans="1:38" x14ac:dyDescent="0.3">
      <c r="A215" s="7">
        <v>45870</v>
      </c>
      <c r="B215" s="3">
        <v>42166401</v>
      </c>
      <c r="C215" s="3">
        <f t="shared" si="62"/>
        <v>3719323.8275862071</v>
      </c>
      <c r="D215" s="4">
        <f>+Tabla22[[#This Row],[Share diario]]</f>
        <v>3.814087962378318E-2</v>
      </c>
      <c r="E215" s="3">
        <f>+Tabla22[[#This Row],[Global 2026]]</f>
        <v>0</v>
      </c>
      <c r="F215" s="7">
        <v>46234</v>
      </c>
      <c r="G215" s="3">
        <f>+Tabla2[[#This Row],[Meta Digital]]+Tabla2[[#This Row],[Meta MKPlace]]</f>
        <v>5748520.7819771329</v>
      </c>
      <c r="H215" s="3">
        <v>4547083.0738279624</v>
      </c>
      <c r="I215" s="3">
        <v>1201437.7081491703</v>
      </c>
      <c r="J215" s="3">
        <v>2745483</v>
      </c>
      <c r="K215" s="3">
        <f>+Tabla22[[#This Row],[Web + APP 2026]]</f>
        <v>0</v>
      </c>
      <c r="L215" s="3">
        <v>43694.827586206884</v>
      </c>
      <c r="M215" s="3">
        <f>+Tabla22[[#This Row],[Afiliados 2026]]</f>
        <v>0</v>
      </c>
      <c r="N215" s="3">
        <v>12201</v>
      </c>
      <c r="O215" s="3">
        <f>+Tabla22[[#This Row],[TMK 2026]]</f>
        <v>0</v>
      </c>
      <c r="P215" s="3">
        <v>2825</v>
      </c>
      <c r="Q215" s="3">
        <f>+Tabla22[[#This Row],[WA 2026]]</f>
        <v>0</v>
      </c>
      <c r="R215" s="3">
        <v>168709</v>
      </c>
      <c r="S215" s="3">
        <f>+Tabla22[[#This Row],[Ent. en Tienda 2026]]</f>
        <v>0</v>
      </c>
      <c r="T215" s="3">
        <v>619607</v>
      </c>
      <c r="U215" s="3">
        <f>+Tabla22[[#This Row],[Meli Drop 2026]]</f>
        <v>0</v>
      </c>
      <c r="V215" s="3">
        <v>90655</v>
      </c>
      <c r="W215" s="3">
        <f>+Tabla22[[#This Row],[Meli Full 2026]]</f>
        <v>0</v>
      </c>
      <c r="X215" s="3">
        <v>24972</v>
      </c>
      <c r="Y215" s="3">
        <f>+Tabla22[[#This Row],[Amazon Drop 2026]]</f>
        <v>0</v>
      </c>
      <c r="Z215" s="3">
        <v>11177</v>
      </c>
      <c r="AA215" s="3">
        <f>+Tabla22[[#This Row],[Amazon Full 2026]]</f>
        <v>0</v>
      </c>
      <c r="AB215" s="3">
        <v>0</v>
      </c>
      <c r="AC215" s="3">
        <f>+Tabla22[[#This Row],[TikTok 2026]]</f>
        <v>0</v>
      </c>
      <c r="AD215" s="3">
        <v>0</v>
      </c>
      <c r="AE215" s="3">
        <f>+Tabla22[[#This Row],[Shein 2026]]</f>
        <v>0</v>
      </c>
      <c r="AF215" s="5">
        <f t="shared" si="63"/>
        <v>0</v>
      </c>
      <c r="AG215" s="4">
        <f t="shared" si="64"/>
        <v>0</v>
      </c>
      <c r="AH215" s="5">
        <f t="shared" si="65"/>
        <v>-5748520.7819771329</v>
      </c>
      <c r="AI215" s="17">
        <f t="shared" si="58"/>
        <v>-1</v>
      </c>
      <c r="AJ215" s="17">
        <f t="shared" si="59"/>
        <v>8.8205863895906289E-2</v>
      </c>
      <c r="AK215" s="14" t="e">
        <f t="shared" si="60"/>
        <v>#DIV/0!</v>
      </c>
      <c r="AL215" s="14">
        <f t="shared" si="61"/>
        <v>-1</v>
      </c>
    </row>
    <row r="216" spans="1:38" x14ac:dyDescent="0.3">
      <c r="A216" s="63">
        <v>45871</v>
      </c>
      <c r="B216" s="3">
        <v>52987530</v>
      </c>
      <c r="C216" s="3">
        <f t="shared" si="62"/>
        <v>3065174.4827586208</v>
      </c>
      <c r="D216" s="4">
        <f>+Tabla22[[#This Row],[Share diario]]</f>
        <v>2.5616827201012268E-2</v>
      </c>
      <c r="E216" s="3">
        <f>+Tabla22[[#This Row],[Global 2026]]</f>
        <v>0</v>
      </c>
      <c r="F216" s="7">
        <v>46235</v>
      </c>
      <c r="G216" s="3">
        <f>+Tabla2[[#This Row],[Meta Digital]]+Tabla2[[#This Row],[Meta MKPlace]]</f>
        <v>4919675.6128390655</v>
      </c>
      <c r="H216" s="3">
        <v>3856577.2839970561</v>
      </c>
      <c r="I216" s="3">
        <v>1063098.3288420092</v>
      </c>
      <c r="J216" s="3">
        <v>2144459</v>
      </c>
      <c r="K216" s="3">
        <f>+Tabla22[[#This Row],[Web + APP 2026]]</f>
        <v>0</v>
      </c>
      <c r="L216" s="3">
        <v>42634.482758620674</v>
      </c>
      <c r="M216" s="3">
        <f>+Tabla22[[#This Row],[Afiliados 2026]]</f>
        <v>0</v>
      </c>
      <c r="N216" s="3">
        <v>10464</v>
      </c>
      <c r="O216" s="3">
        <f>+Tabla22[[#This Row],[TMK 2026]]</f>
        <v>0</v>
      </c>
      <c r="P216" s="3">
        <v>4246</v>
      </c>
      <c r="Q216" s="3">
        <f>+Tabla22[[#This Row],[WA 2026]]</f>
        <v>0</v>
      </c>
      <c r="R216" s="3">
        <v>87668</v>
      </c>
      <c r="S216" s="3">
        <f>+Tabla22[[#This Row],[Ent. en Tienda 2026]]</f>
        <v>0</v>
      </c>
      <c r="T216" s="3">
        <v>684341</v>
      </c>
      <c r="U216" s="3">
        <f>+Tabla22[[#This Row],[Meli Drop 2026]]</f>
        <v>0</v>
      </c>
      <c r="V216" s="3">
        <v>63880</v>
      </c>
      <c r="W216" s="3">
        <f>+Tabla22[[#This Row],[Meli Full 2026]]</f>
        <v>0</v>
      </c>
      <c r="X216" s="3">
        <v>21198</v>
      </c>
      <c r="Y216" s="3">
        <f>+Tabla22[[#This Row],[Amazon Drop 2026]]</f>
        <v>0</v>
      </c>
      <c r="Z216" s="3">
        <v>6284</v>
      </c>
      <c r="AA216" s="3">
        <f>+Tabla22[[#This Row],[Amazon Full 2026]]</f>
        <v>0</v>
      </c>
      <c r="AB216" s="3">
        <v>0</v>
      </c>
      <c r="AC216" s="3">
        <f>+Tabla22[[#This Row],[TikTok 2026]]</f>
        <v>0</v>
      </c>
      <c r="AD216" s="3">
        <v>0</v>
      </c>
      <c r="AE216" s="3">
        <f>+Tabla22[[#This Row],[Shein 2026]]</f>
        <v>0</v>
      </c>
      <c r="AF216" s="5">
        <f t="shared" si="63"/>
        <v>0</v>
      </c>
      <c r="AG216" s="4">
        <f t="shared" si="64"/>
        <v>0</v>
      </c>
      <c r="AH216" s="5">
        <f t="shared" si="65"/>
        <v>-4919675.6128390655</v>
      </c>
      <c r="AI216" s="17">
        <f t="shared" si="58"/>
        <v>-1</v>
      </c>
      <c r="AJ216" s="17">
        <f t="shared" si="59"/>
        <v>5.7847091245027286E-2</v>
      </c>
      <c r="AK216" s="14" t="e">
        <f t="shared" si="60"/>
        <v>#DIV/0!</v>
      </c>
      <c r="AL216" s="14">
        <f t="shared" si="61"/>
        <v>-1</v>
      </c>
    </row>
    <row r="217" spans="1:38" x14ac:dyDescent="0.3">
      <c r="A217" s="7">
        <v>45872</v>
      </c>
      <c r="B217" s="3">
        <v>54307415</v>
      </c>
      <c r="C217" s="3">
        <f t="shared" si="62"/>
        <v>3585173.9310344825</v>
      </c>
      <c r="D217" s="4">
        <f>+Tabla22[[#This Row],[Share diario]]</f>
        <v>2.1111376343032284E-2</v>
      </c>
      <c r="E217" s="3">
        <f>+Tabla22[[#This Row],[Global 2026]]</f>
        <v>0</v>
      </c>
      <c r="F217" s="7">
        <v>46236</v>
      </c>
      <c r="G217" s="3">
        <f>+Tabla2[[#This Row],[Meta Digital]]+Tabla2[[#This Row],[Meta MKPlace]]</f>
        <v>4054410.1161825126</v>
      </c>
      <c r="H217" s="3">
        <v>3178287.9979466726</v>
      </c>
      <c r="I217" s="3">
        <v>876122.11823583976</v>
      </c>
      <c r="J217" s="3">
        <v>2587395</v>
      </c>
      <c r="K217" s="3">
        <f>+Tabla22[[#This Row],[Web + APP 2026]]</f>
        <v>0</v>
      </c>
      <c r="L217" s="3">
        <v>45812.931034482739</v>
      </c>
      <c r="M217" s="3">
        <f>+Tabla22[[#This Row],[Afiliados 2026]]</f>
        <v>0</v>
      </c>
      <c r="N217" s="3">
        <v>9328</v>
      </c>
      <c r="O217" s="3">
        <f>+Tabla22[[#This Row],[TMK 2026]]</f>
        <v>0</v>
      </c>
      <c r="P217" s="3">
        <v>2300</v>
      </c>
      <c r="Q217" s="3">
        <f>+Tabla22[[#This Row],[WA 2026]]</f>
        <v>0</v>
      </c>
      <c r="R217" s="3">
        <v>132317</v>
      </c>
      <c r="S217" s="3">
        <f>+Tabla22[[#This Row],[Ent. en Tienda 2026]]</f>
        <v>0</v>
      </c>
      <c r="T217" s="3">
        <v>692254</v>
      </c>
      <c r="U217" s="3">
        <f>+Tabla22[[#This Row],[Meli Drop 2026]]</f>
        <v>0</v>
      </c>
      <c r="V217" s="3">
        <v>69290</v>
      </c>
      <c r="W217" s="3">
        <f>+Tabla22[[#This Row],[Meli Full 2026]]</f>
        <v>0</v>
      </c>
      <c r="X217" s="3">
        <v>36198</v>
      </c>
      <c r="Y217" s="3">
        <f>+Tabla22[[#This Row],[Amazon Drop 2026]]</f>
        <v>0</v>
      </c>
      <c r="Z217" s="3">
        <v>10279</v>
      </c>
      <c r="AA217" s="3">
        <f>+Tabla22[[#This Row],[Amazon Full 2026]]</f>
        <v>0</v>
      </c>
      <c r="AB217" s="3">
        <v>0</v>
      </c>
      <c r="AC217" s="3">
        <f>+Tabla22[[#This Row],[TikTok 2026]]</f>
        <v>0</v>
      </c>
      <c r="AD217" s="3">
        <v>0</v>
      </c>
      <c r="AE217" s="3">
        <f>+Tabla22[[#This Row],[Shein 2026]]</f>
        <v>0</v>
      </c>
      <c r="AF217" s="5">
        <f t="shared" si="63"/>
        <v>0</v>
      </c>
      <c r="AG217" s="4">
        <f t="shared" si="64"/>
        <v>0</v>
      </c>
      <c r="AH217" s="5">
        <f t="shared" si="65"/>
        <v>-4054410.1161825126</v>
      </c>
      <c r="AI217" s="17">
        <f t="shared" si="58"/>
        <v>-1</v>
      </c>
      <c r="AJ217" s="17">
        <f t="shared" si="59"/>
        <v>6.6016287665956533E-2</v>
      </c>
      <c r="AK217" s="14" t="e">
        <f t="shared" si="60"/>
        <v>#DIV/0!</v>
      </c>
      <c r="AL217" s="14">
        <f t="shared" si="61"/>
        <v>-1</v>
      </c>
    </row>
    <row r="218" spans="1:38" x14ac:dyDescent="0.3">
      <c r="A218" s="63">
        <v>45873</v>
      </c>
      <c r="B218" s="3">
        <v>34014104</v>
      </c>
      <c r="C218" s="3">
        <f t="shared" si="62"/>
        <v>4860602.7931034481</v>
      </c>
      <c r="D218" s="4">
        <f>+Tabla22[[#This Row],[Share diario]]</f>
        <v>2.4692870353396384E-2</v>
      </c>
      <c r="E218" s="3">
        <f>+Tabla22[[#This Row],[Global 2026]]</f>
        <v>0</v>
      </c>
      <c r="F218" s="7">
        <v>46237</v>
      </c>
      <c r="G218" s="3">
        <f>+Tabla2[[#This Row],[Meta Digital]]+Tabla2[[#This Row],[Meta MKPlace]]</f>
        <v>4742231.0005589034</v>
      </c>
      <c r="H218" s="3">
        <v>3717476.8808929534</v>
      </c>
      <c r="I218" s="3">
        <v>1024754.11966595</v>
      </c>
      <c r="J218" s="3">
        <v>3838217</v>
      </c>
      <c r="K218" s="3">
        <f>+Tabla22[[#This Row],[Web + APP 2026]]</f>
        <v>0</v>
      </c>
      <c r="L218" s="3">
        <v>45938.793103448254</v>
      </c>
      <c r="M218" s="3">
        <f>+Tabla22[[#This Row],[Afiliados 2026]]</f>
        <v>0</v>
      </c>
      <c r="N218" s="3">
        <v>56057</v>
      </c>
      <c r="O218" s="3">
        <f>+Tabla22[[#This Row],[TMK 2026]]</f>
        <v>0</v>
      </c>
      <c r="P218" s="3">
        <v>1839</v>
      </c>
      <c r="Q218" s="3">
        <f>+Tabla22[[#This Row],[WA 2026]]</f>
        <v>0</v>
      </c>
      <c r="R218" s="3">
        <v>73598</v>
      </c>
      <c r="S218" s="3">
        <f>+Tabla22[[#This Row],[Ent. en Tienda 2026]]</f>
        <v>0</v>
      </c>
      <c r="T218" s="3">
        <v>691486</v>
      </c>
      <c r="U218" s="3">
        <f>+Tabla22[[#This Row],[Meli Drop 2026]]</f>
        <v>0</v>
      </c>
      <c r="V218" s="3">
        <v>97155</v>
      </c>
      <c r="W218" s="3">
        <f>+Tabla22[[#This Row],[Meli Full 2026]]</f>
        <v>0</v>
      </c>
      <c r="X218" s="3">
        <v>44478</v>
      </c>
      <c r="Y218" s="3">
        <f>+Tabla22[[#This Row],[Amazon Drop 2026]]</f>
        <v>0</v>
      </c>
      <c r="Z218" s="3">
        <v>11834</v>
      </c>
      <c r="AA218" s="3">
        <f>+Tabla22[[#This Row],[Amazon Full 2026]]</f>
        <v>0</v>
      </c>
      <c r="AB218" s="3">
        <v>0</v>
      </c>
      <c r="AC218" s="3">
        <f>+Tabla22[[#This Row],[TikTok 2026]]</f>
        <v>0</v>
      </c>
      <c r="AD218" s="3">
        <v>0</v>
      </c>
      <c r="AE218" s="3">
        <f>+Tabla22[[#This Row],[Shein 2026]]</f>
        <v>0</v>
      </c>
      <c r="AF218" s="5">
        <f t="shared" si="63"/>
        <v>0</v>
      </c>
      <c r="AG218" s="4">
        <f t="shared" si="64"/>
        <v>0</v>
      </c>
      <c r="AH218" s="5">
        <f t="shared" si="65"/>
        <v>-4742231.0005589034</v>
      </c>
      <c r="AI218" s="17">
        <f t="shared" si="58"/>
        <v>-1</v>
      </c>
      <c r="AJ218" s="17">
        <f t="shared" si="59"/>
        <v>0.14289962755166058</v>
      </c>
      <c r="AK218" s="14" t="e">
        <f t="shared" si="60"/>
        <v>#DIV/0!</v>
      </c>
      <c r="AL218" s="14">
        <f t="shared" si="61"/>
        <v>-1</v>
      </c>
    </row>
    <row r="219" spans="1:38" x14ac:dyDescent="0.3">
      <c r="A219" s="7">
        <v>45874</v>
      </c>
      <c r="B219" s="3">
        <v>36175205</v>
      </c>
      <c r="C219" s="3">
        <f t="shared" si="62"/>
        <v>4811715.7931034481</v>
      </c>
      <c r="D219" s="4">
        <f>+Tabla22[[#This Row],[Share diario]]</f>
        <v>3.3477381270266018E-2</v>
      </c>
      <c r="E219" s="3">
        <f>+Tabla22[[#This Row],[Global 2026]]</f>
        <v>0</v>
      </c>
      <c r="F219" s="7">
        <v>46238</v>
      </c>
      <c r="G219" s="3">
        <f>+Tabla2[[#This Row],[Meta Digital]]+Tabla2[[#This Row],[Meta MKPlace]]</f>
        <v>6429283.9595113816</v>
      </c>
      <c r="H219" s="3">
        <v>5039972.636795342</v>
      </c>
      <c r="I219" s="3">
        <v>1389311.3227160398</v>
      </c>
      <c r="J219" s="3">
        <v>3763555</v>
      </c>
      <c r="K219" s="3">
        <f>+Tabla22[[#This Row],[Web + APP 2026]]</f>
        <v>0</v>
      </c>
      <c r="L219" s="3">
        <v>44913.793103448246</v>
      </c>
      <c r="M219" s="3">
        <f>+Tabla22[[#This Row],[Afiliados 2026]]</f>
        <v>0</v>
      </c>
      <c r="N219" s="3">
        <v>51008</v>
      </c>
      <c r="O219" s="3">
        <f>+Tabla22[[#This Row],[TMK 2026]]</f>
        <v>0</v>
      </c>
      <c r="P219" s="3">
        <v>6626</v>
      </c>
      <c r="Q219" s="3">
        <f>+Tabla22[[#This Row],[WA 2026]]</f>
        <v>0</v>
      </c>
      <c r="R219" s="3">
        <v>103650</v>
      </c>
      <c r="S219" s="3">
        <f>+Tabla22[[#This Row],[Ent. en Tienda 2026]]</f>
        <v>0</v>
      </c>
      <c r="T219" s="3">
        <v>708997</v>
      </c>
      <c r="U219" s="3">
        <f>+Tabla22[[#This Row],[Meli Drop 2026]]</f>
        <v>0</v>
      </c>
      <c r="V219" s="3">
        <v>83531</v>
      </c>
      <c r="W219" s="3">
        <f>+Tabla22[[#This Row],[Meli Full 2026]]</f>
        <v>0</v>
      </c>
      <c r="X219" s="3">
        <v>38553</v>
      </c>
      <c r="Y219" s="3">
        <f>+Tabla22[[#This Row],[Amazon Drop 2026]]</f>
        <v>0</v>
      </c>
      <c r="Z219" s="3">
        <v>10882</v>
      </c>
      <c r="AA219" s="3">
        <f>+Tabla22[[#This Row],[Amazon Full 2026]]</f>
        <v>0</v>
      </c>
      <c r="AB219" s="3">
        <v>0</v>
      </c>
      <c r="AC219" s="3">
        <f>+Tabla22[[#This Row],[TikTok 2026]]</f>
        <v>0</v>
      </c>
      <c r="AD219" s="3">
        <v>0</v>
      </c>
      <c r="AE219" s="3">
        <f>+Tabla22[[#This Row],[Shein 2026]]</f>
        <v>0</v>
      </c>
      <c r="AF219" s="5">
        <f t="shared" si="63"/>
        <v>0</v>
      </c>
      <c r="AG219" s="4">
        <f t="shared" si="64"/>
        <v>0</v>
      </c>
      <c r="AH219" s="5">
        <f t="shared" si="65"/>
        <v>-6429283.9595113816</v>
      </c>
      <c r="AI219" s="17">
        <f t="shared" si="58"/>
        <v>-1</v>
      </c>
      <c r="AJ219" s="17">
        <f t="shared" si="59"/>
        <v>0.13301143125805226</v>
      </c>
      <c r="AK219" s="14" t="e">
        <f t="shared" si="60"/>
        <v>#DIV/0!</v>
      </c>
      <c r="AL219" s="14">
        <f t="shared" si="61"/>
        <v>-1</v>
      </c>
    </row>
    <row r="220" spans="1:38" x14ac:dyDescent="0.3">
      <c r="A220" s="63">
        <v>45875</v>
      </c>
      <c r="B220" s="3">
        <v>37816388</v>
      </c>
      <c r="C220" s="3">
        <f t="shared" si="62"/>
        <v>4851603.7586206896</v>
      </c>
      <c r="D220" s="4">
        <f>+Tabla22[[#This Row],[Share diario]]</f>
        <v>3.3140672263621489E-2</v>
      </c>
      <c r="E220" s="3">
        <f>+Tabla22[[#This Row],[Global 2026]]</f>
        <v>0</v>
      </c>
      <c r="F220" s="7">
        <v>46239</v>
      </c>
      <c r="G220" s="3">
        <f>+Tabla2[[#This Row],[Meta Digital]]+Tabla2[[#This Row],[Meta MKPlace]]</f>
        <v>6364619.4686431717</v>
      </c>
      <c r="H220" s="3">
        <v>4989281.5697028805</v>
      </c>
      <c r="I220" s="3">
        <v>1375337.8989402917</v>
      </c>
      <c r="J220" s="3">
        <v>3783964</v>
      </c>
      <c r="K220" s="3">
        <f>+Tabla22[[#This Row],[Web + APP 2026]]</f>
        <v>0</v>
      </c>
      <c r="L220" s="3">
        <v>41382.758620689638</v>
      </c>
      <c r="M220" s="3">
        <f>+Tabla22[[#This Row],[Afiliados 2026]]</f>
        <v>0</v>
      </c>
      <c r="N220" s="3">
        <v>54972</v>
      </c>
      <c r="O220" s="3">
        <f>+Tabla22[[#This Row],[TMK 2026]]</f>
        <v>0</v>
      </c>
      <c r="P220" s="3">
        <v>5869</v>
      </c>
      <c r="Q220" s="3">
        <f>+Tabla22[[#This Row],[WA 2026]]</f>
        <v>0</v>
      </c>
      <c r="R220" s="3">
        <v>93840</v>
      </c>
      <c r="S220" s="3">
        <f>+Tabla22[[#This Row],[Ent. en Tienda 2026]]</f>
        <v>0</v>
      </c>
      <c r="T220" s="3">
        <v>761176</v>
      </c>
      <c r="U220" s="3">
        <f>+Tabla22[[#This Row],[Meli Drop 2026]]</f>
        <v>0</v>
      </c>
      <c r="V220" s="3">
        <v>70344</v>
      </c>
      <c r="W220" s="3">
        <f>+Tabla22[[#This Row],[Meli Full 2026]]</f>
        <v>0</v>
      </c>
      <c r="X220" s="3">
        <v>37254</v>
      </c>
      <c r="Y220" s="3">
        <f>+Tabla22[[#This Row],[Amazon Drop 2026]]</f>
        <v>0</v>
      </c>
      <c r="Z220" s="3">
        <v>2802</v>
      </c>
      <c r="AA220" s="3">
        <f>+Tabla22[[#This Row],[Amazon Full 2026]]</f>
        <v>0</v>
      </c>
      <c r="AB220" s="3">
        <v>0</v>
      </c>
      <c r="AC220" s="3">
        <f>+Tabla22[[#This Row],[TikTok 2026]]</f>
        <v>0</v>
      </c>
      <c r="AD220" s="3">
        <v>0</v>
      </c>
      <c r="AE220" s="3">
        <f>+Tabla22[[#This Row],[Shein 2026]]</f>
        <v>0</v>
      </c>
      <c r="AF220" s="5">
        <f t="shared" si="63"/>
        <v>0</v>
      </c>
      <c r="AG220" s="4">
        <f t="shared" si="64"/>
        <v>0</v>
      </c>
      <c r="AH220" s="5">
        <f t="shared" si="65"/>
        <v>-6364619.4686431717</v>
      </c>
      <c r="AI220" s="17">
        <f t="shared" si="58"/>
        <v>-1</v>
      </c>
      <c r="AJ220" s="17">
        <f t="shared" si="59"/>
        <v>0.12829368470147623</v>
      </c>
      <c r="AK220" s="14" t="e">
        <f t="shared" si="60"/>
        <v>#DIV/0!</v>
      </c>
      <c r="AL220" s="14">
        <f t="shared" si="61"/>
        <v>-1</v>
      </c>
    </row>
    <row r="221" spans="1:38" x14ac:dyDescent="0.3">
      <c r="A221" s="7">
        <v>45876</v>
      </c>
      <c r="B221" s="3">
        <v>42821886</v>
      </c>
      <c r="C221" s="3">
        <f t="shared" si="62"/>
        <v>4267874.9655172415</v>
      </c>
      <c r="D221" s="4">
        <f>+Tabla22[[#This Row],[Share diario]]</f>
        <v>3.3415400458159536E-2</v>
      </c>
      <c r="E221" s="3">
        <f>+Tabla22[[#This Row],[Global 2026]]</f>
        <v>0</v>
      </c>
      <c r="F221" s="7">
        <v>46240</v>
      </c>
      <c r="G221" s="3">
        <f>+Tabla2[[#This Row],[Meta Digital]]+Tabla2[[#This Row],[Meta MKPlace]]</f>
        <v>6417380.6317732697</v>
      </c>
      <c r="H221" s="3">
        <v>5030641.5127596492</v>
      </c>
      <c r="I221" s="3">
        <v>1386739.1190136208</v>
      </c>
      <c r="J221" s="3">
        <v>3146416</v>
      </c>
      <c r="K221" s="3">
        <f>+Tabla22[[#This Row],[Web + APP 2026]]</f>
        <v>0</v>
      </c>
      <c r="L221" s="3">
        <v>39518.965517241362</v>
      </c>
      <c r="M221" s="3">
        <f>+Tabla22[[#This Row],[Afiliados 2026]]</f>
        <v>0</v>
      </c>
      <c r="N221" s="3">
        <v>64553</v>
      </c>
      <c r="O221" s="3">
        <f>+Tabla22[[#This Row],[TMK 2026]]</f>
        <v>0</v>
      </c>
      <c r="P221" s="3">
        <v>11511</v>
      </c>
      <c r="Q221" s="3">
        <f>+Tabla22[[#This Row],[WA 2026]]</f>
        <v>0</v>
      </c>
      <c r="R221" s="3">
        <v>133747</v>
      </c>
      <c r="S221" s="3">
        <f>+Tabla22[[#This Row],[Ent. en Tienda 2026]]</f>
        <v>0</v>
      </c>
      <c r="T221" s="3">
        <v>769223</v>
      </c>
      <c r="U221" s="3">
        <f>+Tabla22[[#This Row],[Meli Drop 2026]]</f>
        <v>0</v>
      </c>
      <c r="V221" s="3">
        <v>62096</v>
      </c>
      <c r="W221" s="3">
        <f>+Tabla22[[#This Row],[Meli Full 2026]]</f>
        <v>0</v>
      </c>
      <c r="X221" s="3">
        <v>32591</v>
      </c>
      <c r="Y221" s="3">
        <f>+Tabla22[[#This Row],[Amazon Drop 2026]]</f>
        <v>0</v>
      </c>
      <c r="Z221" s="3">
        <v>8219</v>
      </c>
      <c r="AA221" s="3">
        <f>+Tabla22[[#This Row],[Amazon Full 2026]]</f>
        <v>0</v>
      </c>
      <c r="AB221" s="3">
        <v>0</v>
      </c>
      <c r="AC221" s="3">
        <f>+Tabla22[[#This Row],[TikTok 2026]]</f>
        <v>0</v>
      </c>
      <c r="AD221" s="3">
        <v>0</v>
      </c>
      <c r="AE221" s="3">
        <f>+Tabla22[[#This Row],[Shein 2026]]</f>
        <v>0</v>
      </c>
      <c r="AF221" s="5">
        <f t="shared" si="63"/>
        <v>0</v>
      </c>
      <c r="AG221" s="4">
        <f t="shared" si="64"/>
        <v>0</v>
      </c>
      <c r="AH221" s="5">
        <f t="shared" si="65"/>
        <v>-6417380.6317732697</v>
      </c>
      <c r="AI221" s="17">
        <f t="shared" si="58"/>
        <v>-1</v>
      </c>
      <c r="AJ221" s="17">
        <f t="shared" si="59"/>
        <v>9.9665740213246132E-2</v>
      </c>
      <c r="AK221" s="14" t="e">
        <f t="shared" si="60"/>
        <v>#DIV/0!</v>
      </c>
      <c r="AL221" s="14">
        <f t="shared" si="61"/>
        <v>-1</v>
      </c>
    </row>
    <row r="222" spans="1:38" x14ac:dyDescent="0.3">
      <c r="A222" s="63">
        <v>45877</v>
      </c>
      <c r="B222" s="3">
        <v>44195500</v>
      </c>
      <c r="C222" s="3">
        <f t="shared" si="62"/>
        <v>3766393.7241379311</v>
      </c>
      <c r="D222" s="4">
        <f>+Tabla22[[#This Row],[Share diario]]</f>
        <v>2.9394970853649689E-2</v>
      </c>
      <c r="E222" s="3">
        <f>+Tabla22[[#This Row],[Global 2026]]</f>
        <v>0</v>
      </c>
      <c r="F222" s="7">
        <v>46241</v>
      </c>
      <c r="G222" s="3">
        <f>+Tabla2[[#This Row],[Meta Digital]]+Tabla2[[#This Row],[Meta MKPlace]]</f>
        <v>5645262.7842647498</v>
      </c>
      <c r="H222" s="3">
        <v>4425371.4938382879</v>
      </c>
      <c r="I222" s="3">
        <v>1219891.2904264622</v>
      </c>
      <c r="J222" s="3">
        <v>2760929</v>
      </c>
      <c r="K222" s="3">
        <f>+Tabla22[[#This Row],[Web + APP 2026]]</f>
        <v>0</v>
      </c>
      <c r="L222" s="3">
        <v>36501.724137931014</v>
      </c>
      <c r="M222" s="3">
        <f>+Tabla22[[#This Row],[Afiliados 2026]]</f>
        <v>0</v>
      </c>
      <c r="N222" s="3">
        <v>22813</v>
      </c>
      <c r="O222" s="3">
        <f>+Tabla22[[#This Row],[TMK 2026]]</f>
        <v>0</v>
      </c>
      <c r="P222" s="3">
        <v>1010</v>
      </c>
      <c r="Q222" s="3">
        <f>+Tabla22[[#This Row],[WA 2026]]</f>
        <v>0</v>
      </c>
      <c r="R222" s="3">
        <v>84465</v>
      </c>
      <c r="S222" s="3">
        <f>+Tabla22[[#This Row],[Ent. en Tienda 2026]]</f>
        <v>0</v>
      </c>
      <c r="T222" s="3">
        <v>765638</v>
      </c>
      <c r="U222" s="3">
        <f>+Tabla22[[#This Row],[Meli Drop 2026]]</f>
        <v>0</v>
      </c>
      <c r="V222" s="3">
        <v>51057</v>
      </c>
      <c r="W222" s="3">
        <f>+Tabla22[[#This Row],[Meli Full 2026]]</f>
        <v>0</v>
      </c>
      <c r="X222" s="3">
        <v>38417</v>
      </c>
      <c r="Y222" s="3">
        <f>+Tabla22[[#This Row],[Amazon Drop 2026]]</f>
        <v>0</v>
      </c>
      <c r="Z222" s="3">
        <v>5563</v>
      </c>
      <c r="AA222" s="3">
        <f>+Tabla22[[#This Row],[Amazon Full 2026]]</f>
        <v>0</v>
      </c>
      <c r="AB222" s="3">
        <v>0</v>
      </c>
      <c r="AC222" s="3">
        <f>+Tabla22[[#This Row],[TikTok 2026]]</f>
        <v>0</v>
      </c>
      <c r="AD222" s="3">
        <v>0</v>
      </c>
      <c r="AE222" s="3">
        <f>+Tabla22[[#This Row],[Shein 2026]]</f>
        <v>0</v>
      </c>
      <c r="AF222" s="5">
        <f t="shared" si="63"/>
        <v>0</v>
      </c>
      <c r="AG222" s="4">
        <f t="shared" si="64"/>
        <v>0</v>
      </c>
      <c r="AH222" s="5">
        <f t="shared" si="65"/>
        <v>-5645262.7842647498</v>
      </c>
      <c r="AI222" s="17">
        <f t="shared" si="58"/>
        <v>-1</v>
      </c>
      <c r="AJ222" s="17">
        <f t="shared" si="59"/>
        <v>8.5221204062357725E-2</v>
      </c>
      <c r="AK222" s="14" t="e">
        <f t="shared" si="60"/>
        <v>#DIV/0!</v>
      </c>
      <c r="AL222" s="14">
        <f t="shared" si="61"/>
        <v>-1</v>
      </c>
    </row>
    <row r="223" spans="1:38" x14ac:dyDescent="0.3">
      <c r="A223" s="7">
        <v>45878</v>
      </c>
      <c r="B223" s="3">
        <v>52547670</v>
      </c>
      <c r="C223" s="3">
        <f t="shared" si="62"/>
        <v>2958518.7241379311</v>
      </c>
      <c r="D223" s="4">
        <f>+Tabla22[[#This Row],[Share diario]]</f>
        <v>2.5941020915308335E-2</v>
      </c>
      <c r="E223" s="3">
        <f>+Tabla22[[#This Row],[Global 2026]]</f>
        <v>0</v>
      </c>
      <c r="F223" s="7">
        <v>46242</v>
      </c>
      <c r="G223" s="3">
        <f>+Tabla2[[#This Row],[Meta Digital]]+Tabla2[[#This Row],[Meta MKPlace]]</f>
        <v>4981936.5594247943</v>
      </c>
      <c r="H223" s="3">
        <v>3905384.1914394982</v>
      </c>
      <c r="I223" s="3">
        <v>1076552.3679852958</v>
      </c>
      <c r="J223" s="3">
        <v>2172261</v>
      </c>
      <c r="K223" s="3">
        <f>+Tabla22[[#This Row],[Web + APP 2026]]</f>
        <v>0</v>
      </c>
      <c r="L223" s="3">
        <v>36326.724137931014</v>
      </c>
      <c r="M223" s="3">
        <f>+Tabla22[[#This Row],[Afiliados 2026]]</f>
        <v>0</v>
      </c>
      <c r="N223" s="3">
        <v>7009</v>
      </c>
      <c r="O223" s="3">
        <f>+Tabla22[[#This Row],[TMK 2026]]</f>
        <v>0</v>
      </c>
      <c r="P223" s="3">
        <v>11103</v>
      </c>
      <c r="Q223" s="3">
        <f>+Tabla22[[#This Row],[WA 2026]]</f>
        <v>0</v>
      </c>
      <c r="R223" s="3">
        <v>91684</v>
      </c>
      <c r="S223" s="3">
        <f>+Tabla22[[#This Row],[Ent. en Tienda 2026]]</f>
        <v>0</v>
      </c>
      <c r="T223" s="3">
        <v>517547</v>
      </c>
      <c r="U223" s="3">
        <f>+Tabla22[[#This Row],[Meli Drop 2026]]</f>
        <v>0</v>
      </c>
      <c r="V223" s="3">
        <v>91885</v>
      </c>
      <c r="W223" s="3">
        <f>+Tabla22[[#This Row],[Meli Full 2026]]</f>
        <v>0</v>
      </c>
      <c r="X223" s="3">
        <v>25396</v>
      </c>
      <c r="Y223" s="3">
        <f>+Tabla22[[#This Row],[Amazon Drop 2026]]</f>
        <v>0</v>
      </c>
      <c r="Z223" s="3">
        <v>5307</v>
      </c>
      <c r="AA223" s="3">
        <f>+Tabla22[[#This Row],[Amazon Full 2026]]</f>
        <v>0</v>
      </c>
      <c r="AB223" s="3">
        <v>0</v>
      </c>
      <c r="AC223" s="3">
        <f>+Tabla22[[#This Row],[TikTok 2026]]</f>
        <v>0</v>
      </c>
      <c r="AD223" s="3">
        <v>0</v>
      </c>
      <c r="AE223" s="3">
        <f>+Tabla22[[#This Row],[Shein 2026]]</f>
        <v>0</v>
      </c>
      <c r="AF223" s="5">
        <f t="shared" si="63"/>
        <v>0</v>
      </c>
      <c r="AG223" s="4">
        <f t="shared" si="64"/>
        <v>0</v>
      </c>
      <c r="AH223" s="5">
        <f t="shared" si="65"/>
        <v>-4981936.5594247943</v>
      </c>
      <c r="AI223" s="17">
        <f t="shared" si="58"/>
        <v>-1</v>
      </c>
      <c r="AJ223" s="17">
        <f t="shared" si="59"/>
        <v>5.6301615735539393E-2</v>
      </c>
      <c r="AK223" s="14" t="e">
        <f t="shared" si="60"/>
        <v>#DIV/0!</v>
      </c>
      <c r="AL223" s="14">
        <f t="shared" si="61"/>
        <v>-1</v>
      </c>
    </row>
    <row r="224" spans="1:38" x14ac:dyDescent="0.3">
      <c r="A224" s="63">
        <v>45879</v>
      </c>
      <c r="B224" s="3">
        <v>53492448</v>
      </c>
      <c r="C224" s="3">
        <f t="shared" si="62"/>
        <v>3499537.5172413792</v>
      </c>
      <c r="D224" s="4">
        <f>+Tabla22[[#This Row],[Share diario]]</f>
        <v>2.0376785254642912E-2</v>
      </c>
      <c r="E224" s="3">
        <f>+Tabla22[[#This Row],[Global 2026]]</f>
        <v>0</v>
      </c>
      <c r="F224" s="7">
        <v>46243</v>
      </c>
      <c r="G224" s="3">
        <f>+Tabla2[[#This Row],[Meta Digital]]+Tabla2[[#This Row],[Meta MKPlace]]</f>
        <v>3913332.9314632704</v>
      </c>
      <c r="H224" s="3">
        <v>3067696.3433955899</v>
      </c>
      <c r="I224" s="3">
        <v>845636.58806768083</v>
      </c>
      <c r="J224" s="3">
        <v>2525352</v>
      </c>
      <c r="K224" s="3">
        <f>+Tabla22[[#This Row],[Web + APP 2026]]</f>
        <v>0</v>
      </c>
      <c r="L224" s="3">
        <v>36340.51724137929</v>
      </c>
      <c r="M224" s="3">
        <f>+Tabla22[[#This Row],[Afiliados 2026]]</f>
        <v>0</v>
      </c>
      <c r="N224" s="3">
        <v>7272</v>
      </c>
      <c r="O224" s="3">
        <f>+Tabla22[[#This Row],[TMK 2026]]</f>
        <v>0</v>
      </c>
      <c r="P224" s="3">
        <v>5023</v>
      </c>
      <c r="Q224" s="3">
        <f>+Tabla22[[#This Row],[WA 2026]]</f>
        <v>0</v>
      </c>
      <c r="R224" s="3">
        <v>153753</v>
      </c>
      <c r="S224" s="3">
        <f>+Tabla22[[#This Row],[Ent. en Tienda 2026]]</f>
        <v>0</v>
      </c>
      <c r="T224" s="3">
        <v>597616</v>
      </c>
      <c r="U224" s="3">
        <f>+Tabla22[[#This Row],[Meli Drop 2026]]</f>
        <v>0</v>
      </c>
      <c r="V224" s="3">
        <v>139394</v>
      </c>
      <c r="W224" s="3">
        <f>+Tabla22[[#This Row],[Meli Full 2026]]</f>
        <v>0</v>
      </c>
      <c r="X224" s="3">
        <v>29128</v>
      </c>
      <c r="Y224" s="3">
        <f>+Tabla22[[#This Row],[Amazon Drop 2026]]</f>
        <v>0</v>
      </c>
      <c r="Z224" s="3">
        <v>5659</v>
      </c>
      <c r="AA224" s="3">
        <f>+Tabla22[[#This Row],[Amazon Full 2026]]</f>
        <v>0</v>
      </c>
      <c r="AB224" s="3">
        <v>0</v>
      </c>
      <c r="AC224" s="3">
        <f>+Tabla22[[#This Row],[TikTok 2026]]</f>
        <v>0</v>
      </c>
      <c r="AD224" s="3">
        <v>0</v>
      </c>
      <c r="AE224" s="3">
        <f>+Tabla22[[#This Row],[Shein 2026]]</f>
        <v>0</v>
      </c>
      <c r="AF224" s="5">
        <f t="shared" si="63"/>
        <v>0</v>
      </c>
      <c r="AG224" s="4">
        <f t="shared" si="64"/>
        <v>0</v>
      </c>
      <c r="AH224" s="5">
        <f t="shared" si="65"/>
        <v>-3913332.9314632704</v>
      </c>
      <c r="AI224" s="17">
        <f t="shared" si="58"/>
        <v>-1</v>
      </c>
      <c r="AJ224" s="17">
        <f t="shared" si="59"/>
        <v>6.5421150986422968E-2</v>
      </c>
      <c r="AK224" s="14" t="e">
        <f t="shared" si="60"/>
        <v>#DIV/0!</v>
      </c>
      <c r="AL224" s="14">
        <f t="shared" si="61"/>
        <v>-1</v>
      </c>
    </row>
    <row r="225" spans="1:38" x14ac:dyDescent="0.3">
      <c r="A225" s="7">
        <v>45880</v>
      </c>
      <c r="B225" s="3">
        <v>33293539</v>
      </c>
      <c r="C225" s="3">
        <f t="shared" si="62"/>
        <v>5333277.6896551717</v>
      </c>
      <c r="D225" s="4">
        <f>+Tabla22[[#This Row],[Share diario]]</f>
        <v>2.4103049913997854E-2</v>
      </c>
      <c r="E225" s="3">
        <f>+Tabla22[[#This Row],[Global 2026]]</f>
        <v>0</v>
      </c>
      <c r="F225" s="7">
        <v>46244</v>
      </c>
      <c r="G225" s="3">
        <f>+Tabla2[[#This Row],[Meta Digital]]+Tabla2[[#This Row],[Meta MKPlace]]</f>
        <v>4628956.8152394854</v>
      </c>
      <c r="H225" s="3">
        <v>3628680.2438085745</v>
      </c>
      <c r="I225" s="3">
        <v>1000276.571430911</v>
      </c>
      <c r="J225" s="3">
        <v>3999839</v>
      </c>
      <c r="K225" s="3">
        <f>+Tabla22[[#This Row],[Web + APP 2026]]</f>
        <v>0</v>
      </c>
      <c r="L225" s="3">
        <v>32970.689655172391</v>
      </c>
      <c r="M225" s="3">
        <f>+Tabla22[[#This Row],[Afiliados 2026]]</f>
        <v>0</v>
      </c>
      <c r="N225" s="3">
        <v>56378</v>
      </c>
      <c r="O225" s="3">
        <f>+Tabla22[[#This Row],[TMK 2026]]</f>
        <v>0</v>
      </c>
      <c r="P225" s="3">
        <v>5019</v>
      </c>
      <c r="Q225" s="3">
        <f>+Tabla22[[#This Row],[WA 2026]]</f>
        <v>0</v>
      </c>
      <c r="R225" s="3">
        <v>135073</v>
      </c>
      <c r="S225" s="3">
        <f>+Tabla22[[#This Row],[Ent. en Tienda 2026]]</f>
        <v>0</v>
      </c>
      <c r="T225" s="3">
        <v>700812</v>
      </c>
      <c r="U225" s="3">
        <f>+Tabla22[[#This Row],[Meli Drop 2026]]</f>
        <v>0</v>
      </c>
      <c r="V225" s="3">
        <v>356162</v>
      </c>
      <c r="W225" s="3">
        <f>+Tabla22[[#This Row],[Meli Full 2026]]</f>
        <v>0</v>
      </c>
      <c r="X225" s="3">
        <v>39654</v>
      </c>
      <c r="Y225" s="3">
        <f>+Tabla22[[#This Row],[Amazon Drop 2026]]</f>
        <v>0</v>
      </c>
      <c r="Z225" s="3">
        <v>7370</v>
      </c>
      <c r="AA225" s="3">
        <f>+Tabla22[[#This Row],[Amazon Full 2026]]</f>
        <v>0</v>
      </c>
      <c r="AB225" s="3">
        <v>0</v>
      </c>
      <c r="AC225" s="3">
        <f>+Tabla22[[#This Row],[TikTok 2026]]</f>
        <v>0</v>
      </c>
      <c r="AD225" s="3">
        <v>0</v>
      </c>
      <c r="AE225" s="3">
        <f>+Tabla22[[#This Row],[Shein 2026]]</f>
        <v>0</v>
      </c>
      <c r="AF225" s="5">
        <f t="shared" si="63"/>
        <v>0</v>
      </c>
      <c r="AG225" s="4">
        <f t="shared" si="64"/>
        <v>0</v>
      </c>
      <c r="AH225" s="5">
        <f t="shared" si="65"/>
        <v>-4628956.8152394854</v>
      </c>
      <c r="AI225" s="17">
        <f t="shared" si="58"/>
        <v>-1</v>
      </c>
      <c r="AJ225" s="17">
        <f t="shared" si="59"/>
        <v>0.160189569803774</v>
      </c>
      <c r="AK225" s="14" t="e">
        <f t="shared" si="60"/>
        <v>#DIV/0!</v>
      </c>
      <c r="AL225" s="14">
        <f t="shared" si="61"/>
        <v>-1</v>
      </c>
    </row>
    <row r="226" spans="1:38" x14ac:dyDescent="0.3">
      <c r="A226" s="63">
        <v>45881</v>
      </c>
      <c r="B226" s="3">
        <v>36360304</v>
      </c>
      <c r="C226" s="3">
        <f t="shared" si="62"/>
        <v>5661373.8620689651</v>
      </c>
      <c r="D226" s="4">
        <f>+Tabla22[[#This Row],[Share diario]]</f>
        <v>3.6732927629906362E-2</v>
      </c>
      <c r="E226" s="3">
        <f>+Tabla22[[#This Row],[Global 2026]]</f>
        <v>0</v>
      </c>
      <c r="F226" s="7">
        <v>46245</v>
      </c>
      <c r="G226" s="3">
        <f>+Tabla2[[#This Row],[Meta Digital]]+Tabla2[[#This Row],[Meta MKPlace]]</f>
        <v>7054507.0562794581</v>
      </c>
      <c r="H226" s="3">
        <v>5530090.5596383438</v>
      </c>
      <c r="I226" s="3">
        <v>1524416.4966411141</v>
      </c>
      <c r="J226" s="3">
        <v>4225069</v>
      </c>
      <c r="K226" s="3">
        <f>+Tabla22[[#This Row],[Web + APP 2026]]</f>
        <v>0</v>
      </c>
      <c r="L226" s="3">
        <v>32825.862068965493</v>
      </c>
      <c r="M226" s="3">
        <f>+Tabla22[[#This Row],[Afiliados 2026]]</f>
        <v>0</v>
      </c>
      <c r="N226" s="3">
        <v>72043</v>
      </c>
      <c r="O226" s="3">
        <f>+Tabla22[[#This Row],[TMK 2026]]</f>
        <v>0</v>
      </c>
      <c r="P226" s="3">
        <v>15704</v>
      </c>
      <c r="Q226" s="3">
        <f>+Tabla22[[#This Row],[WA 2026]]</f>
        <v>0</v>
      </c>
      <c r="R226" s="3">
        <v>97751</v>
      </c>
      <c r="S226" s="3">
        <f>+Tabla22[[#This Row],[Ent. en Tienda 2026]]</f>
        <v>0</v>
      </c>
      <c r="T226" s="3">
        <v>651028</v>
      </c>
      <c r="U226" s="3">
        <f>+Tabla22[[#This Row],[Meli Drop 2026]]</f>
        <v>0</v>
      </c>
      <c r="V226" s="3">
        <v>527190</v>
      </c>
      <c r="W226" s="3">
        <f>+Tabla22[[#This Row],[Meli Full 2026]]</f>
        <v>0</v>
      </c>
      <c r="X226" s="3">
        <v>34217</v>
      </c>
      <c r="Y226" s="3">
        <f>+Tabla22[[#This Row],[Amazon Drop 2026]]</f>
        <v>0</v>
      </c>
      <c r="Z226" s="3">
        <v>5546</v>
      </c>
      <c r="AA226" s="3">
        <f>+Tabla22[[#This Row],[Amazon Full 2026]]</f>
        <v>0</v>
      </c>
      <c r="AB226" s="3">
        <v>0</v>
      </c>
      <c r="AC226" s="3">
        <f>+Tabla22[[#This Row],[TikTok 2026]]</f>
        <v>0</v>
      </c>
      <c r="AD226" s="3">
        <v>0</v>
      </c>
      <c r="AE226" s="3">
        <f>+Tabla22[[#This Row],[Shein 2026]]</f>
        <v>0</v>
      </c>
      <c r="AF226" s="5">
        <f t="shared" si="63"/>
        <v>0</v>
      </c>
      <c r="AG226" s="4">
        <f t="shared" si="64"/>
        <v>0</v>
      </c>
      <c r="AH226" s="5">
        <f t="shared" si="65"/>
        <v>-7054507.0562794581</v>
      </c>
      <c r="AI226" s="17">
        <f t="shared" si="58"/>
        <v>-1</v>
      </c>
      <c r="AJ226" s="17">
        <f t="shared" si="59"/>
        <v>0.15570204974273497</v>
      </c>
      <c r="AK226" s="14" t="e">
        <f t="shared" si="60"/>
        <v>#DIV/0!</v>
      </c>
      <c r="AL226" s="14">
        <f t="shared" si="61"/>
        <v>-1</v>
      </c>
    </row>
    <row r="227" spans="1:38" x14ac:dyDescent="0.3">
      <c r="A227" s="7">
        <v>45882</v>
      </c>
      <c r="B227" s="3">
        <v>39197019</v>
      </c>
      <c r="C227" s="3">
        <f t="shared" si="62"/>
        <v>5613852.4482758623</v>
      </c>
      <c r="D227" s="4">
        <f>+Tabla22[[#This Row],[Share diario]]</f>
        <v>3.8992688635844978E-2</v>
      </c>
      <c r="E227" s="3">
        <f>+Tabla22[[#This Row],[Global 2026]]</f>
        <v>0</v>
      </c>
      <c r="F227" s="7">
        <v>46246</v>
      </c>
      <c r="G227" s="3">
        <f>+Tabla2[[#This Row],[Meta Digital]]+Tabla2[[#This Row],[Meta MKPlace]]</f>
        <v>7488490.9772593984</v>
      </c>
      <c r="H227" s="3">
        <v>5870294.3988718316</v>
      </c>
      <c r="I227" s="3">
        <v>1618196.5783875666</v>
      </c>
      <c r="J227" s="3">
        <v>4089143</v>
      </c>
      <c r="K227" s="3">
        <f>+Tabla22[[#This Row],[Web + APP 2026]]</f>
        <v>0</v>
      </c>
      <c r="L227" s="3">
        <v>34528.448275862043</v>
      </c>
      <c r="M227" s="3">
        <f>+Tabla22[[#This Row],[Afiliados 2026]]</f>
        <v>0</v>
      </c>
      <c r="N227" s="3">
        <v>43939</v>
      </c>
      <c r="O227" s="3">
        <f>+Tabla22[[#This Row],[TMK 2026]]</f>
        <v>0</v>
      </c>
      <c r="P227" s="3">
        <v>4540</v>
      </c>
      <c r="Q227" s="3">
        <f>+Tabla22[[#This Row],[WA 2026]]</f>
        <v>0</v>
      </c>
      <c r="R227" s="3">
        <v>176005</v>
      </c>
      <c r="S227" s="3">
        <f>+Tabla22[[#This Row],[Ent. en Tienda 2026]]</f>
        <v>0</v>
      </c>
      <c r="T227" s="3">
        <v>668270</v>
      </c>
      <c r="U227" s="3">
        <f>+Tabla22[[#This Row],[Meli Drop 2026]]</f>
        <v>0</v>
      </c>
      <c r="V227" s="3">
        <v>554038</v>
      </c>
      <c r="W227" s="3">
        <f>+Tabla22[[#This Row],[Meli Full 2026]]</f>
        <v>0</v>
      </c>
      <c r="X227" s="3">
        <v>35960</v>
      </c>
      <c r="Y227" s="3">
        <f>+Tabla22[[#This Row],[Amazon Drop 2026]]</f>
        <v>0</v>
      </c>
      <c r="Z227" s="3">
        <v>7429</v>
      </c>
      <c r="AA227" s="3">
        <f>+Tabla22[[#This Row],[Amazon Full 2026]]</f>
        <v>0</v>
      </c>
      <c r="AB227" s="3">
        <v>0</v>
      </c>
      <c r="AC227" s="3">
        <f>+Tabla22[[#This Row],[TikTok 2026]]</f>
        <v>0</v>
      </c>
      <c r="AD227" s="3">
        <v>0</v>
      </c>
      <c r="AE227" s="3">
        <f>+Tabla22[[#This Row],[Shein 2026]]</f>
        <v>0</v>
      </c>
      <c r="AF227" s="5">
        <f t="shared" si="63"/>
        <v>0</v>
      </c>
      <c r="AG227" s="4">
        <f t="shared" si="64"/>
        <v>0</v>
      </c>
      <c r="AH227" s="5">
        <f t="shared" si="65"/>
        <v>-7488490.9772593984</v>
      </c>
      <c r="AI227" s="17">
        <f t="shared" si="58"/>
        <v>-1</v>
      </c>
      <c r="AJ227" s="17">
        <f t="shared" si="59"/>
        <v>0.14322141304357514</v>
      </c>
      <c r="AK227" s="14" t="e">
        <f t="shared" si="60"/>
        <v>#DIV/0!</v>
      </c>
      <c r="AL227" s="14">
        <f t="shared" si="61"/>
        <v>-1</v>
      </c>
    </row>
    <row r="228" spans="1:38" x14ac:dyDescent="0.3">
      <c r="A228" s="63">
        <v>45883</v>
      </c>
      <c r="B228" s="3">
        <v>44165103</v>
      </c>
      <c r="C228" s="3">
        <f t="shared" si="62"/>
        <v>4652571.6551724132</v>
      </c>
      <c r="D228" s="4">
        <f>+Tabla22[[#This Row],[Share diario]]</f>
        <v>3.8665385098450182E-2</v>
      </c>
      <c r="E228" s="3">
        <f>+Tabla22[[#This Row],[Global 2026]]</f>
        <v>0</v>
      </c>
      <c r="F228" s="7">
        <v>46247</v>
      </c>
      <c r="G228" s="3">
        <f>+Tabla2[[#This Row],[Meta Digital]]+Tabla2[[#This Row],[Meta MKPlace]]</f>
        <v>7425632.793524079</v>
      </c>
      <c r="H228" s="3">
        <v>5821019.3119383967</v>
      </c>
      <c r="I228" s="3">
        <v>1604613.4815856826</v>
      </c>
      <c r="J228" s="3">
        <v>3070125</v>
      </c>
      <c r="K228" s="3">
        <f>+Tabla22[[#This Row],[Web + APP 2026]]</f>
        <v>0</v>
      </c>
      <c r="L228" s="3">
        <v>38764.655172413768</v>
      </c>
      <c r="M228" s="3">
        <f>+Tabla22[[#This Row],[Afiliados 2026]]</f>
        <v>0</v>
      </c>
      <c r="N228" s="3">
        <v>46072</v>
      </c>
      <c r="O228" s="3">
        <f>+Tabla22[[#This Row],[TMK 2026]]</f>
        <v>0</v>
      </c>
      <c r="P228" s="3">
        <v>4716</v>
      </c>
      <c r="Q228" s="3">
        <f>+Tabla22[[#This Row],[WA 2026]]</f>
        <v>0</v>
      </c>
      <c r="R228" s="3">
        <v>195600</v>
      </c>
      <c r="S228" s="3">
        <f>+Tabla22[[#This Row],[Ent. en Tienda 2026]]</f>
        <v>0</v>
      </c>
      <c r="T228" s="3">
        <v>651924</v>
      </c>
      <c r="U228" s="3">
        <f>+Tabla22[[#This Row],[Meli Drop 2026]]</f>
        <v>0</v>
      </c>
      <c r="V228" s="3">
        <v>601203</v>
      </c>
      <c r="W228" s="3">
        <f>+Tabla22[[#This Row],[Meli Full 2026]]</f>
        <v>0</v>
      </c>
      <c r="X228" s="3">
        <v>40376</v>
      </c>
      <c r="Y228" s="3">
        <f>+Tabla22[[#This Row],[Amazon Drop 2026]]</f>
        <v>0</v>
      </c>
      <c r="Z228" s="3">
        <v>3791</v>
      </c>
      <c r="AA228" s="3">
        <f>+Tabla22[[#This Row],[Amazon Full 2026]]</f>
        <v>0</v>
      </c>
      <c r="AB228" s="3">
        <v>0</v>
      </c>
      <c r="AC228" s="3">
        <f>+Tabla22[[#This Row],[TikTok 2026]]</f>
        <v>0</v>
      </c>
      <c r="AD228" s="3">
        <v>0</v>
      </c>
      <c r="AE228" s="3">
        <f>+Tabla22[[#This Row],[Shein 2026]]</f>
        <v>0</v>
      </c>
      <c r="AF228" s="5">
        <f t="shared" si="63"/>
        <v>0</v>
      </c>
      <c r="AG228" s="4">
        <f t="shared" si="64"/>
        <v>0</v>
      </c>
      <c r="AH228" s="5">
        <f t="shared" si="65"/>
        <v>-7425632.793524079</v>
      </c>
      <c r="AI228" s="17">
        <f t="shared" si="58"/>
        <v>-1</v>
      </c>
      <c r="AJ228" s="17">
        <f t="shared" si="59"/>
        <v>0.10534497463240182</v>
      </c>
      <c r="AK228" s="14" t="e">
        <f t="shared" si="60"/>
        <v>#DIV/0!</v>
      </c>
      <c r="AL228" s="14">
        <f t="shared" si="61"/>
        <v>-1</v>
      </c>
    </row>
    <row r="229" spans="1:38" x14ac:dyDescent="0.3">
      <c r="A229" s="7">
        <v>45884</v>
      </c>
      <c r="B229" s="3">
        <v>44038774</v>
      </c>
      <c r="C229" s="3">
        <f t="shared" si="62"/>
        <v>3229228.931034483</v>
      </c>
      <c r="D229" s="4">
        <f>+Tabla22[[#This Row],[Share diario]]</f>
        <v>3.2044567683752426E-2</v>
      </c>
      <c r="E229" s="3">
        <f>+Tabla22[[#This Row],[Global 2026]]</f>
        <v>0</v>
      </c>
      <c r="F229" s="7">
        <v>46248</v>
      </c>
      <c r="G229" s="3">
        <f>+Tabla2[[#This Row],[Meta Digital]]+Tabla2[[#This Row],[Meta MKPlace]]</f>
        <v>6154114.1266510161</v>
      </c>
      <c r="H229" s="3">
        <v>4824264.5677752905</v>
      </c>
      <c r="I229" s="3">
        <v>1329849.5588757256</v>
      </c>
      <c r="J229" s="3">
        <v>2011046</v>
      </c>
      <c r="K229" s="3">
        <f>+Tabla22[[#This Row],[Web + APP 2026]]</f>
        <v>0</v>
      </c>
      <c r="L229" s="3">
        <v>34462.931034482739</v>
      </c>
      <c r="M229" s="3">
        <f>+Tabla22[[#This Row],[Afiliados 2026]]</f>
        <v>0</v>
      </c>
      <c r="N229" s="3">
        <v>24847</v>
      </c>
      <c r="O229" s="3">
        <f>+Tabla22[[#This Row],[TMK 2026]]</f>
        <v>0</v>
      </c>
      <c r="P229" s="3">
        <v>5456</v>
      </c>
      <c r="Q229" s="3">
        <f>+Tabla22[[#This Row],[WA 2026]]</f>
        <v>0</v>
      </c>
      <c r="R229" s="3">
        <v>178158</v>
      </c>
      <c r="S229" s="3">
        <f>+Tabla22[[#This Row],[Ent. en Tienda 2026]]</f>
        <v>0</v>
      </c>
      <c r="T229" s="3">
        <v>507359</v>
      </c>
      <c r="U229" s="3">
        <f>+Tabla22[[#This Row],[Meli Drop 2026]]</f>
        <v>0</v>
      </c>
      <c r="V229" s="3">
        <v>433481</v>
      </c>
      <c r="W229" s="3">
        <f>+Tabla22[[#This Row],[Meli Full 2026]]</f>
        <v>0</v>
      </c>
      <c r="X229" s="3">
        <v>26228</v>
      </c>
      <c r="Y229" s="3">
        <f>+Tabla22[[#This Row],[Amazon Drop 2026]]</f>
        <v>0</v>
      </c>
      <c r="Z229" s="3">
        <v>8191</v>
      </c>
      <c r="AA229" s="3">
        <f>+Tabla22[[#This Row],[Amazon Full 2026]]</f>
        <v>0</v>
      </c>
      <c r="AB229" s="3">
        <v>0</v>
      </c>
      <c r="AC229" s="3">
        <f>+Tabla22[[#This Row],[TikTok 2026]]</f>
        <v>0</v>
      </c>
      <c r="AD229" s="3">
        <v>0</v>
      </c>
      <c r="AE229" s="3">
        <f>+Tabla22[[#This Row],[Shein 2026]]</f>
        <v>0</v>
      </c>
      <c r="AF229" s="5">
        <f t="shared" si="63"/>
        <v>0</v>
      </c>
      <c r="AG229" s="4">
        <f t="shared" si="64"/>
        <v>0</v>
      </c>
      <c r="AH229" s="5">
        <f t="shared" si="65"/>
        <v>-6154114.1266510161</v>
      </c>
      <c r="AI229" s="17">
        <f t="shared" si="58"/>
        <v>-1</v>
      </c>
      <c r="AJ229" s="17">
        <f t="shared" si="59"/>
        <v>7.3326948907217152E-2</v>
      </c>
      <c r="AK229" s="14" t="e">
        <f t="shared" si="60"/>
        <v>#DIV/0!</v>
      </c>
      <c r="AL229" s="14">
        <f t="shared" si="61"/>
        <v>-1</v>
      </c>
    </row>
    <row r="230" spans="1:38" x14ac:dyDescent="0.3">
      <c r="A230" s="63">
        <v>45885</v>
      </c>
      <c r="B230" s="3">
        <v>60948845</v>
      </c>
      <c r="C230" s="3">
        <f t="shared" si="62"/>
        <v>4888870.137931034</v>
      </c>
      <c r="D230" s="4">
        <f>+Tabla22[[#This Row],[Share diario]]</f>
        <v>2.2241300664724805E-2</v>
      </c>
      <c r="E230" s="3">
        <f>+Tabla22[[#This Row],[Global 2026]]</f>
        <v>0</v>
      </c>
      <c r="F230" s="7">
        <v>46249</v>
      </c>
      <c r="G230" s="3">
        <f>+Tabla2[[#This Row],[Meta Digital]]+Tabla2[[#This Row],[Meta MKPlace]]</f>
        <v>4271410.4919966087</v>
      </c>
      <c r="H230" s="3">
        <v>3348396.5144105288</v>
      </c>
      <c r="I230" s="3">
        <v>923013.97758607939</v>
      </c>
      <c r="J230" s="3">
        <v>3412516</v>
      </c>
      <c r="K230" s="3">
        <f>+Tabla22[[#This Row],[Web + APP 2026]]</f>
        <v>0</v>
      </c>
      <c r="L230" s="3">
        <v>47499.137931034464</v>
      </c>
      <c r="M230" s="3">
        <f>+Tabla22[[#This Row],[Afiliados 2026]]</f>
        <v>0</v>
      </c>
      <c r="N230" s="3">
        <v>28829</v>
      </c>
      <c r="O230" s="3">
        <f>+Tabla22[[#This Row],[TMK 2026]]</f>
        <v>0</v>
      </c>
      <c r="P230" s="3">
        <v>2060</v>
      </c>
      <c r="Q230" s="3">
        <f>+Tabla22[[#This Row],[WA 2026]]</f>
        <v>0</v>
      </c>
      <c r="R230" s="3">
        <v>162266</v>
      </c>
      <c r="S230" s="3">
        <f>+Tabla22[[#This Row],[Ent. en Tienda 2026]]</f>
        <v>0</v>
      </c>
      <c r="T230" s="3">
        <v>782613</v>
      </c>
      <c r="U230" s="3">
        <f>+Tabla22[[#This Row],[Meli Drop 2026]]</f>
        <v>0</v>
      </c>
      <c r="V230" s="3">
        <v>397386</v>
      </c>
      <c r="W230" s="3">
        <f>+Tabla22[[#This Row],[Meli Full 2026]]</f>
        <v>0</v>
      </c>
      <c r="X230" s="3">
        <v>46230</v>
      </c>
      <c r="Y230" s="3">
        <f>+Tabla22[[#This Row],[Amazon Drop 2026]]</f>
        <v>0</v>
      </c>
      <c r="Z230" s="3">
        <v>9471</v>
      </c>
      <c r="AA230" s="3">
        <f>+Tabla22[[#This Row],[Amazon Full 2026]]</f>
        <v>0</v>
      </c>
      <c r="AB230" s="3">
        <v>0</v>
      </c>
      <c r="AC230" s="3">
        <f>+Tabla22[[#This Row],[TikTok 2026]]</f>
        <v>0</v>
      </c>
      <c r="AD230" s="3">
        <v>0</v>
      </c>
      <c r="AE230" s="3">
        <f>+Tabla22[[#This Row],[Shein 2026]]</f>
        <v>0</v>
      </c>
      <c r="AF230" s="5">
        <f t="shared" si="63"/>
        <v>0</v>
      </c>
      <c r="AG230" s="4">
        <f t="shared" si="64"/>
        <v>0</v>
      </c>
      <c r="AH230" s="5">
        <f t="shared" si="65"/>
        <v>-4271410.4919966087</v>
      </c>
      <c r="AI230" s="17">
        <f t="shared" si="58"/>
        <v>-1</v>
      </c>
      <c r="AJ230" s="17">
        <f t="shared" si="59"/>
        <v>8.0212678975803961E-2</v>
      </c>
      <c r="AK230" s="14" t="e">
        <f t="shared" si="60"/>
        <v>#DIV/0!</v>
      </c>
      <c r="AL230" s="14">
        <f t="shared" si="61"/>
        <v>-1</v>
      </c>
    </row>
    <row r="231" spans="1:38" x14ac:dyDescent="0.3">
      <c r="A231" s="7">
        <v>45886</v>
      </c>
      <c r="B231" s="3">
        <v>62131899</v>
      </c>
      <c r="C231" s="3">
        <f t="shared" si="62"/>
        <v>3941924.6551724137</v>
      </c>
      <c r="D231" s="4">
        <f>+Tabla22[[#This Row],[Share diario]]</f>
        <v>3.3672072488736673E-2</v>
      </c>
      <c r="E231" s="3">
        <f>+Tabla22[[#This Row],[Global 2026]]</f>
        <v>0</v>
      </c>
      <c r="F231" s="7">
        <v>46250</v>
      </c>
      <c r="G231" s="3">
        <f>+Tabla2[[#This Row],[Meta Digital]]+Tabla2[[#This Row],[Meta MKPlace]]</f>
        <v>6466674.1340255057</v>
      </c>
      <c r="H231" s="3">
        <v>5069283.1257429337</v>
      </c>
      <c r="I231" s="3">
        <v>1397391.008282572</v>
      </c>
      <c r="J231" s="3">
        <v>2730517</v>
      </c>
      <c r="K231" s="3">
        <f>+Tabla22[[#This Row],[Web + APP 2026]]</f>
        <v>0</v>
      </c>
      <c r="L231" s="3">
        <v>40964.655172413768</v>
      </c>
      <c r="M231" s="3">
        <f>+Tabla22[[#This Row],[Afiliados 2026]]</f>
        <v>0</v>
      </c>
      <c r="N231" s="3">
        <v>3525</v>
      </c>
      <c r="O231" s="3">
        <f>+Tabla22[[#This Row],[TMK 2026]]</f>
        <v>0</v>
      </c>
      <c r="P231" s="3">
        <v>11086</v>
      </c>
      <c r="Q231" s="3">
        <f>+Tabla22[[#This Row],[WA 2026]]</f>
        <v>0</v>
      </c>
      <c r="R231" s="3">
        <v>183162</v>
      </c>
      <c r="S231" s="3">
        <f>+Tabla22[[#This Row],[Ent. en Tienda 2026]]</f>
        <v>0</v>
      </c>
      <c r="T231" s="3">
        <v>524015</v>
      </c>
      <c r="U231" s="3">
        <f>+Tabla22[[#This Row],[Meli Drop 2026]]</f>
        <v>0</v>
      </c>
      <c r="V231" s="3">
        <v>403338</v>
      </c>
      <c r="W231" s="3">
        <f>+Tabla22[[#This Row],[Meli Full 2026]]</f>
        <v>0</v>
      </c>
      <c r="X231" s="3">
        <v>35960</v>
      </c>
      <c r="Y231" s="3">
        <f>+Tabla22[[#This Row],[Amazon Drop 2026]]</f>
        <v>0</v>
      </c>
      <c r="Z231" s="3">
        <v>7429</v>
      </c>
      <c r="AA231" s="3">
        <f>+Tabla22[[#This Row],[Amazon Full 2026]]</f>
        <v>0</v>
      </c>
      <c r="AB231" s="3">
        <v>1928</v>
      </c>
      <c r="AC231" s="3">
        <f>+Tabla22[[#This Row],[TikTok 2026]]</f>
        <v>0</v>
      </c>
      <c r="AD231" s="3">
        <v>0</v>
      </c>
      <c r="AE231" s="3">
        <f>+Tabla22[[#This Row],[Shein 2026]]</f>
        <v>0</v>
      </c>
      <c r="AF231" s="5">
        <f t="shared" si="63"/>
        <v>0</v>
      </c>
      <c r="AG231" s="4">
        <f t="shared" si="64"/>
        <v>0</v>
      </c>
      <c r="AH231" s="5">
        <f t="shared" si="65"/>
        <v>-6466674.1340255057</v>
      </c>
      <c r="AI231" s="17">
        <f t="shared" si="58"/>
        <v>-1</v>
      </c>
      <c r="AJ231" s="17">
        <f t="shared" si="59"/>
        <v>6.344445797757467E-2</v>
      </c>
      <c r="AK231" s="14" t="e">
        <f t="shared" si="60"/>
        <v>#DIV/0!</v>
      </c>
      <c r="AL231" s="14">
        <f t="shared" si="61"/>
        <v>-1</v>
      </c>
    </row>
    <row r="232" spans="1:38" x14ac:dyDescent="0.3">
      <c r="A232" s="63">
        <v>45887</v>
      </c>
      <c r="B232" s="3">
        <v>38507747</v>
      </c>
      <c r="C232" s="3">
        <f t="shared" si="62"/>
        <v>6164465.0517241377</v>
      </c>
      <c r="D232" s="4">
        <f>+Tabla22[[#This Row],[Share diario]]</f>
        <v>2.7149989463675188E-2</v>
      </c>
      <c r="E232" s="3">
        <f>+Tabla22[[#This Row],[Global 2026]]</f>
        <v>0</v>
      </c>
      <c r="F232" s="7">
        <v>46251</v>
      </c>
      <c r="G232" s="3">
        <f>+Tabla2[[#This Row],[Meta Digital]]+Tabla2[[#This Row],[Meta MKPlace]]</f>
        <v>5214117.2677310444</v>
      </c>
      <c r="H232" s="3">
        <v>4087392.7049885243</v>
      </c>
      <c r="I232" s="3">
        <v>1126724.5627425204</v>
      </c>
      <c r="J232" s="3">
        <v>4641789</v>
      </c>
      <c r="K232" s="3">
        <f>+Tabla22[[#This Row],[Web + APP 2026]]</f>
        <v>0</v>
      </c>
      <c r="L232" s="3">
        <v>35684.482758620681</v>
      </c>
      <c r="M232" s="3">
        <f>+Tabla22[[#This Row],[Afiliados 2026]]</f>
        <v>0</v>
      </c>
      <c r="N232" s="3">
        <v>59195</v>
      </c>
      <c r="O232" s="3">
        <f>+Tabla22[[#This Row],[TMK 2026]]</f>
        <v>0</v>
      </c>
      <c r="P232" s="3">
        <v>10114</v>
      </c>
      <c r="Q232" s="3">
        <f>+Tabla22[[#This Row],[WA 2026]]</f>
        <v>0</v>
      </c>
      <c r="R232" s="3">
        <v>136276</v>
      </c>
      <c r="S232" s="3">
        <f>+Tabla22[[#This Row],[Ent. en Tienda 2026]]</f>
        <v>0</v>
      </c>
      <c r="T232" s="3">
        <v>856553</v>
      </c>
      <c r="U232" s="3">
        <f>+Tabla22[[#This Row],[Meli Drop 2026]]</f>
        <v>0</v>
      </c>
      <c r="V232" s="3">
        <v>371767</v>
      </c>
      <c r="W232" s="3">
        <f>+Tabla22[[#This Row],[Meli Full 2026]]</f>
        <v>0</v>
      </c>
      <c r="X232" s="3">
        <v>47937</v>
      </c>
      <c r="Y232" s="3">
        <f>+Tabla22[[#This Row],[Amazon Drop 2026]]</f>
        <v>0</v>
      </c>
      <c r="Z232" s="3">
        <v>4445</v>
      </c>
      <c r="AA232" s="3">
        <f>+Tabla22[[#This Row],[Amazon Full 2026]]</f>
        <v>0</v>
      </c>
      <c r="AB232" s="3">
        <v>704.56896551724162</v>
      </c>
      <c r="AC232" s="3">
        <f>+Tabla22[[#This Row],[TikTok 2026]]</f>
        <v>0</v>
      </c>
      <c r="AD232" s="3">
        <v>0</v>
      </c>
      <c r="AE232" s="3">
        <f>+Tabla22[[#This Row],[Shein 2026]]</f>
        <v>0</v>
      </c>
      <c r="AF232" s="5">
        <f t="shared" si="63"/>
        <v>0</v>
      </c>
      <c r="AG232" s="4">
        <f t="shared" si="64"/>
        <v>0</v>
      </c>
      <c r="AH232" s="5">
        <f t="shared" si="65"/>
        <v>-5214117.2677310444</v>
      </c>
      <c r="AI232" s="17">
        <f t="shared" si="58"/>
        <v>-1</v>
      </c>
      <c r="AJ232" s="17">
        <f t="shared" si="59"/>
        <v>0.16008376318988846</v>
      </c>
      <c r="AK232" s="14" t="e">
        <f t="shared" si="60"/>
        <v>#DIV/0!</v>
      </c>
      <c r="AL232" s="14">
        <f t="shared" si="61"/>
        <v>-1</v>
      </c>
    </row>
    <row r="233" spans="1:38" x14ac:dyDescent="0.3">
      <c r="A233" s="7">
        <v>45888</v>
      </c>
      <c r="B233" s="3">
        <v>42791164</v>
      </c>
      <c r="C233" s="3">
        <f t="shared" si="62"/>
        <v>5908650.5517241377</v>
      </c>
      <c r="D233" s="4">
        <f>+Tabla22[[#This Row],[Share diario]]</f>
        <v>4.2457727086157096E-2</v>
      </c>
      <c r="E233" s="3">
        <f>+Tabla22[[#This Row],[Global 2026]]</f>
        <v>0</v>
      </c>
      <c r="F233" s="7">
        <v>46252</v>
      </c>
      <c r="G233" s="3">
        <f>+Tabla2[[#This Row],[Meta Digital]]+Tabla2[[#This Row],[Meta MKPlace]]</f>
        <v>8153946.7352182362</v>
      </c>
      <c r="H233" s="3">
        <v>6391951.0611427166</v>
      </c>
      <c r="I233" s="3">
        <v>1761995.6740755194</v>
      </c>
      <c r="J233" s="3">
        <v>4674224</v>
      </c>
      <c r="K233" s="3">
        <f>+Tabla22[[#This Row],[Web + APP 2026]]</f>
        <v>0</v>
      </c>
      <c r="L233" s="3">
        <v>38029.31034482758</v>
      </c>
      <c r="M233" s="3">
        <f>+Tabla22[[#This Row],[Afiliados 2026]]</f>
        <v>0</v>
      </c>
      <c r="N233" s="3">
        <v>63390</v>
      </c>
      <c r="O233" s="3">
        <f>+Tabla22[[#This Row],[TMK 2026]]</f>
        <v>0</v>
      </c>
      <c r="P233" s="3">
        <v>4385</v>
      </c>
      <c r="Q233" s="3">
        <f>+Tabla22[[#This Row],[WA 2026]]</f>
        <v>0</v>
      </c>
      <c r="R233" s="3">
        <v>133373</v>
      </c>
      <c r="S233" s="3">
        <f>+Tabla22[[#This Row],[Ent. en Tienda 2026]]</f>
        <v>0</v>
      </c>
      <c r="T233" s="3">
        <v>669054</v>
      </c>
      <c r="U233" s="3">
        <f>+Tabla22[[#This Row],[Meli Drop 2026]]</f>
        <v>0</v>
      </c>
      <c r="V233" s="3">
        <v>282672</v>
      </c>
      <c r="W233" s="3">
        <f>+Tabla22[[#This Row],[Meli Full 2026]]</f>
        <v>0</v>
      </c>
      <c r="X233" s="3">
        <v>39386</v>
      </c>
      <c r="Y233" s="3">
        <f>+Tabla22[[#This Row],[Amazon Drop 2026]]</f>
        <v>0</v>
      </c>
      <c r="Z233" s="3">
        <v>3720</v>
      </c>
      <c r="AA233" s="3">
        <f>+Tabla22[[#This Row],[Amazon Full 2026]]</f>
        <v>0</v>
      </c>
      <c r="AB233" s="3">
        <v>73.275862068965523</v>
      </c>
      <c r="AC233" s="3">
        <f>+Tabla22[[#This Row],[TikTok 2026]]</f>
        <v>0</v>
      </c>
      <c r="AD233" s="3">
        <v>343.96551724137936</v>
      </c>
      <c r="AE233" s="3">
        <f>+Tabla22[[#This Row],[Shein 2026]]</f>
        <v>0</v>
      </c>
      <c r="AF233" s="5">
        <f t="shared" si="63"/>
        <v>0</v>
      </c>
      <c r="AG233" s="4">
        <f t="shared" si="64"/>
        <v>0</v>
      </c>
      <c r="AH233" s="5">
        <f t="shared" si="65"/>
        <v>-8153946.7352182362</v>
      </c>
      <c r="AI233" s="17">
        <f t="shared" si="58"/>
        <v>-1</v>
      </c>
      <c r="AJ233" s="17">
        <f t="shared" si="59"/>
        <v>0.13808108963159166</v>
      </c>
      <c r="AK233" s="14" t="e">
        <f t="shared" si="60"/>
        <v>#DIV/0!</v>
      </c>
      <c r="AL233" s="14">
        <f t="shared" si="61"/>
        <v>-1</v>
      </c>
    </row>
    <row r="234" spans="1:38" x14ac:dyDescent="0.3">
      <c r="A234" s="63">
        <v>45889</v>
      </c>
      <c r="B234" s="3">
        <v>46267625</v>
      </c>
      <c r="C234" s="3">
        <f t="shared" si="62"/>
        <v>5807236.9655172406</v>
      </c>
      <c r="D234" s="4">
        <f>+Tabla22[[#This Row],[Share diario]]</f>
        <v>4.0695805794601726E-2</v>
      </c>
      <c r="E234" s="3">
        <f>+Tabla22[[#This Row],[Global 2026]]</f>
        <v>0</v>
      </c>
      <c r="F234" s="7">
        <v>46253</v>
      </c>
      <c r="G234" s="3">
        <f>+Tabla2[[#This Row],[Meta Digital]]+Tabla2[[#This Row],[Meta MKPlace]]</f>
        <v>7815572.2307649935</v>
      </c>
      <c r="H234" s="3">
        <v>6126696.290289022</v>
      </c>
      <c r="I234" s="3">
        <v>1688875.9404759717</v>
      </c>
      <c r="J234" s="3">
        <v>4567064</v>
      </c>
      <c r="K234" s="3">
        <f>+Tabla22[[#This Row],[Web + APP 2026]]</f>
        <v>0</v>
      </c>
      <c r="L234" s="3">
        <v>35700.862068965507</v>
      </c>
      <c r="M234" s="3">
        <f>+Tabla22[[#This Row],[Afiliados 2026]]</f>
        <v>0</v>
      </c>
      <c r="N234" s="3">
        <v>58510</v>
      </c>
      <c r="O234" s="3">
        <f>+Tabla22[[#This Row],[TMK 2026]]</f>
        <v>0</v>
      </c>
      <c r="P234" s="3">
        <v>15761</v>
      </c>
      <c r="Q234" s="3">
        <f>+Tabla22[[#This Row],[WA 2026]]</f>
        <v>0</v>
      </c>
      <c r="R234" s="3">
        <v>230412</v>
      </c>
      <c r="S234" s="3">
        <f>+Tabla22[[#This Row],[Ent. en Tienda 2026]]</f>
        <v>0</v>
      </c>
      <c r="T234" s="3">
        <v>657997</v>
      </c>
      <c r="U234" s="3">
        <f>+Tabla22[[#This Row],[Meli Drop 2026]]</f>
        <v>0</v>
      </c>
      <c r="V234" s="3">
        <v>205256</v>
      </c>
      <c r="W234" s="3">
        <f>+Tabla22[[#This Row],[Meli Full 2026]]</f>
        <v>0</v>
      </c>
      <c r="X234" s="3">
        <v>29971</v>
      </c>
      <c r="Y234" s="3">
        <f>+Tabla22[[#This Row],[Amazon Drop 2026]]</f>
        <v>0</v>
      </c>
      <c r="Z234" s="3">
        <v>4086</v>
      </c>
      <c r="AA234" s="3">
        <f>+Tabla22[[#This Row],[Amazon Full 2026]]</f>
        <v>0</v>
      </c>
      <c r="AB234" s="3">
        <v>2479.1034482758623</v>
      </c>
      <c r="AC234" s="3">
        <f>+Tabla22[[#This Row],[TikTok 2026]]</f>
        <v>0</v>
      </c>
      <c r="AD234" s="3">
        <v>0</v>
      </c>
      <c r="AE234" s="3">
        <f>+Tabla22[[#This Row],[Shein 2026]]</f>
        <v>0</v>
      </c>
      <c r="AF234" s="5">
        <f t="shared" si="63"/>
        <v>0</v>
      </c>
      <c r="AG234" s="4">
        <f t="shared" si="64"/>
        <v>0</v>
      </c>
      <c r="AH234" s="5">
        <f t="shared" si="65"/>
        <v>-7815572.2307649935</v>
      </c>
      <c r="AI234" s="17">
        <f t="shared" si="58"/>
        <v>-1</v>
      </c>
      <c r="AJ234" s="17">
        <f t="shared" si="59"/>
        <v>0.12551404930590754</v>
      </c>
      <c r="AK234" s="14" t="e">
        <f t="shared" si="60"/>
        <v>#DIV/0!</v>
      </c>
      <c r="AL234" s="14">
        <f t="shared" si="61"/>
        <v>-1</v>
      </c>
    </row>
    <row r="235" spans="1:38" x14ac:dyDescent="0.3">
      <c r="A235" s="7">
        <v>45890</v>
      </c>
      <c r="B235" s="3">
        <v>55157049</v>
      </c>
      <c r="C235" s="3">
        <f t="shared" si="62"/>
        <v>4963643.3103448264</v>
      </c>
      <c r="D235" s="4">
        <f>+Tabla22[[#This Row],[Share diario]]</f>
        <v>3.9997320146638385E-2</v>
      </c>
      <c r="E235" s="3">
        <f>+Tabla22[[#This Row],[Global 2026]]</f>
        <v>0</v>
      </c>
      <c r="F235" s="7">
        <v>46254</v>
      </c>
      <c r="G235" s="3">
        <f>+Tabla2[[#This Row],[Meta Digital]]+Tabla2[[#This Row],[Meta MKPlace]]</f>
        <v>7681429.0450676037</v>
      </c>
      <c r="H235" s="3">
        <v>6021540.2589821108</v>
      </c>
      <c r="I235" s="3">
        <v>1659888.7860854929</v>
      </c>
      <c r="J235" s="3">
        <v>3915278</v>
      </c>
      <c r="K235" s="3">
        <f>+Tabla22[[#This Row],[Web + APP 2026]]</f>
        <v>0</v>
      </c>
      <c r="L235" s="3">
        <v>41030.17241379308</v>
      </c>
      <c r="M235" s="3">
        <f>+Tabla22[[#This Row],[Afiliados 2026]]</f>
        <v>0</v>
      </c>
      <c r="N235" s="3">
        <v>35238</v>
      </c>
      <c r="O235" s="3">
        <f>+Tabla22[[#This Row],[TMK 2026]]</f>
        <v>0</v>
      </c>
      <c r="P235" s="3">
        <v>9197</v>
      </c>
      <c r="Q235" s="3">
        <f>+Tabla22[[#This Row],[WA 2026]]</f>
        <v>0</v>
      </c>
      <c r="R235" s="3">
        <v>143792</v>
      </c>
      <c r="S235" s="3">
        <f>+Tabla22[[#This Row],[Ent. en Tienda 2026]]</f>
        <v>0</v>
      </c>
      <c r="T235" s="3">
        <v>605960</v>
      </c>
      <c r="U235" s="3">
        <f>+Tabla22[[#This Row],[Meli Drop 2026]]</f>
        <v>0</v>
      </c>
      <c r="V235" s="3">
        <v>173300</v>
      </c>
      <c r="W235" s="3">
        <f>+Tabla22[[#This Row],[Meli Full 2026]]</f>
        <v>0</v>
      </c>
      <c r="X235" s="3">
        <v>28936</v>
      </c>
      <c r="Y235" s="3">
        <f>+Tabla22[[#This Row],[Amazon Drop 2026]]</f>
        <v>0</v>
      </c>
      <c r="Z235" s="3">
        <v>11397</v>
      </c>
      <c r="AA235" s="3">
        <f>+Tabla22[[#This Row],[Amazon Full 2026]]</f>
        <v>0</v>
      </c>
      <c r="AB235" s="3">
        <v>203.06896551724134</v>
      </c>
      <c r="AC235" s="3">
        <f>+Tabla22[[#This Row],[TikTok 2026]]</f>
        <v>0</v>
      </c>
      <c r="AD235" s="3">
        <v>-687.93103448275872</v>
      </c>
      <c r="AE235" s="3">
        <f>+Tabla22[[#This Row],[Shein 2026]]</f>
        <v>0</v>
      </c>
      <c r="AF235" s="5">
        <f t="shared" si="63"/>
        <v>0</v>
      </c>
      <c r="AG235" s="4">
        <f t="shared" si="64"/>
        <v>0</v>
      </c>
      <c r="AH235" s="5">
        <f t="shared" si="65"/>
        <v>-7681429.0450676037</v>
      </c>
      <c r="AI235" s="17">
        <f t="shared" si="58"/>
        <v>-1</v>
      </c>
      <c r="AJ235" s="17">
        <f t="shared" si="59"/>
        <v>8.9991096339197302E-2</v>
      </c>
      <c r="AK235" s="14" t="e">
        <f t="shared" si="60"/>
        <v>#DIV/0!</v>
      </c>
      <c r="AL235" s="14">
        <f t="shared" si="61"/>
        <v>-1</v>
      </c>
    </row>
    <row r="236" spans="1:38" x14ac:dyDescent="0.3">
      <c r="A236" s="63">
        <v>45891</v>
      </c>
      <c r="B236" s="3">
        <v>54388306</v>
      </c>
      <c r="C236" s="3">
        <f t="shared" si="62"/>
        <v>3985056.8620689656</v>
      </c>
      <c r="D236" s="4">
        <f>+Tabla22[[#This Row],[Share diario]]</f>
        <v>3.4187072398878596E-2</v>
      </c>
      <c r="E236" s="3">
        <f>+Tabla22[[#This Row],[Global 2026]]</f>
        <v>0</v>
      </c>
      <c r="F236" s="7">
        <v>46255</v>
      </c>
      <c r="G236" s="3">
        <f>+Tabla2[[#This Row],[Meta Digital]]+Tabla2[[#This Row],[Meta MKPlace]]</f>
        <v>6565579.1419977415</v>
      </c>
      <c r="H236" s="3">
        <v>5146815.6374442801</v>
      </c>
      <c r="I236" s="3">
        <v>1418763.5045534617</v>
      </c>
      <c r="J236" s="3">
        <v>3000765</v>
      </c>
      <c r="K236" s="3">
        <f>+Tabla22[[#This Row],[Web + APP 2026]]</f>
        <v>0</v>
      </c>
      <c r="L236" s="3">
        <v>35025.862068965493</v>
      </c>
      <c r="M236" s="3">
        <f>+Tabla22[[#This Row],[Afiliados 2026]]</f>
        <v>0</v>
      </c>
      <c r="N236" s="3">
        <v>36025</v>
      </c>
      <c r="O236" s="3">
        <f>+Tabla22[[#This Row],[TMK 2026]]</f>
        <v>0</v>
      </c>
      <c r="P236" s="3">
        <v>6236</v>
      </c>
      <c r="Q236" s="3">
        <f>+Tabla22[[#This Row],[WA 2026]]</f>
        <v>0</v>
      </c>
      <c r="R236" s="3">
        <v>178245</v>
      </c>
      <c r="S236" s="3">
        <f>+Tabla22[[#This Row],[Ent. en Tienda 2026]]</f>
        <v>0</v>
      </c>
      <c r="T236" s="3">
        <v>579403</v>
      </c>
      <c r="U236" s="3">
        <f>+Tabla22[[#This Row],[Meli Drop 2026]]</f>
        <v>0</v>
      </c>
      <c r="V236" s="3">
        <v>113017</v>
      </c>
      <c r="W236" s="3">
        <f>+Tabla22[[#This Row],[Meli Full 2026]]</f>
        <v>0</v>
      </c>
      <c r="X236" s="3">
        <v>25208</v>
      </c>
      <c r="Y236" s="3">
        <f>+Tabla22[[#This Row],[Amazon Drop 2026]]</f>
        <v>0</v>
      </c>
      <c r="Z236" s="3">
        <v>11132</v>
      </c>
      <c r="AA236" s="3">
        <f>+Tabla22[[#This Row],[Amazon Full 2026]]</f>
        <v>0</v>
      </c>
      <c r="AB236" s="3">
        <v>0</v>
      </c>
      <c r="AC236" s="3">
        <f>+Tabla22[[#This Row],[TikTok 2026]]</f>
        <v>0</v>
      </c>
      <c r="AD236" s="3">
        <v>0</v>
      </c>
      <c r="AE236" s="3">
        <f>+Tabla22[[#This Row],[Shein 2026]]</f>
        <v>0</v>
      </c>
      <c r="AF236" s="5">
        <f t="shared" si="63"/>
        <v>0</v>
      </c>
      <c r="AG236" s="4">
        <f t="shared" si="64"/>
        <v>0</v>
      </c>
      <c r="AH236" s="5">
        <f t="shared" si="65"/>
        <v>-6565579.1419977415</v>
      </c>
      <c r="AI236" s="17">
        <f t="shared" si="58"/>
        <v>-1</v>
      </c>
      <c r="AJ236" s="17">
        <f t="shared" si="59"/>
        <v>7.3270472186961769E-2</v>
      </c>
      <c r="AK236" s="14" t="e">
        <f t="shared" si="60"/>
        <v>#DIV/0!</v>
      </c>
      <c r="AL236" s="14">
        <f t="shared" si="61"/>
        <v>-1</v>
      </c>
    </row>
    <row r="237" spans="1:38" x14ac:dyDescent="0.3">
      <c r="A237" s="7">
        <v>45892</v>
      </c>
      <c r="B237" s="3">
        <v>71145940</v>
      </c>
      <c r="C237" s="3">
        <f t="shared" si="62"/>
        <v>4157647.0086206896</v>
      </c>
      <c r="D237" s="4">
        <f>+Tabla22[[#This Row],[Share diario]]</f>
        <v>2.7447062357052247E-2</v>
      </c>
      <c r="E237" s="3">
        <f>+Tabla22[[#This Row],[Global 2026]]</f>
        <v>0</v>
      </c>
      <c r="F237" s="7">
        <v>46256</v>
      </c>
      <c r="G237" s="3">
        <f>+Tabla2[[#This Row],[Meta Digital]]+Tabla2[[#This Row],[Meta MKPlace]]</f>
        <v>5271169.6988269966</v>
      </c>
      <c r="H237" s="3">
        <v>4132116.6110093282</v>
      </c>
      <c r="I237" s="3">
        <v>1139053.0878176682</v>
      </c>
      <c r="J237" s="3">
        <v>3117784</v>
      </c>
      <c r="K237" s="3">
        <f>+Tabla22[[#This Row],[Web + APP 2026]]</f>
        <v>0</v>
      </c>
      <c r="L237" s="3">
        <v>47162.931034482739</v>
      </c>
      <c r="M237" s="3">
        <f>+Tabla22[[#This Row],[Afiliados 2026]]</f>
        <v>0</v>
      </c>
      <c r="N237" s="3">
        <v>19293</v>
      </c>
      <c r="O237" s="3">
        <f>+Tabla22[[#This Row],[TMK 2026]]</f>
        <v>0</v>
      </c>
      <c r="P237" s="3">
        <v>5273</v>
      </c>
      <c r="Q237" s="3">
        <f>+Tabla22[[#This Row],[WA 2026]]</f>
        <v>0</v>
      </c>
      <c r="R237" s="3">
        <v>203525</v>
      </c>
      <c r="S237" s="3">
        <f>+Tabla22[[#This Row],[Ent. en Tienda 2026]]</f>
        <v>0</v>
      </c>
      <c r="T237" s="3">
        <v>648055</v>
      </c>
      <c r="U237" s="3">
        <f>+Tabla22[[#This Row],[Meli Drop 2026]]</f>
        <v>0</v>
      </c>
      <c r="V237" s="3">
        <v>76037</v>
      </c>
      <c r="W237" s="3">
        <f>+Tabla22[[#This Row],[Meli Full 2026]]</f>
        <v>0</v>
      </c>
      <c r="X237" s="3">
        <v>28466</v>
      </c>
      <c r="Y237" s="3">
        <f>+Tabla22[[#This Row],[Amazon Drop 2026]]</f>
        <v>0</v>
      </c>
      <c r="Z237" s="3">
        <v>11786</v>
      </c>
      <c r="AA237" s="3">
        <f>+Tabla22[[#This Row],[Amazon Full 2026]]</f>
        <v>0</v>
      </c>
      <c r="AB237" s="3">
        <v>265.07758620689651</v>
      </c>
      <c r="AC237" s="3">
        <f>+Tabla22[[#This Row],[TikTok 2026]]</f>
        <v>0</v>
      </c>
      <c r="AD237" s="3">
        <v>0</v>
      </c>
      <c r="AE237" s="3">
        <f>+Tabla22[[#This Row],[Shein 2026]]</f>
        <v>0</v>
      </c>
      <c r="AF237" s="5">
        <f t="shared" si="63"/>
        <v>0</v>
      </c>
      <c r="AG237" s="4">
        <f t="shared" si="64"/>
        <v>0</v>
      </c>
      <c r="AH237" s="5">
        <f t="shared" si="65"/>
        <v>-5271169.6988269966</v>
      </c>
      <c r="AI237" s="17">
        <f t="shared" si="58"/>
        <v>-1</v>
      </c>
      <c r="AJ237" s="17">
        <f t="shared" si="59"/>
        <v>5.8438289080454758E-2</v>
      </c>
      <c r="AK237" s="14" t="e">
        <f t="shared" si="60"/>
        <v>#DIV/0!</v>
      </c>
      <c r="AL237" s="14">
        <f t="shared" si="61"/>
        <v>-1</v>
      </c>
    </row>
    <row r="238" spans="1:38" x14ac:dyDescent="0.3">
      <c r="A238" s="63">
        <v>45893</v>
      </c>
      <c r="B238" s="3">
        <v>76021625</v>
      </c>
      <c r="C238" s="3">
        <f t="shared" si="62"/>
        <v>4558674.8706896557</v>
      </c>
      <c r="D238" s="4">
        <f>+Tabla22[[#This Row],[Share diario]]</f>
        <v>2.8635776264677282E-2</v>
      </c>
      <c r="E238" s="3">
        <f>+Tabla22[[#This Row],[Global 2026]]</f>
        <v>0</v>
      </c>
      <c r="F238" s="7">
        <v>46257</v>
      </c>
      <c r="G238" s="3">
        <f>+Tabla2[[#This Row],[Meta Digital]]+Tabla2[[#This Row],[Meta MKPlace]]</f>
        <v>5499460.531883575</v>
      </c>
      <c r="H238" s="3">
        <v>4311075.8168994682</v>
      </c>
      <c r="I238" s="3">
        <v>1188384.7149841073</v>
      </c>
      <c r="J238" s="3">
        <v>3423344</v>
      </c>
      <c r="K238" s="3">
        <f>+Tabla22[[#This Row],[Web + APP 2026]]</f>
        <v>0</v>
      </c>
      <c r="L238" s="3">
        <v>43106.896551724109</v>
      </c>
      <c r="M238" s="3">
        <f>+Tabla22[[#This Row],[Afiliados 2026]]</f>
        <v>0</v>
      </c>
      <c r="N238" s="3">
        <v>5283</v>
      </c>
      <c r="O238" s="3">
        <f>+Tabla22[[#This Row],[TMK 2026]]</f>
        <v>0</v>
      </c>
      <c r="P238" s="3">
        <v>5236</v>
      </c>
      <c r="Q238" s="3">
        <f>+Tabla22[[#This Row],[WA 2026]]</f>
        <v>0</v>
      </c>
      <c r="R238" s="3">
        <v>165029</v>
      </c>
      <c r="S238" s="3">
        <f>+Tabla22[[#This Row],[Ent. en Tienda 2026]]</f>
        <v>0</v>
      </c>
      <c r="T238" s="3">
        <v>757892</v>
      </c>
      <c r="U238" s="3">
        <f>+Tabla22[[#This Row],[Meli Drop 2026]]</f>
        <v>0</v>
      </c>
      <c r="V238" s="3">
        <v>97355</v>
      </c>
      <c r="W238" s="3">
        <f>+Tabla22[[#This Row],[Meli Full 2026]]</f>
        <v>0</v>
      </c>
      <c r="X238" s="3">
        <v>44629</v>
      </c>
      <c r="Y238" s="3">
        <f>+Tabla22[[#This Row],[Amazon Drop 2026]]</f>
        <v>0</v>
      </c>
      <c r="Z238" s="3">
        <v>14410</v>
      </c>
      <c r="AA238" s="3">
        <f>+Tabla22[[#This Row],[Amazon Full 2026]]</f>
        <v>0</v>
      </c>
      <c r="AB238" s="3">
        <v>2389.9741379310344</v>
      </c>
      <c r="AC238" s="3">
        <f>+Tabla22[[#This Row],[TikTok 2026]]</f>
        <v>0</v>
      </c>
      <c r="AD238" s="3">
        <v>0</v>
      </c>
      <c r="AE238" s="3">
        <f>+Tabla22[[#This Row],[Shein 2026]]</f>
        <v>0</v>
      </c>
      <c r="AF238" s="5">
        <f t="shared" si="63"/>
        <v>0</v>
      </c>
      <c r="AG238" s="4">
        <f t="shared" si="64"/>
        <v>0</v>
      </c>
      <c r="AH238" s="5">
        <f t="shared" si="65"/>
        <v>-5499460.531883575</v>
      </c>
      <c r="AI238" s="17">
        <f t="shared" si="58"/>
        <v>-1</v>
      </c>
      <c r="AJ238" s="17">
        <f t="shared" si="59"/>
        <v>5.9965501535775588E-2</v>
      </c>
      <c r="AK238" s="14" t="e">
        <f t="shared" si="60"/>
        <v>#DIV/0!</v>
      </c>
      <c r="AL238" s="14">
        <f t="shared" si="61"/>
        <v>-1</v>
      </c>
    </row>
    <row r="239" spans="1:38" x14ac:dyDescent="0.3">
      <c r="A239" s="7">
        <v>45894</v>
      </c>
      <c r="B239" s="3">
        <v>46309068</v>
      </c>
      <c r="C239" s="3">
        <f t="shared" si="62"/>
        <v>6388825.4741379302</v>
      </c>
      <c r="D239" s="4">
        <f>+Tabla22[[#This Row],[Share diario]]</f>
        <v>3.1397853976012025E-2</v>
      </c>
      <c r="E239" s="3">
        <f>+Tabla22[[#This Row],[Global 2026]]</f>
        <v>0</v>
      </c>
      <c r="F239" s="7">
        <v>46258</v>
      </c>
      <c r="G239" s="3">
        <f>+Tabla2[[#This Row],[Meta Digital]]+Tabla2[[#This Row],[Meta MKPlace]]</f>
        <v>6029913.6692136694</v>
      </c>
      <c r="H239" s="3">
        <v>4726902.7292091707</v>
      </c>
      <c r="I239" s="3">
        <v>1303010.9400044989</v>
      </c>
      <c r="J239" s="3">
        <v>5203886</v>
      </c>
      <c r="K239" s="3">
        <f>+Tabla22[[#This Row],[Web + APP 2026]]</f>
        <v>0</v>
      </c>
      <c r="L239" s="3">
        <v>38813.793103448261</v>
      </c>
      <c r="M239" s="3">
        <f>+Tabla22[[#This Row],[Afiliados 2026]]</f>
        <v>0</v>
      </c>
      <c r="N239" s="3">
        <v>56753</v>
      </c>
      <c r="O239" s="3">
        <f>+Tabla22[[#This Row],[TMK 2026]]</f>
        <v>0</v>
      </c>
      <c r="P239" s="3">
        <v>4215</v>
      </c>
      <c r="Q239" s="3">
        <f>+Tabla22[[#This Row],[WA 2026]]</f>
        <v>0</v>
      </c>
      <c r="R239" s="3">
        <v>137354</v>
      </c>
      <c r="S239" s="3">
        <f>+Tabla22[[#This Row],[Ent. en Tienda 2026]]</f>
        <v>0</v>
      </c>
      <c r="T239" s="3">
        <v>801333</v>
      </c>
      <c r="U239" s="3">
        <f>+Tabla22[[#This Row],[Meli Drop 2026]]</f>
        <v>0</v>
      </c>
      <c r="V239" s="3">
        <v>95156</v>
      </c>
      <c r="W239" s="3">
        <f>+Tabla22[[#This Row],[Meli Full 2026]]</f>
        <v>0</v>
      </c>
      <c r="X239" s="3">
        <v>42338</v>
      </c>
      <c r="Y239" s="3">
        <f>+Tabla22[[#This Row],[Amazon Drop 2026]]</f>
        <v>0</v>
      </c>
      <c r="Z239" s="3">
        <v>7580</v>
      </c>
      <c r="AA239" s="3">
        <f>+Tabla22[[#This Row],[Amazon Full 2026]]</f>
        <v>0</v>
      </c>
      <c r="AB239" s="3">
        <v>1311.3362068965516</v>
      </c>
      <c r="AC239" s="3">
        <f>+Tabla22[[#This Row],[TikTok 2026]]</f>
        <v>0</v>
      </c>
      <c r="AD239" s="3">
        <v>85.344827586206904</v>
      </c>
      <c r="AE239" s="3">
        <f>+Tabla22[[#This Row],[Shein 2026]]</f>
        <v>0</v>
      </c>
      <c r="AF239" s="5">
        <f t="shared" si="63"/>
        <v>0</v>
      </c>
      <c r="AG239" s="4">
        <f t="shared" si="64"/>
        <v>0</v>
      </c>
      <c r="AH239" s="5">
        <f t="shared" si="65"/>
        <v>-6029913.6692136694</v>
      </c>
      <c r="AI239" s="17">
        <f t="shared" si="58"/>
        <v>-1</v>
      </c>
      <c r="AJ239" s="17">
        <f t="shared" si="59"/>
        <v>0.13796057122414837</v>
      </c>
      <c r="AK239" s="14" t="e">
        <f t="shared" si="60"/>
        <v>#DIV/0!</v>
      </c>
      <c r="AL239" s="14">
        <f t="shared" si="61"/>
        <v>-1</v>
      </c>
    </row>
    <row r="240" spans="1:38" x14ac:dyDescent="0.3">
      <c r="A240" s="63">
        <v>45895</v>
      </c>
      <c r="B240" s="3">
        <v>53790769</v>
      </c>
      <c r="C240" s="3">
        <f t="shared" si="62"/>
        <v>7102112.818965517</v>
      </c>
      <c r="D240" s="4">
        <f>+Tabla22[[#This Row],[Share diario]]</f>
        <v>4.4003008550785636E-2</v>
      </c>
      <c r="E240" s="3">
        <f>+Tabla22[[#This Row],[Global 2026]]</f>
        <v>0</v>
      </c>
      <c r="F240" s="7">
        <v>46259</v>
      </c>
      <c r="G240" s="3">
        <f>+Tabla2[[#This Row],[Meta Digital]]+Tabla2[[#This Row],[Meta MKPlace]]</f>
        <v>8450715.8657920975</v>
      </c>
      <c r="H240" s="3">
        <v>6624591.0109344935</v>
      </c>
      <c r="I240" s="3">
        <v>1826124.8548576038</v>
      </c>
      <c r="J240" s="3">
        <v>5685559</v>
      </c>
      <c r="K240" s="3">
        <f>+Tabla22[[#This Row],[Web + APP 2026]]</f>
        <v>0</v>
      </c>
      <c r="L240" s="3">
        <v>40163.793103448261</v>
      </c>
      <c r="M240" s="3">
        <f>+Tabla22[[#This Row],[Afiliados 2026]]</f>
        <v>0</v>
      </c>
      <c r="N240" s="3">
        <v>95169</v>
      </c>
      <c r="O240" s="3">
        <f>+Tabla22[[#This Row],[TMK 2026]]</f>
        <v>0</v>
      </c>
      <c r="P240" s="3">
        <v>522</v>
      </c>
      <c r="Q240" s="3">
        <f>+Tabla22[[#This Row],[WA 2026]]</f>
        <v>0</v>
      </c>
      <c r="R240" s="3">
        <v>206180</v>
      </c>
      <c r="S240" s="3">
        <f>+Tabla22[[#This Row],[Ent. en Tienda 2026]]</f>
        <v>0</v>
      </c>
      <c r="T240" s="3">
        <v>931011</v>
      </c>
      <c r="U240" s="3">
        <f>+Tabla22[[#This Row],[Meli Drop 2026]]</f>
        <v>0</v>
      </c>
      <c r="V240" s="3">
        <v>80136</v>
      </c>
      <c r="W240" s="3">
        <f>+Tabla22[[#This Row],[Meli Full 2026]]</f>
        <v>0</v>
      </c>
      <c r="X240" s="3">
        <v>46712</v>
      </c>
      <c r="Y240" s="3">
        <f>+Tabla22[[#This Row],[Amazon Drop 2026]]</f>
        <v>0</v>
      </c>
      <c r="Z240" s="3">
        <v>15753</v>
      </c>
      <c r="AA240" s="3">
        <f>+Tabla22[[#This Row],[Amazon Full 2026]]</f>
        <v>0</v>
      </c>
      <c r="AB240" s="3">
        <v>992.37068965517233</v>
      </c>
      <c r="AC240" s="3">
        <f>+Tabla22[[#This Row],[TikTok 2026]]</f>
        <v>0</v>
      </c>
      <c r="AD240" s="3">
        <v>-85.344827586206904</v>
      </c>
      <c r="AE240" s="3">
        <f>+Tabla22[[#This Row],[Shein 2026]]</f>
        <v>0</v>
      </c>
      <c r="AF240" s="5">
        <f t="shared" si="63"/>
        <v>0</v>
      </c>
      <c r="AG240" s="4">
        <f t="shared" si="64"/>
        <v>0</v>
      </c>
      <c r="AH240" s="5">
        <f t="shared" si="65"/>
        <v>-8450715.8657920975</v>
      </c>
      <c r="AI240" s="17">
        <f t="shared" si="58"/>
        <v>-1</v>
      </c>
      <c r="AJ240" s="17">
        <f t="shared" si="59"/>
        <v>0.13203218602369335</v>
      </c>
      <c r="AK240" s="14" t="e">
        <f t="shared" si="60"/>
        <v>#DIV/0!</v>
      </c>
      <c r="AL240" s="14">
        <f t="shared" si="61"/>
        <v>-1</v>
      </c>
    </row>
    <row r="241" spans="1:38" x14ac:dyDescent="0.3">
      <c r="A241" s="7">
        <v>45896</v>
      </c>
      <c r="B241" s="3">
        <v>56826362</v>
      </c>
      <c r="C241" s="3">
        <f t="shared" si="62"/>
        <v>5768049.3017241377</v>
      </c>
      <c r="D241" s="4">
        <f>+Tabla22[[#This Row],[Share diario]]</f>
        <v>4.8915772134744802E-2</v>
      </c>
      <c r="E241" s="3">
        <f>+Tabla22[[#This Row],[Global 2026]]</f>
        <v>0</v>
      </c>
      <c r="F241" s="7">
        <v>46260</v>
      </c>
      <c r="G241" s="3">
        <f>+Tabla2[[#This Row],[Meta Digital]]+Tabla2[[#This Row],[Meta MKPlace]]</f>
        <v>9394205.1982529368</v>
      </c>
      <c r="H241" s="3">
        <v>7364200.6546610277</v>
      </c>
      <c r="I241" s="3">
        <v>2030004.5435919093</v>
      </c>
      <c r="J241" s="3">
        <v>4516794</v>
      </c>
      <c r="K241" s="3">
        <f>+Tabla22[[#This Row],[Web + APP 2026]]</f>
        <v>0</v>
      </c>
      <c r="L241" s="3">
        <v>37898.275862068956</v>
      </c>
      <c r="M241" s="3">
        <f>+Tabla22[[#This Row],[Afiliados 2026]]</f>
        <v>0</v>
      </c>
      <c r="N241" s="3">
        <v>51151</v>
      </c>
      <c r="O241" s="3">
        <f>+Tabla22[[#This Row],[TMK 2026]]</f>
        <v>0</v>
      </c>
      <c r="P241" s="3">
        <v>2199</v>
      </c>
      <c r="Q241" s="3">
        <f>+Tabla22[[#This Row],[WA 2026]]</f>
        <v>0</v>
      </c>
      <c r="R241" s="3">
        <v>144834</v>
      </c>
      <c r="S241" s="3">
        <f>+Tabla22[[#This Row],[Ent. en Tienda 2026]]</f>
        <v>0</v>
      </c>
      <c r="T241" s="3">
        <v>864251</v>
      </c>
      <c r="U241" s="3">
        <f>+Tabla22[[#This Row],[Meli Drop 2026]]</f>
        <v>0</v>
      </c>
      <c r="V241" s="3">
        <v>85695</v>
      </c>
      <c r="W241" s="3">
        <f>+Tabla22[[#This Row],[Meli Full 2026]]</f>
        <v>0</v>
      </c>
      <c r="X241" s="3">
        <v>46707</v>
      </c>
      <c r="Y241" s="3">
        <f>+Tabla22[[#This Row],[Amazon Drop 2026]]</f>
        <v>0</v>
      </c>
      <c r="Z241" s="3">
        <v>16838</v>
      </c>
      <c r="AA241" s="3">
        <f>+Tabla22[[#This Row],[Amazon Full 2026]]</f>
        <v>0</v>
      </c>
      <c r="AB241" s="3">
        <v>1079.4396551724139</v>
      </c>
      <c r="AC241" s="3">
        <f>+Tabla22[[#This Row],[TikTok 2026]]</f>
        <v>0</v>
      </c>
      <c r="AD241" s="3">
        <v>602.58620689655174</v>
      </c>
      <c r="AE241" s="3">
        <f>+Tabla22[[#This Row],[Shein 2026]]</f>
        <v>0</v>
      </c>
      <c r="AF241" s="5">
        <f t="shared" si="63"/>
        <v>0</v>
      </c>
      <c r="AG241" s="4">
        <f t="shared" si="64"/>
        <v>0</v>
      </c>
      <c r="AH241" s="5">
        <f t="shared" si="65"/>
        <v>-9394205.1982529368</v>
      </c>
      <c r="AI241" s="17">
        <f t="shared" si="58"/>
        <v>-1</v>
      </c>
      <c r="AJ241" s="17">
        <f t="shared" si="59"/>
        <v>0.10150305419382888</v>
      </c>
      <c r="AK241" s="14" t="e">
        <f t="shared" si="60"/>
        <v>#DIV/0!</v>
      </c>
      <c r="AL241" s="14">
        <f t="shared" si="61"/>
        <v>-1</v>
      </c>
    </row>
    <row r="242" spans="1:38" x14ac:dyDescent="0.3">
      <c r="A242" s="63">
        <v>45897</v>
      </c>
      <c r="B242" s="3">
        <v>63734827</v>
      </c>
      <c r="C242" s="3">
        <f t="shared" si="62"/>
        <v>5054660.6293103443</v>
      </c>
      <c r="D242" s="4">
        <f>+Tabla22[[#This Row],[Share diario]]</f>
        <v>3.9727415277276475E-2</v>
      </c>
      <c r="E242" s="3">
        <f>+Tabla22[[#This Row],[Global 2026]]</f>
        <v>0</v>
      </c>
      <c r="F242" s="7">
        <v>46261</v>
      </c>
      <c r="G242" s="3">
        <f>+Tabla2[[#This Row],[Meta Digital]]+Tabla2[[#This Row],[Meta MKPlace]]</f>
        <v>7629594.1947496133</v>
      </c>
      <c r="H242" s="3">
        <v>5980906.4607426394</v>
      </c>
      <c r="I242" s="3">
        <v>1648687.7340069737</v>
      </c>
      <c r="J242" s="3">
        <v>3868560</v>
      </c>
      <c r="K242" s="3">
        <f>+Tabla22[[#This Row],[Web + APP 2026]]</f>
        <v>0</v>
      </c>
      <c r="L242" s="3">
        <v>31270.689655172402</v>
      </c>
      <c r="M242" s="3">
        <f>+Tabla22[[#This Row],[Afiliados 2026]]</f>
        <v>0</v>
      </c>
      <c r="N242" s="3">
        <v>38622</v>
      </c>
      <c r="O242" s="3">
        <f>+Tabla22[[#This Row],[TMK 2026]]</f>
        <v>0</v>
      </c>
      <c r="P242" s="3">
        <v>4537</v>
      </c>
      <c r="Q242" s="3">
        <f>+Tabla22[[#This Row],[WA 2026]]</f>
        <v>0</v>
      </c>
      <c r="R242" s="3">
        <v>232069</v>
      </c>
      <c r="S242" s="3">
        <f>+Tabla22[[#This Row],[Ent. en Tienda 2026]]</f>
        <v>0</v>
      </c>
      <c r="T242" s="3">
        <v>646678</v>
      </c>
      <c r="U242" s="3">
        <f>+Tabla22[[#This Row],[Meli Drop 2026]]</f>
        <v>0</v>
      </c>
      <c r="V242" s="3">
        <v>183692</v>
      </c>
      <c r="W242" s="3">
        <f>+Tabla22[[#This Row],[Meli Full 2026]]</f>
        <v>0</v>
      </c>
      <c r="X242" s="3">
        <v>35183</v>
      </c>
      <c r="Y242" s="3">
        <f>+Tabla22[[#This Row],[Amazon Drop 2026]]</f>
        <v>0</v>
      </c>
      <c r="Z242" s="3">
        <v>12747</v>
      </c>
      <c r="AA242" s="3">
        <f>+Tabla22[[#This Row],[Amazon Full 2026]]</f>
        <v>0</v>
      </c>
      <c r="AB242" s="3">
        <v>1301.9396551724139</v>
      </c>
      <c r="AC242" s="3">
        <f>+Tabla22[[#This Row],[TikTok 2026]]</f>
        <v>0</v>
      </c>
      <c r="AD242" s="3">
        <v>0</v>
      </c>
      <c r="AE242" s="3">
        <f>+Tabla22[[#This Row],[Shein 2026]]</f>
        <v>0</v>
      </c>
      <c r="AF242" s="5">
        <f t="shared" si="63"/>
        <v>0</v>
      </c>
      <c r="AG242" s="4">
        <f t="shared" si="64"/>
        <v>0</v>
      </c>
      <c r="AH242" s="5">
        <f t="shared" si="65"/>
        <v>-7629594.1947496133</v>
      </c>
      <c r="AI242" s="17">
        <f t="shared" si="58"/>
        <v>-1</v>
      </c>
      <c r="AJ242" s="17">
        <f t="shared" si="59"/>
        <v>7.9307670032749036E-2</v>
      </c>
      <c r="AK242" s="14" t="e">
        <f t="shared" si="60"/>
        <v>#DIV/0!</v>
      </c>
      <c r="AL242" s="14">
        <f t="shared" si="61"/>
        <v>-1</v>
      </c>
    </row>
    <row r="243" spans="1:38" x14ac:dyDescent="0.3">
      <c r="A243" s="7">
        <v>45898</v>
      </c>
      <c r="B243" s="3">
        <v>65931437</v>
      </c>
      <c r="C243" s="3">
        <f t="shared" si="62"/>
        <v>4667974.1982758613</v>
      </c>
      <c r="D243" s="4">
        <f>+Tabla22[[#This Row],[Share diario]]</f>
        <v>3.4813953799993989E-2</v>
      </c>
      <c r="E243" s="3">
        <f>+Tabla22[[#This Row],[Global 2026]]</f>
        <v>0</v>
      </c>
      <c r="F243" s="7">
        <v>46262</v>
      </c>
      <c r="G243" s="3">
        <f>+Tabla2[[#This Row],[Meta Digital]]+Tabla2[[#This Row],[Meta MKPlace]]</f>
        <v>6685970.8328581899</v>
      </c>
      <c r="H243" s="3">
        <v>5241191.7501584394</v>
      </c>
      <c r="I243" s="3">
        <v>1444779.0826997506</v>
      </c>
      <c r="J243" s="3">
        <v>3565076</v>
      </c>
      <c r="K243" s="3">
        <f>+Tabla22[[#This Row],[Web + APP 2026]]</f>
        <v>0</v>
      </c>
      <c r="L243" s="3">
        <v>41705.172413793094</v>
      </c>
      <c r="M243" s="3">
        <f>+Tabla22[[#This Row],[Afiliados 2026]]</f>
        <v>0</v>
      </c>
      <c r="N243" s="3">
        <v>58290</v>
      </c>
      <c r="O243" s="3">
        <f>+Tabla22[[#This Row],[TMK 2026]]</f>
        <v>0</v>
      </c>
      <c r="P243" s="3">
        <v>-1718</v>
      </c>
      <c r="Q243" s="3">
        <f>+Tabla22[[#This Row],[WA 2026]]</f>
        <v>0</v>
      </c>
      <c r="R243" s="3">
        <v>175197</v>
      </c>
      <c r="S243" s="3">
        <f>+Tabla22[[#This Row],[Ent. en Tienda 2026]]</f>
        <v>0</v>
      </c>
      <c r="T243" s="3">
        <v>594390</v>
      </c>
      <c r="U243" s="3">
        <f>+Tabla22[[#This Row],[Meli Drop 2026]]</f>
        <v>0</v>
      </c>
      <c r="V243" s="3">
        <v>186981</v>
      </c>
      <c r="W243" s="3">
        <f>+Tabla22[[#This Row],[Meli Full 2026]]</f>
        <v>0</v>
      </c>
      <c r="X243" s="3">
        <v>36599</v>
      </c>
      <c r="Y243" s="3">
        <f>+Tabla22[[#This Row],[Amazon Drop 2026]]</f>
        <v>0</v>
      </c>
      <c r="Z243" s="3">
        <v>9709</v>
      </c>
      <c r="AA243" s="3">
        <f>+Tabla22[[#This Row],[Amazon Full 2026]]</f>
        <v>0</v>
      </c>
      <c r="AB243" s="3">
        <v>711.40517241379314</v>
      </c>
      <c r="AC243" s="3">
        <f>+Tabla22[[#This Row],[TikTok 2026]]</f>
        <v>0</v>
      </c>
      <c r="AD243" s="3">
        <v>1033.6206896551726</v>
      </c>
      <c r="AE243" s="3">
        <f>+Tabla22[[#This Row],[Shein 2026]]</f>
        <v>0</v>
      </c>
      <c r="AF243" s="5">
        <f t="shared" si="63"/>
        <v>0</v>
      </c>
      <c r="AG243" s="4">
        <f t="shared" si="64"/>
        <v>0</v>
      </c>
      <c r="AH243" s="5">
        <f t="shared" si="65"/>
        <v>-6685970.8328581899</v>
      </c>
      <c r="AI243" s="17">
        <f t="shared" si="58"/>
        <v>-1</v>
      </c>
      <c r="AJ243" s="17">
        <f t="shared" si="59"/>
        <v>7.0800431640461001E-2</v>
      </c>
      <c r="AK243" s="14" t="e">
        <f t="shared" si="60"/>
        <v>#DIV/0!</v>
      </c>
      <c r="AL243" s="14">
        <f t="shared" si="61"/>
        <v>-1</v>
      </c>
    </row>
    <row r="244" spans="1:38" x14ac:dyDescent="0.3">
      <c r="A244" s="63">
        <v>45899</v>
      </c>
      <c r="B244" s="3">
        <v>86172681</v>
      </c>
      <c r="C244" s="3">
        <f t="shared" si="62"/>
        <v>3821966.4482758618</v>
      </c>
      <c r="D244" s="4">
        <f>+Tabla22[[#This Row],[Share diario]]</f>
        <v>3.2150652634519737E-2</v>
      </c>
      <c r="E244" s="3">
        <f>+Tabla22[[#This Row],[Global 2026]]</f>
        <v>0</v>
      </c>
      <c r="F244" s="7">
        <v>46263</v>
      </c>
      <c r="G244" s="3">
        <f>+Tabla2[[#This Row],[Meta Digital]]+Tabla2[[#This Row],[Meta MKPlace]]</f>
        <v>6174487.5921502318</v>
      </c>
      <c r="H244" s="3">
        <v>4840235.5078176623</v>
      </c>
      <c r="I244" s="3">
        <v>1334252.084332569</v>
      </c>
      <c r="J244" s="3">
        <v>2504987</v>
      </c>
      <c r="K244" s="3">
        <f>+Tabla22[[#This Row],[Web + APP 2026]]</f>
        <v>0</v>
      </c>
      <c r="L244" s="3">
        <v>48545.689655172391</v>
      </c>
      <c r="M244" s="3">
        <f>+Tabla22[[#This Row],[Afiliados 2026]]</f>
        <v>0</v>
      </c>
      <c r="N244" s="3">
        <v>23754</v>
      </c>
      <c r="O244" s="3">
        <f>+Tabla22[[#This Row],[TMK 2026]]</f>
        <v>0</v>
      </c>
      <c r="P244" s="3">
        <v>1397</v>
      </c>
      <c r="Q244" s="3">
        <f>+Tabla22[[#This Row],[WA 2026]]</f>
        <v>0</v>
      </c>
      <c r="R244" s="3">
        <v>164566</v>
      </c>
      <c r="S244" s="3">
        <f>+Tabla22[[#This Row],[Ent. en Tienda 2026]]</f>
        <v>0</v>
      </c>
      <c r="T244" s="3">
        <v>758218</v>
      </c>
      <c r="U244" s="3">
        <f>+Tabla22[[#This Row],[Meli Drop 2026]]</f>
        <v>0</v>
      </c>
      <c r="V244" s="3">
        <v>270836</v>
      </c>
      <c r="W244" s="3">
        <f>+Tabla22[[#This Row],[Meli Full 2026]]</f>
        <v>0</v>
      </c>
      <c r="X244" s="3">
        <v>35654</v>
      </c>
      <c r="Y244" s="3">
        <f>+Tabla22[[#This Row],[Amazon Drop 2026]]</f>
        <v>0</v>
      </c>
      <c r="Z244" s="3">
        <v>13751</v>
      </c>
      <c r="AA244" s="3">
        <f>+Tabla22[[#This Row],[Amazon Full 2026]]</f>
        <v>0</v>
      </c>
      <c r="AB244" s="3">
        <v>257.75862068965517</v>
      </c>
      <c r="AC244" s="3">
        <f>+Tabla22[[#This Row],[TikTok 2026]]</f>
        <v>0</v>
      </c>
      <c r="AD244" s="3">
        <v>0</v>
      </c>
      <c r="AE244" s="3">
        <f>+Tabla22[[#This Row],[Shein 2026]]</f>
        <v>0</v>
      </c>
      <c r="AF244" s="5">
        <f t="shared" si="63"/>
        <v>0</v>
      </c>
      <c r="AG244" s="4">
        <f t="shared" si="64"/>
        <v>0</v>
      </c>
      <c r="AH244" s="5">
        <f t="shared" si="65"/>
        <v>-6174487.5921502318</v>
      </c>
      <c r="AI244" s="17">
        <f t="shared" si="58"/>
        <v>-1</v>
      </c>
      <c r="AJ244" s="17">
        <f t="shared" si="59"/>
        <v>4.4352414290973051E-2</v>
      </c>
      <c r="AK244" s="14" t="e">
        <f t="shared" si="60"/>
        <v>#DIV/0!</v>
      </c>
      <c r="AL244" s="14">
        <f t="shared" si="61"/>
        <v>-1</v>
      </c>
    </row>
    <row r="245" spans="1:38" x14ac:dyDescent="0.3">
      <c r="A245" s="7">
        <v>45900</v>
      </c>
      <c r="B245" s="3">
        <v>82032386</v>
      </c>
      <c r="C245" s="3">
        <f t="shared" si="62"/>
        <v>4134668.9913793104</v>
      </c>
      <c r="D245" s="4">
        <f>+Tabla22[[#This Row],[Share diario]]</f>
        <v>2.6323777818800329E-2</v>
      </c>
      <c r="E245" s="3">
        <f>+Tabla22[[#This Row],[Global 2026]]</f>
        <v>0</v>
      </c>
      <c r="F245" s="7">
        <v>46264</v>
      </c>
      <c r="G245" s="3">
        <f>+Tabla2[[#This Row],[Meta Digital]]+Tabla2[[#This Row],[Meta MKPlace]]</f>
        <v>5055444.484078357</v>
      </c>
      <c r="H245" s="3">
        <v>3963007.7045981437</v>
      </c>
      <c r="I245" s="3">
        <v>1092436.7794802138</v>
      </c>
      <c r="J245" s="3">
        <v>2787596</v>
      </c>
      <c r="K245" s="3">
        <f>+Tabla22[[#This Row],[Web + APP 2026]]</f>
        <v>0</v>
      </c>
      <c r="L245" s="3">
        <v>44080.172413793087</v>
      </c>
      <c r="M245" s="3">
        <f>+Tabla22[[#This Row],[Afiliados 2026]]</f>
        <v>0</v>
      </c>
      <c r="N245" s="3">
        <v>9613</v>
      </c>
      <c r="O245" s="3">
        <f>+Tabla22[[#This Row],[TMK 2026]]</f>
        <v>0</v>
      </c>
      <c r="P245" s="3">
        <v>3315</v>
      </c>
      <c r="Q245" s="3">
        <f>+Tabla22[[#This Row],[WA 2026]]</f>
        <v>0</v>
      </c>
      <c r="R245" s="3">
        <v>201703</v>
      </c>
      <c r="S245" s="3">
        <f>+Tabla22[[#This Row],[Ent. en Tienda 2026]]</f>
        <v>0</v>
      </c>
      <c r="T245" s="3">
        <v>650854</v>
      </c>
      <c r="U245" s="3">
        <f>+Tabla22[[#This Row],[Meli Drop 2026]]</f>
        <v>0</v>
      </c>
      <c r="V245" s="3">
        <v>373478</v>
      </c>
      <c r="W245" s="3">
        <f>+Tabla22[[#This Row],[Meli Full 2026]]</f>
        <v>0</v>
      </c>
      <c r="X245" s="3">
        <v>47088</v>
      </c>
      <c r="Y245" s="3">
        <f>+Tabla22[[#This Row],[Amazon Drop 2026]]</f>
        <v>0</v>
      </c>
      <c r="Z245" s="3">
        <v>16121</v>
      </c>
      <c r="AA245" s="3">
        <f>+Tabla22[[#This Row],[Amazon Full 2026]]</f>
        <v>0</v>
      </c>
      <c r="AB245" s="3">
        <v>820.81896551724139</v>
      </c>
      <c r="AC245" s="3">
        <f>+Tabla22[[#This Row],[TikTok 2026]]</f>
        <v>0</v>
      </c>
      <c r="AD245" s="3">
        <v>0</v>
      </c>
      <c r="AE245" s="3">
        <f>+Tabla22[[#This Row],[Shein 2026]]</f>
        <v>0</v>
      </c>
      <c r="AF245" s="5">
        <f t="shared" si="63"/>
        <v>0</v>
      </c>
      <c r="AG245" s="4">
        <f t="shared" si="64"/>
        <v>0</v>
      </c>
      <c r="AH245" s="5">
        <f t="shared" si="65"/>
        <v>-5055444.484078357</v>
      </c>
      <c r="AI245" s="17">
        <f t="shared" si="58"/>
        <v>-1</v>
      </c>
      <c r="AJ245" s="17">
        <f t="shared" si="59"/>
        <v>5.0402885896544694E-2</v>
      </c>
      <c r="AK245" s="14" t="e">
        <f t="shared" si="60"/>
        <v>#DIV/0!</v>
      </c>
      <c r="AL245" s="14">
        <f t="shared" si="61"/>
        <v>-1</v>
      </c>
    </row>
    <row r="246" spans="1:38" x14ac:dyDescent="0.3">
      <c r="A246" s="63">
        <v>45901</v>
      </c>
      <c r="B246" s="3">
        <v>31649055</v>
      </c>
      <c r="C246" s="3">
        <f t="shared" si="62"/>
        <v>4990529.0517241387</v>
      </c>
      <c r="D246" s="4">
        <f>+Tabla22[[#This Row],[Share diario]]</f>
        <v>2.8477515267684099E-2</v>
      </c>
      <c r="E246" s="3">
        <f>+Tabla22[[#This Row],[Global 2026]]</f>
        <v>0</v>
      </c>
      <c r="F246" s="7">
        <v>46265</v>
      </c>
      <c r="G246" s="3">
        <f>+Tabla2[[#This Row],[Meta Digital]]+Tabla2[[#This Row],[Meta MKPlace]]</f>
        <v>5469066.7301351605</v>
      </c>
      <c r="H246" s="3">
        <v>4287249.8465262707</v>
      </c>
      <c r="I246" s="3">
        <v>1181816.88360889</v>
      </c>
      <c r="J246" s="3">
        <v>3909270</v>
      </c>
      <c r="K246" s="3">
        <f>+Tabla22[[#This Row],[Web + APP 2026]]</f>
        <v>0</v>
      </c>
      <c r="L246" s="3">
        <v>26356.89655172413</v>
      </c>
      <c r="M246" s="3">
        <f>+Tabla22[[#This Row],[Afiliados 2026]]</f>
        <v>0</v>
      </c>
      <c r="N246" s="3">
        <v>17828</v>
      </c>
      <c r="O246" s="3">
        <f>+Tabla22[[#This Row],[TMK 2026]]</f>
        <v>0</v>
      </c>
      <c r="P246" s="3">
        <v>10082</v>
      </c>
      <c r="Q246" s="3">
        <f>+Tabla22[[#This Row],[WA 2026]]</f>
        <v>0</v>
      </c>
      <c r="R246" s="3">
        <v>117359</v>
      </c>
      <c r="S246" s="3">
        <f>+Tabla22[[#This Row],[Ent. en Tienda 2026]]</f>
        <v>0</v>
      </c>
      <c r="T246" s="3">
        <v>480576</v>
      </c>
      <c r="U246" s="3">
        <f>+Tabla22[[#This Row],[Meli Drop 2026]]</f>
        <v>0</v>
      </c>
      <c r="V246" s="3">
        <v>371920</v>
      </c>
      <c r="W246" s="3">
        <f>+Tabla22[[#This Row],[Meli Full 2026]]</f>
        <v>0</v>
      </c>
      <c r="X246" s="3">
        <v>38723</v>
      </c>
      <c r="Y246" s="3">
        <f>+Tabla22[[#This Row],[Amazon Drop 2026]]</f>
        <v>0</v>
      </c>
      <c r="Z246" s="3">
        <v>18027</v>
      </c>
      <c r="AA246" s="3">
        <f>+Tabla22[[#This Row],[Amazon Full 2026]]</f>
        <v>0</v>
      </c>
      <c r="AB246" s="3">
        <v>387.15517241379314</v>
      </c>
      <c r="AC246" s="3">
        <f>+Tabla22[[#This Row],[TikTok 2026]]</f>
        <v>0</v>
      </c>
      <c r="AD246" s="3">
        <v>0</v>
      </c>
      <c r="AE246" s="3">
        <f>+Tabla22[[#This Row],[Shein 2026]]</f>
        <v>0</v>
      </c>
      <c r="AF246" s="5">
        <f t="shared" si="63"/>
        <v>0</v>
      </c>
      <c r="AG246" s="4">
        <f t="shared" si="64"/>
        <v>0</v>
      </c>
      <c r="AH246" s="5">
        <f t="shared" si="65"/>
        <v>-5469066.7301351605</v>
      </c>
      <c r="AI246" s="17">
        <f t="shared" si="58"/>
        <v>-1</v>
      </c>
      <c r="AJ246" s="17">
        <f t="shared" si="59"/>
        <v>0.15768335110555873</v>
      </c>
      <c r="AK246" s="14" t="e">
        <f t="shared" si="60"/>
        <v>#DIV/0!</v>
      </c>
      <c r="AL246" s="14">
        <f t="shared" si="61"/>
        <v>-1</v>
      </c>
    </row>
    <row r="247" spans="1:38" x14ac:dyDescent="0.3">
      <c r="A247" s="7">
        <v>45902</v>
      </c>
      <c r="B247" s="3">
        <v>30778336</v>
      </c>
      <c r="C247" s="3">
        <f t="shared" si="62"/>
        <v>4709094.3706896547</v>
      </c>
      <c r="D247" s="4">
        <f>+Tabla22[[#This Row],[Share diario]]</f>
        <v>4.3286377238336768E-2</v>
      </c>
      <c r="E247" s="3">
        <f>+Tabla22[[#This Row],[Global 2026]]</f>
        <v>0</v>
      </c>
      <c r="F247" s="7">
        <v>46266</v>
      </c>
      <c r="G247" s="3">
        <f>+Tabla2[[#This Row],[Meta Digital]]+Tabla2[[#This Row],[Meta MKPlace]]</f>
        <v>6603751.4121958017</v>
      </c>
      <c r="H247" s="3">
        <f>+D247*Hoja1!$L$38</f>
        <v>5231573.2537405258</v>
      </c>
      <c r="I247" s="3">
        <v>1372178.1584552755</v>
      </c>
      <c r="J247" s="3">
        <v>3732813</v>
      </c>
      <c r="K247" s="3">
        <f>+Tabla22[[#This Row],[Web + APP 2026]]</f>
        <v>0</v>
      </c>
      <c r="L247" s="3">
        <v>28554.31034482758</v>
      </c>
      <c r="M247" s="3">
        <f>+Tabla22[[#This Row],[Afiliados 2026]]</f>
        <v>0</v>
      </c>
      <c r="N247" s="3">
        <v>44084</v>
      </c>
      <c r="O247" s="3">
        <f>+Tabla22[[#This Row],[TMK 2026]]</f>
        <v>0</v>
      </c>
      <c r="P247" s="3">
        <v>7771</v>
      </c>
      <c r="Q247" s="3">
        <f>+Tabla22[[#This Row],[WA 2026]]</f>
        <v>0</v>
      </c>
      <c r="R247" s="3">
        <v>118806</v>
      </c>
      <c r="S247" s="3">
        <f>+Tabla22[[#This Row],[Ent. en Tienda 2026]]</f>
        <v>0</v>
      </c>
      <c r="T247" s="3">
        <v>643534</v>
      </c>
      <c r="U247" s="3">
        <f>+Tabla22[[#This Row],[Meli Drop 2026]]</f>
        <v>0</v>
      </c>
      <c r="V247" s="3">
        <v>90021</v>
      </c>
      <c r="W247" s="3">
        <f>+Tabla22[[#This Row],[Meli Full 2026]]</f>
        <v>0</v>
      </c>
      <c r="X247" s="3">
        <v>39947</v>
      </c>
      <c r="Y247" s="3">
        <f>+Tabla22[[#This Row],[Amazon Drop 2026]]</f>
        <v>0</v>
      </c>
      <c r="Z247" s="3">
        <v>2996</v>
      </c>
      <c r="AA247" s="3">
        <f>+Tabla22[[#This Row],[Amazon Full 2026]]</f>
        <v>0</v>
      </c>
      <c r="AB247" s="3">
        <v>568.06034482758628</v>
      </c>
      <c r="AC247" s="3">
        <f>+Tabla22[[#This Row],[TikTok 2026]]</f>
        <v>0</v>
      </c>
      <c r="AD247" s="3">
        <v>0</v>
      </c>
      <c r="AE247" s="3">
        <f>+Tabla22[[#This Row],[Shein 2026]]</f>
        <v>0</v>
      </c>
      <c r="AF247" s="5">
        <f t="shared" si="63"/>
        <v>0</v>
      </c>
      <c r="AG247" s="4">
        <f t="shared" si="64"/>
        <v>0</v>
      </c>
      <c r="AH247" s="5">
        <f t="shared" si="65"/>
        <v>-6603751.4121958017</v>
      </c>
      <c r="AI247" s="17">
        <f t="shared" si="58"/>
        <v>-1</v>
      </c>
      <c r="AJ247" s="17">
        <f t="shared" si="59"/>
        <v>0.15300029120124151</v>
      </c>
      <c r="AK247" s="14" t="e">
        <f t="shared" si="60"/>
        <v>#DIV/0!</v>
      </c>
      <c r="AL247" s="14">
        <f t="shared" si="61"/>
        <v>-1</v>
      </c>
    </row>
    <row r="248" spans="1:38" x14ac:dyDescent="0.3">
      <c r="A248" s="63">
        <v>45903</v>
      </c>
      <c r="B248" s="3">
        <v>33293451</v>
      </c>
      <c r="C248" s="3">
        <f t="shared" si="62"/>
        <v>4326347.931034483</v>
      </c>
      <c r="D248" s="4">
        <f>+Tabla22[[#This Row],[Share diario]]</f>
        <v>4.084529581291136E-2</v>
      </c>
      <c r="E248" s="3">
        <f>+Tabla22[[#This Row],[Global 2026]]</f>
        <v>0</v>
      </c>
      <c r="F248" s="7">
        <v>46267</v>
      </c>
      <c r="G248" s="3">
        <f>+Tabla2[[#This Row],[Meta Digital]]+Tabla2[[#This Row],[Meta MKPlace]]</f>
        <v>6231341.0618983191</v>
      </c>
      <c r="H248" s="3">
        <f>+D248*Hoja1!$L$38</f>
        <v>4936545.1846290287</v>
      </c>
      <c r="I248" s="3">
        <v>1294795.8772692902</v>
      </c>
      <c r="J248" s="3">
        <v>3629418</v>
      </c>
      <c r="K248" s="3">
        <f>+Tabla22[[#This Row],[Web + APP 2026]]</f>
        <v>0</v>
      </c>
      <c r="L248" s="3">
        <v>23437.93103448275</v>
      </c>
      <c r="M248" s="3">
        <f>+Tabla22[[#This Row],[Afiliados 2026]]</f>
        <v>0</v>
      </c>
      <c r="N248" s="3">
        <v>67723</v>
      </c>
      <c r="O248" s="3">
        <f>+Tabla22[[#This Row],[TMK 2026]]</f>
        <v>0</v>
      </c>
      <c r="P248" s="3">
        <v>4425</v>
      </c>
      <c r="Q248" s="3">
        <f>+Tabla22[[#This Row],[WA 2026]]</f>
        <v>0</v>
      </c>
      <c r="R248" s="3">
        <v>116334</v>
      </c>
      <c r="S248" s="3">
        <f>+Tabla22[[#This Row],[Ent. en Tienda 2026]]</f>
        <v>0</v>
      </c>
      <c r="T248" s="3">
        <v>10115</v>
      </c>
      <c r="U248" s="3">
        <f>+Tabla22[[#This Row],[Meli Drop 2026]]</f>
        <v>0</v>
      </c>
      <c r="V248" s="3">
        <v>447014</v>
      </c>
      <c r="W248" s="3">
        <f>+Tabla22[[#This Row],[Meli Full 2026]]</f>
        <v>0</v>
      </c>
      <c r="X248" s="3">
        <v>12385</v>
      </c>
      <c r="Y248" s="3">
        <f>+Tabla22[[#This Row],[Amazon Drop 2026]]</f>
        <v>0</v>
      </c>
      <c r="Z248" s="3">
        <v>15496</v>
      </c>
      <c r="AA248" s="3">
        <f>+Tabla22[[#This Row],[Amazon Full 2026]]</f>
        <v>0</v>
      </c>
      <c r="AB248" s="3">
        <v>0</v>
      </c>
      <c r="AC248" s="3">
        <f>+Tabla22[[#This Row],[TikTok 2026]]</f>
        <v>0</v>
      </c>
      <c r="AD248" s="3">
        <v>0</v>
      </c>
      <c r="AE248" s="3">
        <f>+Tabla22[[#This Row],[Shein 2026]]</f>
        <v>0</v>
      </c>
      <c r="AF248" s="5">
        <f t="shared" si="63"/>
        <v>0</v>
      </c>
      <c r="AG248" s="4">
        <f t="shared" si="64"/>
        <v>0</v>
      </c>
      <c r="AH248" s="5">
        <f t="shared" si="65"/>
        <v>-6231341.0618983191</v>
      </c>
      <c r="AI248" s="17">
        <f t="shared" si="58"/>
        <v>-1</v>
      </c>
      <c r="AJ248" s="17">
        <f t="shared" si="59"/>
        <v>0.1299459143191399</v>
      </c>
      <c r="AK248" s="14" t="e">
        <f t="shared" si="60"/>
        <v>#DIV/0!</v>
      </c>
      <c r="AL248" s="14">
        <f t="shared" si="61"/>
        <v>-1</v>
      </c>
    </row>
    <row r="249" spans="1:38" x14ac:dyDescent="0.3">
      <c r="A249" s="7">
        <v>45904</v>
      </c>
      <c r="B249" s="3">
        <v>38630666</v>
      </c>
      <c r="C249" s="3">
        <f t="shared" si="62"/>
        <v>4864180.5</v>
      </c>
      <c r="D249" s="4">
        <f>+Tabla22[[#This Row],[Share diario]]</f>
        <v>3.7525466071048584E-2</v>
      </c>
      <c r="E249" s="3">
        <f>+Tabla22[[#This Row],[Global 2026]]</f>
        <v>0</v>
      </c>
      <c r="F249" s="7">
        <v>46268</v>
      </c>
      <c r="G249" s="3">
        <f>+Tabla2[[#This Row],[Meta Digital]]+Tabla2[[#This Row],[Meta MKPlace]]</f>
        <v>5724869.2399353702</v>
      </c>
      <c r="H249" s="3">
        <f>+D249*Hoja1!$L$38</f>
        <v>4535311.96548313</v>
      </c>
      <c r="I249" s="3">
        <v>1189557.2744522402</v>
      </c>
      <c r="J249" s="3">
        <v>3079282</v>
      </c>
      <c r="K249" s="3">
        <f>+Tabla22[[#This Row],[Web + APP 2026]]</f>
        <v>0</v>
      </c>
      <c r="L249" s="3">
        <v>38493.965517241362</v>
      </c>
      <c r="M249" s="3">
        <f>+Tabla22[[#This Row],[Afiliados 2026]]</f>
        <v>0</v>
      </c>
      <c r="N249" s="3">
        <v>37107</v>
      </c>
      <c r="O249" s="3">
        <f>+Tabla22[[#This Row],[TMK 2026]]</f>
        <v>0</v>
      </c>
      <c r="P249" s="3">
        <v>8353</v>
      </c>
      <c r="Q249" s="3">
        <f>+Tabla22[[#This Row],[WA 2026]]</f>
        <v>0</v>
      </c>
      <c r="R249" s="3">
        <v>163184</v>
      </c>
      <c r="S249" s="3">
        <f>+Tabla22[[#This Row],[Ent. en Tienda 2026]]</f>
        <v>0</v>
      </c>
      <c r="T249" s="3">
        <v>1235813</v>
      </c>
      <c r="U249" s="3">
        <f>+Tabla22[[#This Row],[Meli Drop 2026]]</f>
        <v>0</v>
      </c>
      <c r="V249" s="3">
        <v>273796</v>
      </c>
      <c r="W249" s="3">
        <f>+Tabla22[[#This Row],[Meli Full 2026]]</f>
        <v>0</v>
      </c>
      <c r="X249" s="3">
        <v>18920</v>
      </c>
      <c r="Y249" s="3">
        <f>+Tabla22[[#This Row],[Amazon Drop 2026]]</f>
        <v>0</v>
      </c>
      <c r="Z249" s="3">
        <v>8328</v>
      </c>
      <c r="AA249" s="3">
        <f>+Tabla22[[#This Row],[Amazon Full 2026]]</f>
        <v>0</v>
      </c>
      <c r="AB249" s="3">
        <v>903.53448275862081</v>
      </c>
      <c r="AC249" s="3">
        <f>+Tabla22[[#This Row],[TikTok 2026]]</f>
        <v>0</v>
      </c>
      <c r="AD249" s="3">
        <v>0</v>
      </c>
      <c r="AE249" s="3">
        <f>+Tabla22[[#This Row],[Shein 2026]]</f>
        <v>0</v>
      </c>
      <c r="AF249" s="5">
        <f t="shared" si="63"/>
        <v>0</v>
      </c>
      <c r="AG249" s="4">
        <f t="shared" si="64"/>
        <v>0</v>
      </c>
      <c r="AH249" s="5">
        <f t="shared" si="65"/>
        <v>-5724869.2399353702</v>
      </c>
      <c r="AI249" s="17">
        <f t="shared" si="58"/>
        <v>-1</v>
      </c>
      <c r="AJ249" s="17">
        <f t="shared" si="59"/>
        <v>0.12591500493416294</v>
      </c>
      <c r="AK249" s="14" t="e">
        <f t="shared" si="60"/>
        <v>#DIV/0!</v>
      </c>
      <c r="AL249" s="14">
        <f t="shared" si="61"/>
        <v>-1</v>
      </c>
    </row>
    <row r="250" spans="1:38" x14ac:dyDescent="0.3">
      <c r="A250" s="63">
        <v>45905</v>
      </c>
      <c r="B250" s="3">
        <v>37424855</v>
      </c>
      <c r="C250" s="3">
        <f t="shared" si="62"/>
        <v>3094762.7586206896</v>
      </c>
      <c r="D250" s="4">
        <f>+Tabla22[[#This Row],[Share diario]]</f>
        <v>4.2190467162117683E-2</v>
      </c>
      <c r="E250" s="3">
        <f>+Tabla22[[#This Row],[Global 2026]]</f>
        <v>0</v>
      </c>
      <c r="F250" s="7">
        <v>46269</v>
      </c>
      <c r="G250" s="3">
        <f>+Tabla2[[#This Row],[Meta Digital]]+Tabla2[[#This Row],[Meta MKPlace]]</f>
        <v>6436559.8342630146</v>
      </c>
      <c r="H250" s="3">
        <f>+D250*Hoja1!$L$38</f>
        <v>5099122.0252238838</v>
      </c>
      <c r="I250" s="3">
        <v>1337437.8090391306</v>
      </c>
      <c r="J250" s="3">
        <v>2474103</v>
      </c>
      <c r="K250" s="3">
        <f>+Tabla22[[#This Row],[Web + APP 2026]]</f>
        <v>0</v>
      </c>
      <c r="L250" s="3">
        <v>30516.379310344815</v>
      </c>
      <c r="M250" s="3">
        <f>+Tabla22[[#This Row],[Afiliados 2026]]</f>
        <v>0</v>
      </c>
      <c r="N250" s="3">
        <v>25936</v>
      </c>
      <c r="O250" s="3">
        <f>+Tabla22[[#This Row],[TMK 2026]]</f>
        <v>0</v>
      </c>
      <c r="P250" s="3">
        <v>835</v>
      </c>
      <c r="Q250" s="3">
        <f>+Tabla22[[#This Row],[WA 2026]]</f>
        <v>0</v>
      </c>
      <c r="R250" s="3">
        <v>99472</v>
      </c>
      <c r="S250" s="3">
        <f>+Tabla22[[#This Row],[Ent. en Tienda 2026]]</f>
        <v>0</v>
      </c>
      <c r="T250" s="3">
        <v>184786</v>
      </c>
      <c r="U250" s="3">
        <f>+Tabla22[[#This Row],[Meli Drop 2026]]</f>
        <v>0</v>
      </c>
      <c r="V250" s="3">
        <v>246588</v>
      </c>
      <c r="W250" s="3">
        <f>+Tabla22[[#This Row],[Meli Full 2026]]</f>
        <v>0</v>
      </c>
      <c r="X250" s="3">
        <v>23810</v>
      </c>
      <c r="Y250" s="3">
        <f>+Tabla22[[#This Row],[Amazon Drop 2026]]</f>
        <v>0</v>
      </c>
      <c r="Z250" s="3">
        <v>7925</v>
      </c>
      <c r="AA250" s="3">
        <f>+Tabla22[[#This Row],[Amazon Full 2026]]</f>
        <v>0</v>
      </c>
      <c r="AB250" s="3">
        <v>791.37931034482767</v>
      </c>
      <c r="AC250" s="3">
        <f>+Tabla22[[#This Row],[TikTok 2026]]</f>
        <v>0</v>
      </c>
      <c r="AD250" s="3">
        <v>0</v>
      </c>
      <c r="AE250" s="3">
        <f>+Tabla22[[#This Row],[Shein 2026]]</f>
        <v>0</v>
      </c>
      <c r="AF250" s="5">
        <f t="shared" si="63"/>
        <v>0</v>
      </c>
      <c r="AG250" s="4">
        <f t="shared" si="64"/>
        <v>0</v>
      </c>
      <c r="AH250" s="5">
        <f t="shared" si="65"/>
        <v>-6436559.8342630146</v>
      </c>
      <c r="AI250" s="17">
        <f t="shared" si="58"/>
        <v>-1</v>
      </c>
      <c r="AJ250" s="17">
        <f t="shared" si="59"/>
        <v>8.2692712065836713E-2</v>
      </c>
      <c r="AK250" s="14" t="e">
        <f t="shared" si="60"/>
        <v>#DIV/0!</v>
      </c>
      <c r="AL250" s="14">
        <f t="shared" si="61"/>
        <v>-1</v>
      </c>
    </row>
    <row r="251" spans="1:38" x14ac:dyDescent="0.3">
      <c r="A251" s="7">
        <v>45906</v>
      </c>
      <c r="B251" s="3">
        <v>54832854</v>
      </c>
      <c r="C251" s="3">
        <f t="shared" si="62"/>
        <v>3543120.387931034</v>
      </c>
      <c r="D251" s="4">
        <f>+Tabla22[[#This Row],[Share diario]]</f>
        <v>2.6843059492165419E-2</v>
      </c>
      <c r="E251" s="3">
        <f>+Tabla22[[#This Row],[Global 2026]]</f>
        <v>0</v>
      </c>
      <c r="F251" s="7">
        <v>46270</v>
      </c>
      <c r="G251" s="3">
        <f>+Tabla2[[#This Row],[Meta Digital]]+Tabla2[[#This Row],[Meta MKPlace]]</f>
        <v>4095165.8082406549</v>
      </c>
      <c r="H251" s="3">
        <f>+D251*Hoja1!$L$38</f>
        <v>3244240.8223390114</v>
      </c>
      <c r="I251" s="3">
        <v>850924.98590164375</v>
      </c>
      <c r="J251" s="3">
        <v>2230610</v>
      </c>
      <c r="K251" s="3">
        <f>+Tabla22[[#This Row],[Web + APP 2026]]</f>
        <v>0</v>
      </c>
      <c r="L251" s="3">
        <v>36679.310344827565</v>
      </c>
      <c r="M251" s="3">
        <f>+Tabla22[[#This Row],[Afiliados 2026]]</f>
        <v>0</v>
      </c>
      <c r="N251" s="3">
        <v>4751</v>
      </c>
      <c r="O251" s="3">
        <f>+Tabla22[[#This Row],[TMK 2026]]</f>
        <v>0</v>
      </c>
      <c r="P251" s="3">
        <v>697</v>
      </c>
      <c r="Q251" s="3">
        <f>+Tabla22[[#This Row],[WA 2026]]</f>
        <v>0</v>
      </c>
      <c r="R251" s="3">
        <v>100445</v>
      </c>
      <c r="S251" s="3">
        <f>+Tabla22[[#This Row],[Ent. en Tienda 2026]]</f>
        <v>0</v>
      </c>
      <c r="T251" s="3">
        <v>869801</v>
      </c>
      <c r="U251" s="3">
        <f>+Tabla22[[#This Row],[Meli Drop 2026]]</f>
        <v>0</v>
      </c>
      <c r="V251" s="3">
        <v>263561</v>
      </c>
      <c r="W251" s="3">
        <f>+Tabla22[[#This Row],[Meli Full 2026]]</f>
        <v>0</v>
      </c>
      <c r="X251" s="3">
        <v>29692</v>
      </c>
      <c r="Y251" s="3">
        <f>+Tabla22[[#This Row],[Amazon Drop 2026]]</f>
        <v>0</v>
      </c>
      <c r="Z251" s="3">
        <v>3281</v>
      </c>
      <c r="AA251" s="3">
        <f>+Tabla22[[#This Row],[Amazon Full 2026]]</f>
        <v>0</v>
      </c>
      <c r="AB251" s="3">
        <v>1880.6637931034484</v>
      </c>
      <c r="AC251" s="3">
        <f>+Tabla22[[#This Row],[TikTok 2026]]</f>
        <v>0</v>
      </c>
      <c r="AD251" s="3">
        <v>1722.4137931034484</v>
      </c>
      <c r="AE251" s="3">
        <f>+Tabla22[[#This Row],[Shein 2026]]</f>
        <v>0</v>
      </c>
      <c r="AF251" s="5">
        <f t="shared" si="63"/>
        <v>0</v>
      </c>
      <c r="AG251" s="4">
        <f t="shared" si="64"/>
        <v>0</v>
      </c>
      <c r="AH251" s="5">
        <f t="shared" si="65"/>
        <v>-4095165.8082406549</v>
      </c>
      <c r="AI251" s="17">
        <f t="shared" si="58"/>
        <v>-1</v>
      </c>
      <c r="AJ251" s="17">
        <f t="shared" si="59"/>
        <v>6.4616742143880274E-2</v>
      </c>
      <c r="AK251" s="14" t="e">
        <f t="shared" si="60"/>
        <v>#DIV/0!</v>
      </c>
      <c r="AL251" s="14">
        <f t="shared" si="61"/>
        <v>-1</v>
      </c>
    </row>
    <row r="252" spans="1:38" x14ac:dyDescent="0.3">
      <c r="A252" s="63">
        <v>45907</v>
      </c>
      <c r="B252" s="3">
        <v>54084046</v>
      </c>
      <c r="C252" s="3">
        <f t="shared" si="62"/>
        <v>3700237.4913793104</v>
      </c>
      <c r="D252" s="4">
        <f>+Tabla22[[#This Row],[Share diario]]</f>
        <v>3.0731981343709171E-2</v>
      </c>
      <c r="E252" s="3">
        <f>+Tabla22[[#This Row],[Global 2026]]</f>
        <v>0</v>
      </c>
      <c r="F252" s="7">
        <v>46271</v>
      </c>
      <c r="G252" s="3">
        <f>+Tabla2[[#This Row],[Meta Digital]]+Tabla2[[#This Row],[Meta MKPlace]]</f>
        <v>4688458.081873253</v>
      </c>
      <c r="H252" s="3">
        <f>+D252*Hoja1!$L$38</f>
        <v>3714254.2732776725</v>
      </c>
      <c r="I252" s="3">
        <v>974203.80859558075</v>
      </c>
      <c r="J252" s="3">
        <v>2674804</v>
      </c>
      <c r="K252" s="3">
        <f>+Tabla22[[#This Row],[Web + APP 2026]]</f>
        <v>0</v>
      </c>
      <c r="L252" s="3">
        <v>33514.655172413783</v>
      </c>
      <c r="M252" s="3">
        <f>+Tabla22[[#This Row],[Afiliados 2026]]</f>
        <v>0</v>
      </c>
      <c r="N252" s="3">
        <v>11139</v>
      </c>
      <c r="O252" s="3">
        <f>+Tabla22[[#This Row],[TMK 2026]]</f>
        <v>0</v>
      </c>
      <c r="P252" s="3">
        <v>1207</v>
      </c>
      <c r="Q252" s="3">
        <f>+Tabla22[[#This Row],[WA 2026]]</f>
        <v>0</v>
      </c>
      <c r="R252" s="3">
        <v>80736</v>
      </c>
      <c r="S252" s="3">
        <f>+Tabla22[[#This Row],[Ent. en Tienda 2026]]</f>
        <v>0</v>
      </c>
      <c r="T252" s="3">
        <v>589007</v>
      </c>
      <c r="U252" s="3">
        <f>+Tabla22[[#This Row],[Meli Drop 2026]]</f>
        <v>0</v>
      </c>
      <c r="V252" s="3">
        <v>264958</v>
      </c>
      <c r="W252" s="3">
        <f>+Tabla22[[#This Row],[Meli Full 2026]]</f>
        <v>0</v>
      </c>
      <c r="X252" s="3">
        <v>38489</v>
      </c>
      <c r="Y252" s="3">
        <f>+Tabla22[[#This Row],[Amazon Drop 2026]]</f>
        <v>0</v>
      </c>
      <c r="Z252" s="3">
        <v>5467</v>
      </c>
      <c r="AA252" s="3">
        <f>+Tabla22[[#This Row],[Amazon Full 2026]]</f>
        <v>0</v>
      </c>
      <c r="AB252" s="3">
        <v>915.83620689655186</v>
      </c>
      <c r="AC252" s="3">
        <f>+Tabla22[[#This Row],[TikTok 2026]]</f>
        <v>0</v>
      </c>
      <c r="AD252" s="3">
        <v>0</v>
      </c>
      <c r="AE252" s="3">
        <f>+Tabla22[[#This Row],[Shein 2026]]</f>
        <v>0</v>
      </c>
      <c r="AF252" s="5">
        <f t="shared" si="63"/>
        <v>0</v>
      </c>
      <c r="AG252" s="4">
        <f t="shared" si="64"/>
        <v>0</v>
      </c>
      <c r="AH252" s="5">
        <f t="shared" si="65"/>
        <v>-4688458.081873253</v>
      </c>
      <c r="AI252" s="17">
        <f t="shared" si="58"/>
        <v>-1</v>
      </c>
      <c r="AJ252" s="17">
        <f t="shared" si="59"/>
        <v>6.8416432664436949E-2</v>
      </c>
      <c r="AK252" s="14" t="e">
        <f t="shared" si="60"/>
        <v>#DIV/0!</v>
      </c>
      <c r="AL252" s="14">
        <f t="shared" si="61"/>
        <v>-1</v>
      </c>
    </row>
    <row r="253" spans="1:38" x14ac:dyDescent="0.3">
      <c r="A253" s="7">
        <v>45908</v>
      </c>
      <c r="B253" s="3">
        <v>28435547</v>
      </c>
      <c r="C253" s="3">
        <f t="shared" si="62"/>
        <v>4633264.2068965519</v>
      </c>
      <c r="D253" s="4">
        <f>+Tabla22[[#This Row],[Share diario]]</f>
        <v>3.2094768763633562E-2</v>
      </c>
      <c r="E253" s="3">
        <f>+Tabla22[[#This Row],[Global 2026]]</f>
        <v>0</v>
      </c>
      <c r="F253" s="7">
        <v>46272</v>
      </c>
      <c r="G253" s="3">
        <f>+Tabla2[[#This Row],[Meta Digital]]+Tabla2[[#This Row],[Meta MKPlace]]</f>
        <v>4896364.3545395164</v>
      </c>
      <c r="H253" s="3">
        <f>+D253*Hoja1!$L$38</f>
        <v>3878960.1847323324</v>
      </c>
      <c r="I253" s="3">
        <v>1017404.1698071839</v>
      </c>
      <c r="J253" s="3">
        <v>3525502</v>
      </c>
      <c r="K253" s="3">
        <f>+Tabla22[[#This Row],[Web + APP 2026]]</f>
        <v>0</v>
      </c>
      <c r="L253" s="3">
        <v>25892.241379310333</v>
      </c>
      <c r="M253" s="3">
        <f>+Tabla22[[#This Row],[Afiliados 2026]]</f>
        <v>0</v>
      </c>
      <c r="N253" s="3">
        <v>45000</v>
      </c>
      <c r="O253" s="3">
        <f>+Tabla22[[#This Row],[TMK 2026]]</f>
        <v>0</v>
      </c>
      <c r="P253" s="3">
        <v>10415</v>
      </c>
      <c r="Q253" s="3">
        <f>+Tabla22[[#This Row],[WA 2026]]</f>
        <v>0</v>
      </c>
      <c r="R253" s="3">
        <v>159923</v>
      </c>
      <c r="S253" s="3">
        <f>+Tabla22[[#This Row],[Ent. en Tienda 2026]]</f>
        <v>0</v>
      </c>
      <c r="T253" s="3">
        <v>610021</v>
      </c>
      <c r="U253" s="3">
        <f>+Tabla22[[#This Row],[Meli Drop 2026]]</f>
        <v>0</v>
      </c>
      <c r="V253" s="3">
        <v>212908</v>
      </c>
      <c r="W253" s="3">
        <f>+Tabla22[[#This Row],[Meli Full 2026]]</f>
        <v>0</v>
      </c>
      <c r="X253" s="3">
        <v>37056</v>
      </c>
      <c r="Y253" s="3">
        <f>+Tabla22[[#This Row],[Amazon Drop 2026]]</f>
        <v>0</v>
      </c>
      <c r="Z253" s="3">
        <v>6203</v>
      </c>
      <c r="AA253" s="3">
        <f>+Tabla22[[#This Row],[Amazon Full 2026]]</f>
        <v>0</v>
      </c>
      <c r="AB253" s="3">
        <v>343.96551724137936</v>
      </c>
      <c r="AC253" s="3">
        <f>+Tabla22[[#This Row],[TikTok 2026]]</f>
        <v>0</v>
      </c>
      <c r="AD253" s="3">
        <v>0</v>
      </c>
      <c r="AE253" s="3">
        <f>+Tabla22[[#This Row],[Shein 2026]]</f>
        <v>0</v>
      </c>
      <c r="AF253" s="5">
        <f t="shared" si="63"/>
        <v>0</v>
      </c>
      <c r="AG253" s="4">
        <f t="shared" si="64"/>
        <v>0</v>
      </c>
      <c r="AH253" s="5">
        <f t="shared" si="65"/>
        <v>-4896364.3545395164</v>
      </c>
      <c r="AI253" s="17">
        <f t="shared" si="58"/>
        <v>-1</v>
      </c>
      <c r="AJ253" s="17">
        <f t="shared" si="59"/>
        <v>0.16293916227096147</v>
      </c>
      <c r="AK253" s="14" t="e">
        <f t="shared" si="60"/>
        <v>#DIV/0!</v>
      </c>
      <c r="AL253" s="14">
        <f t="shared" si="61"/>
        <v>-1</v>
      </c>
    </row>
    <row r="254" spans="1:38" x14ac:dyDescent="0.3">
      <c r="A254" s="63">
        <v>45909</v>
      </c>
      <c r="B254" s="3">
        <v>29640196</v>
      </c>
      <c r="C254" s="3">
        <f t="shared" si="62"/>
        <v>4744179.2758620689</v>
      </c>
      <c r="D254" s="4">
        <f>+Tabla22[[#This Row],[Share diario]]</f>
        <v>4.018756733523441E-2</v>
      </c>
      <c r="E254" s="3">
        <f>+Tabla22[[#This Row],[Global 2026]]</f>
        <v>0</v>
      </c>
      <c r="F254" s="7">
        <v>46273</v>
      </c>
      <c r="G254" s="3">
        <f>+Tabla2[[#This Row],[Meta Digital]]+Tabla2[[#This Row],[Meta MKPlace]]</f>
        <v>6130998.2833981644</v>
      </c>
      <c r="H254" s="3">
        <f>+D254*Hoja1!$L$38</f>
        <v>4857052.3988712337</v>
      </c>
      <c r="I254" s="3">
        <v>1273945.8845269307</v>
      </c>
      <c r="J254" s="3">
        <v>3709022</v>
      </c>
      <c r="K254" s="3">
        <f>+Tabla22[[#This Row],[Web + APP 2026]]</f>
        <v>0</v>
      </c>
      <c r="L254" s="3">
        <v>28638.793103448261</v>
      </c>
      <c r="M254" s="3">
        <f>+Tabla22[[#This Row],[Afiliados 2026]]</f>
        <v>0</v>
      </c>
      <c r="N254" s="3">
        <v>39009</v>
      </c>
      <c r="O254" s="3">
        <f>+Tabla22[[#This Row],[TMK 2026]]</f>
        <v>0</v>
      </c>
      <c r="P254" s="3">
        <v>6468</v>
      </c>
      <c r="Q254" s="3">
        <f>+Tabla22[[#This Row],[WA 2026]]</f>
        <v>0</v>
      </c>
      <c r="R254" s="3">
        <v>126437</v>
      </c>
      <c r="S254" s="3">
        <f>+Tabla22[[#This Row],[Ent. en Tienda 2026]]</f>
        <v>0</v>
      </c>
      <c r="T254" s="3">
        <v>512439</v>
      </c>
      <c r="U254" s="3">
        <f>+Tabla22[[#This Row],[Meli Drop 2026]]</f>
        <v>0</v>
      </c>
      <c r="V254" s="3">
        <v>272574</v>
      </c>
      <c r="W254" s="3">
        <f>+Tabla22[[#This Row],[Meli Full 2026]]</f>
        <v>0</v>
      </c>
      <c r="X254" s="3">
        <v>41801</v>
      </c>
      <c r="Y254" s="3">
        <f>+Tabla22[[#This Row],[Amazon Drop 2026]]</f>
        <v>0</v>
      </c>
      <c r="Z254" s="3">
        <v>6981</v>
      </c>
      <c r="AA254" s="3">
        <f>+Tabla22[[#This Row],[Amazon Full 2026]]</f>
        <v>0</v>
      </c>
      <c r="AB254" s="3">
        <v>809.48275862068976</v>
      </c>
      <c r="AC254" s="3">
        <f>+Tabla22[[#This Row],[TikTok 2026]]</f>
        <v>0</v>
      </c>
      <c r="AD254" s="3">
        <v>0</v>
      </c>
      <c r="AE254" s="3">
        <f>+Tabla22[[#This Row],[Shein 2026]]</f>
        <v>0</v>
      </c>
      <c r="AF254" s="5">
        <f t="shared" si="63"/>
        <v>0</v>
      </c>
      <c r="AG254" s="4">
        <f t="shared" si="64"/>
        <v>0</v>
      </c>
      <c r="AH254" s="5">
        <f t="shared" si="65"/>
        <v>-6130998.2833981644</v>
      </c>
      <c r="AI254" s="17">
        <f t="shared" si="58"/>
        <v>-1</v>
      </c>
      <c r="AJ254" s="17">
        <f t="shared" si="59"/>
        <v>0.16005897113035517</v>
      </c>
      <c r="AK254" s="14" t="e">
        <f t="shared" si="60"/>
        <v>#DIV/0!</v>
      </c>
      <c r="AL254" s="14">
        <f t="shared" si="61"/>
        <v>-1</v>
      </c>
    </row>
    <row r="255" spans="1:38" x14ac:dyDescent="0.3">
      <c r="A255" s="7">
        <v>45910</v>
      </c>
      <c r="B255" s="3">
        <v>32533171</v>
      </c>
      <c r="C255" s="3">
        <f t="shared" si="62"/>
        <v>4154468</v>
      </c>
      <c r="D255" s="4">
        <f>+Tabla22[[#This Row],[Share diario]]</f>
        <v>4.1149611933491745E-2</v>
      </c>
      <c r="E255" s="3">
        <f>+Tabla22[[#This Row],[Global 2026]]</f>
        <v>0</v>
      </c>
      <c r="F255" s="7">
        <v>46274</v>
      </c>
      <c r="G255" s="3">
        <f>+Tabla2[[#This Row],[Meta Digital]]+Tabla2[[#This Row],[Meta MKPlace]]</f>
        <v>6277767.4006046411</v>
      </c>
      <c r="H255" s="3">
        <f>+D255*Hoja1!$L$38</f>
        <v>4973324.7023129528</v>
      </c>
      <c r="I255" s="3">
        <v>1304442.6982916882</v>
      </c>
      <c r="J255" s="3">
        <v>2984548</v>
      </c>
      <c r="K255" s="3">
        <f>+Tabla22[[#This Row],[Web + APP 2026]]</f>
        <v>0</v>
      </c>
      <c r="L255" s="3">
        <v>24654.31034482758</v>
      </c>
      <c r="M255" s="3">
        <f>+Tabla22[[#This Row],[Afiliados 2026]]</f>
        <v>0</v>
      </c>
      <c r="N255" s="3">
        <v>17827</v>
      </c>
      <c r="O255" s="3">
        <f>+Tabla22[[#This Row],[TMK 2026]]</f>
        <v>0</v>
      </c>
      <c r="P255" s="3">
        <v>2299</v>
      </c>
      <c r="Q255" s="3">
        <f>+Tabla22[[#This Row],[WA 2026]]</f>
        <v>0</v>
      </c>
      <c r="R255" s="3">
        <v>109725</v>
      </c>
      <c r="S255" s="3">
        <f>+Tabla22[[#This Row],[Ent. en Tienda 2026]]</f>
        <v>0</v>
      </c>
      <c r="T255" s="3">
        <v>666967</v>
      </c>
      <c r="U255" s="3">
        <f>+Tabla22[[#This Row],[Meli Drop 2026]]</f>
        <v>0</v>
      </c>
      <c r="V255" s="3">
        <v>299912</v>
      </c>
      <c r="W255" s="3">
        <f>+Tabla22[[#This Row],[Meli Full 2026]]</f>
        <v>0</v>
      </c>
      <c r="X255" s="3">
        <v>40233</v>
      </c>
      <c r="Y255" s="3">
        <f>+Tabla22[[#This Row],[Amazon Drop 2026]]</f>
        <v>0</v>
      </c>
      <c r="Z255" s="3">
        <v>7382</v>
      </c>
      <c r="AA255" s="3">
        <f>+Tabla22[[#This Row],[Amazon Full 2026]]</f>
        <v>0</v>
      </c>
      <c r="AB255" s="3">
        <v>920.68965517241395</v>
      </c>
      <c r="AC255" s="3">
        <f>+Tabla22[[#This Row],[TikTok 2026]]</f>
        <v>0</v>
      </c>
      <c r="AD255" s="3">
        <v>0</v>
      </c>
      <c r="AE255" s="3">
        <f>+Tabla22[[#This Row],[Shein 2026]]</f>
        <v>0</v>
      </c>
      <c r="AF255" s="5">
        <f t="shared" si="63"/>
        <v>0</v>
      </c>
      <c r="AG255" s="4">
        <f t="shared" si="64"/>
        <v>0</v>
      </c>
      <c r="AH255" s="5">
        <f t="shared" si="65"/>
        <v>-6277767.4006046411</v>
      </c>
      <c r="AI255" s="17">
        <f t="shared" si="58"/>
        <v>-1</v>
      </c>
      <c r="AJ255" s="17">
        <f t="shared" si="59"/>
        <v>0.12769944866425717</v>
      </c>
      <c r="AK255" s="14" t="e">
        <f t="shared" si="60"/>
        <v>#DIV/0!</v>
      </c>
      <c r="AL255" s="14">
        <f t="shared" si="61"/>
        <v>-1</v>
      </c>
    </row>
    <row r="256" spans="1:38" x14ac:dyDescent="0.3">
      <c r="A256" s="63">
        <v>45911</v>
      </c>
      <c r="B256" s="3">
        <v>36603847</v>
      </c>
      <c r="C256" s="3">
        <f t="shared" si="62"/>
        <v>3161083.4137931033</v>
      </c>
      <c r="D256" s="4">
        <f>+Tabla22[[#This Row],[Share diario]]</f>
        <v>3.6034630238345126E-2</v>
      </c>
      <c r="E256" s="3">
        <f>+Tabla22[[#This Row],[Global 2026]]</f>
        <v>0</v>
      </c>
      <c r="F256" s="7">
        <v>46275</v>
      </c>
      <c r="G256" s="3">
        <f>+Tabla2[[#This Row],[Meta Digital]]+Tabla2[[#This Row],[Meta MKPlace]]</f>
        <v>5497427.9555479065</v>
      </c>
      <c r="H256" s="3">
        <f>+D256*Hoja1!$L$38</f>
        <v>4355130.1769923661</v>
      </c>
      <c r="I256" s="3">
        <v>1142297.7785555406</v>
      </c>
      <c r="J256" s="3">
        <v>2427761</v>
      </c>
      <c r="K256" s="3">
        <f>+Tabla22[[#This Row],[Web + APP 2026]]</f>
        <v>0</v>
      </c>
      <c r="L256" s="3">
        <v>25539.655172413783</v>
      </c>
      <c r="M256" s="3">
        <f>+Tabla22[[#This Row],[Afiliados 2026]]</f>
        <v>0</v>
      </c>
      <c r="N256" s="3">
        <v>22302</v>
      </c>
      <c r="O256" s="3">
        <f>+Tabla22[[#This Row],[TMK 2026]]</f>
        <v>0</v>
      </c>
      <c r="P256" s="3">
        <v>3261</v>
      </c>
      <c r="Q256" s="3">
        <f>+Tabla22[[#This Row],[WA 2026]]</f>
        <v>0</v>
      </c>
      <c r="R256" s="3">
        <v>48694</v>
      </c>
      <c r="S256" s="3">
        <f>+Tabla22[[#This Row],[Ent. en Tienda 2026]]</f>
        <v>0</v>
      </c>
      <c r="T256" s="3">
        <v>356119</v>
      </c>
      <c r="U256" s="3">
        <f>+Tabla22[[#This Row],[Meli Drop 2026]]</f>
        <v>0</v>
      </c>
      <c r="V256" s="3">
        <v>246603</v>
      </c>
      <c r="W256" s="3">
        <f>+Tabla22[[#This Row],[Meli Full 2026]]</f>
        <v>0</v>
      </c>
      <c r="X256" s="3">
        <v>27305</v>
      </c>
      <c r="Y256" s="3">
        <f>+Tabla22[[#This Row],[Amazon Drop 2026]]</f>
        <v>0</v>
      </c>
      <c r="Z256" s="3">
        <v>3241</v>
      </c>
      <c r="AA256" s="3">
        <f>+Tabla22[[#This Row],[Amazon Full 2026]]</f>
        <v>0</v>
      </c>
      <c r="AB256" s="3">
        <v>257.75862068965517</v>
      </c>
      <c r="AC256" s="3">
        <f>+Tabla22[[#This Row],[TikTok 2026]]</f>
        <v>0</v>
      </c>
      <c r="AD256" s="3">
        <v>0</v>
      </c>
      <c r="AE256" s="3">
        <f>+Tabla22[[#This Row],[Shein 2026]]</f>
        <v>0</v>
      </c>
      <c r="AF256" s="5">
        <f t="shared" si="63"/>
        <v>0</v>
      </c>
      <c r="AG256" s="4">
        <f t="shared" si="64"/>
        <v>0</v>
      </c>
      <c r="AH256" s="5">
        <f t="shared" si="65"/>
        <v>-5497427.9555479065</v>
      </c>
      <c r="AI256" s="17">
        <f t="shared" si="58"/>
        <v>-1</v>
      </c>
      <c r="AJ256" s="17">
        <f t="shared" si="59"/>
        <v>8.6359322116965009E-2</v>
      </c>
      <c r="AK256" s="14" t="e">
        <f t="shared" si="60"/>
        <v>#DIV/0!</v>
      </c>
      <c r="AL256" s="14">
        <f t="shared" si="61"/>
        <v>-1</v>
      </c>
    </row>
    <row r="257" spans="1:38" x14ac:dyDescent="0.3">
      <c r="A257" s="7">
        <v>45912</v>
      </c>
      <c r="B257" s="3">
        <v>36893493</v>
      </c>
      <c r="C257" s="3">
        <f t="shared" si="62"/>
        <v>2697874.9655172415</v>
      </c>
      <c r="D257" s="4">
        <f>+Tabla22[[#This Row],[Share diario]]</f>
        <v>2.7418305296514546E-2</v>
      </c>
      <c r="E257" s="3">
        <f>+Tabla22[[#This Row],[Global 2026]]</f>
        <v>0</v>
      </c>
      <c r="F257" s="7">
        <v>46276</v>
      </c>
      <c r="G257" s="3">
        <f>+Tabla2[[#This Row],[Meta Digital]]+Tabla2[[#This Row],[Meta MKPlace]]</f>
        <v>4182925.0649674078</v>
      </c>
      <c r="H257" s="3">
        <f>+D257*Hoja1!$L$38</f>
        <v>3313764.7870678967</v>
      </c>
      <c r="I257" s="3">
        <v>869160.27789951116</v>
      </c>
      <c r="J257" s="3">
        <v>2178584</v>
      </c>
      <c r="K257" s="3">
        <f>+Tabla22[[#This Row],[Web + APP 2026]]</f>
        <v>0</v>
      </c>
      <c r="L257" s="3">
        <v>26887.068965517232</v>
      </c>
      <c r="M257" s="3">
        <f>+Tabla22[[#This Row],[Afiliados 2026]]</f>
        <v>0</v>
      </c>
      <c r="N257" s="3">
        <v>27326</v>
      </c>
      <c r="O257" s="3">
        <f>+Tabla22[[#This Row],[TMK 2026]]</f>
        <v>0</v>
      </c>
      <c r="P257" s="3">
        <v>1339</v>
      </c>
      <c r="Q257" s="3">
        <f>+Tabla22[[#This Row],[WA 2026]]</f>
        <v>0</v>
      </c>
      <c r="R257" s="3">
        <v>88295</v>
      </c>
      <c r="S257" s="3">
        <f>+Tabla22[[#This Row],[Ent. en Tienda 2026]]</f>
        <v>0</v>
      </c>
      <c r="T257" s="3">
        <v>120118</v>
      </c>
      <c r="U257" s="3">
        <f>+Tabla22[[#This Row],[Meli Drop 2026]]</f>
        <v>0</v>
      </c>
      <c r="V257" s="3">
        <v>219269</v>
      </c>
      <c r="W257" s="3">
        <f>+Tabla22[[#This Row],[Meli Full 2026]]</f>
        <v>0</v>
      </c>
      <c r="X257" s="3">
        <v>32816</v>
      </c>
      <c r="Y257" s="3">
        <f>+Tabla22[[#This Row],[Amazon Drop 2026]]</f>
        <v>0</v>
      </c>
      <c r="Z257" s="3">
        <v>2209</v>
      </c>
      <c r="AA257" s="3">
        <f>+Tabla22[[#This Row],[Amazon Full 2026]]</f>
        <v>0</v>
      </c>
      <c r="AB257" s="3">
        <v>1031.8965517241379</v>
      </c>
      <c r="AC257" s="3">
        <f>+Tabla22[[#This Row],[TikTok 2026]]</f>
        <v>0</v>
      </c>
      <c r="AD257" s="3">
        <v>0</v>
      </c>
      <c r="AE257" s="3">
        <f>+Tabla22[[#This Row],[Shein 2026]]</f>
        <v>0</v>
      </c>
      <c r="AF257" s="5">
        <f t="shared" si="63"/>
        <v>0</v>
      </c>
      <c r="AG257" s="4">
        <f t="shared" si="64"/>
        <v>0</v>
      </c>
      <c r="AH257" s="5">
        <f t="shared" si="65"/>
        <v>-4182925.0649674078</v>
      </c>
      <c r="AI257" s="17">
        <f t="shared" si="58"/>
        <v>-1</v>
      </c>
      <c r="AJ257" s="17">
        <f t="shared" si="59"/>
        <v>7.3126037849472303E-2</v>
      </c>
      <c r="AK257" s="14" t="e">
        <f t="shared" si="60"/>
        <v>#DIV/0!</v>
      </c>
      <c r="AL257" s="14">
        <f t="shared" si="61"/>
        <v>-1</v>
      </c>
    </row>
    <row r="258" spans="1:38" x14ac:dyDescent="0.3">
      <c r="A258" s="63">
        <v>45913</v>
      </c>
      <c r="B258" s="3">
        <v>51169546</v>
      </c>
      <c r="C258" s="3">
        <f t="shared" si="62"/>
        <v>2711206.2068965519</v>
      </c>
      <c r="D258" s="4">
        <f>+Tabla22[[#This Row],[Share diario]]</f>
        <v>2.3400571820917121E-2</v>
      </c>
      <c r="E258" s="3">
        <f>+Tabla22[[#This Row],[Global 2026]]</f>
        <v>0</v>
      </c>
      <c r="F258" s="7">
        <v>46277</v>
      </c>
      <c r="G258" s="3">
        <f>+Tabla2[[#This Row],[Meta Digital]]+Tabla2[[#This Row],[Meta MKPlace]]</f>
        <v>3569981.344424203</v>
      </c>
      <c r="H258" s="3">
        <f>+D258*Hoja1!$L$38</f>
        <v>2828183.2177011301</v>
      </c>
      <c r="I258" s="3">
        <v>741798.12672307272</v>
      </c>
      <c r="J258" s="3">
        <v>1799983</v>
      </c>
      <c r="K258" s="3">
        <f>+Tabla22[[#This Row],[Web + APP 2026]]</f>
        <v>0</v>
      </c>
      <c r="L258" s="3">
        <v>29600.862068965504</v>
      </c>
      <c r="M258" s="3">
        <f>+Tabla22[[#This Row],[Afiliados 2026]]</f>
        <v>0</v>
      </c>
      <c r="N258" s="3">
        <v>7912</v>
      </c>
      <c r="O258" s="3">
        <f>+Tabla22[[#This Row],[TMK 2026]]</f>
        <v>0</v>
      </c>
      <c r="P258" s="3">
        <v>4922</v>
      </c>
      <c r="Q258" s="3">
        <f>+Tabla22[[#This Row],[WA 2026]]</f>
        <v>0</v>
      </c>
      <c r="R258" s="3">
        <v>64472</v>
      </c>
      <c r="S258" s="3">
        <f>+Tabla22[[#This Row],[Ent. en Tienda 2026]]</f>
        <v>0</v>
      </c>
      <c r="T258" s="3">
        <v>592754</v>
      </c>
      <c r="U258" s="3">
        <f>+Tabla22[[#This Row],[Meli Drop 2026]]</f>
        <v>0</v>
      </c>
      <c r="V258" s="3">
        <v>169324</v>
      </c>
      <c r="W258" s="3">
        <f>+Tabla22[[#This Row],[Meli Full 2026]]</f>
        <v>0</v>
      </c>
      <c r="X258" s="3">
        <v>37170</v>
      </c>
      <c r="Y258" s="3">
        <f>+Tabla22[[#This Row],[Amazon Drop 2026]]</f>
        <v>0</v>
      </c>
      <c r="Z258" s="3">
        <v>3458</v>
      </c>
      <c r="AA258" s="3">
        <f>+Tabla22[[#This Row],[Amazon Full 2026]]</f>
        <v>0</v>
      </c>
      <c r="AB258" s="3">
        <v>576.72413793103453</v>
      </c>
      <c r="AC258" s="3">
        <f>+Tabla22[[#This Row],[TikTok 2026]]</f>
        <v>0</v>
      </c>
      <c r="AD258" s="3">
        <v>1033.6206896551726</v>
      </c>
      <c r="AE258" s="3">
        <f>+Tabla22[[#This Row],[Shein 2026]]</f>
        <v>0</v>
      </c>
      <c r="AF258" s="5">
        <f t="shared" si="63"/>
        <v>0</v>
      </c>
      <c r="AG258" s="4">
        <f t="shared" si="64"/>
        <v>0</v>
      </c>
      <c r="AH258" s="5">
        <f t="shared" si="65"/>
        <v>-3569981.344424203</v>
      </c>
      <c r="AI258" s="17">
        <f t="shared" si="58"/>
        <v>-1</v>
      </c>
      <c r="AJ258" s="17">
        <f t="shared" si="59"/>
        <v>5.2984761813140803E-2</v>
      </c>
      <c r="AK258" s="14" t="e">
        <f t="shared" si="60"/>
        <v>#DIV/0!</v>
      </c>
      <c r="AL258" s="14">
        <f t="shared" si="61"/>
        <v>-1</v>
      </c>
    </row>
    <row r="259" spans="1:38" x14ac:dyDescent="0.3">
      <c r="A259" s="7">
        <v>45914</v>
      </c>
      <c r="B259" s="3">
        <v>49356688</v>
      </c>
      <c r="C259" s="3">
        <f t="shared" si="62"/>
        <v>2336110.6379310344</v>
      </c>
      <c r="D259" s="4">
        <f>+Tabla22[[#This Row],[Share diario]]</f>
        <v>2.3516203077126478E-2</v>
      </c>
      <c r="E259" s="3">
        <f>+Tabla22[[#This Row],[Global 2026]]</f>
        <v>0</v>
      </c>
      <c r="F259" s="7">
        <v>46278</v>
      </c>
      <c r="G259" s="3">
        <f>+Tabla2[[#This Row],[Meta Digital]]+Tabla2[[#This Row],[Meta MKPlace]]</f>
        <v>3587621.9999884721</v>
      </c>
      <c r="H259" s="3">
        <f>+D259*Hoja1!$L$38</f>
        <v>2842158.3624435626</v>
      </c>
      <c r="I259" s="3">
        <v>745463.63754490938</v>
      </c>
      <c r="J259" s="3">
        <v>1780921</v>
      </c>
      <c r="K259" s="3">
        <f>+Tabla22[[#This Row],[Web + APP 2026]]</f>
        <v>0</v>
      </c>
      <c r="L259" s="3">
        <v>27704.310344827583</v>
      </c>
      <c r="M259" s="3">
        <f>+Tabla22[[#This Row],[Afiliados 2026]]</f>
        <v>0</v>
      </c>
      <c r="N259" s="3">
        <v>12528</v>
      </c>
      <c r="O259" s="3">
        <f>+Tabla22[[#This Row],[TMK 2026]]</f>
        <v>0</v>
      </c>
      <c r="P259" s="3">
        <v>4369</v>
      </c>
      <c r="Q259" s="3">
        <f>+Tabla22[[#This Row],[WA 2026]]</f>
        <v>0</v>
      </c>
      <c r="R259" s="3">
        <v>50344</v>
      </c>
      <c r="S259" s="3">
        <f>+Tabla22[[#This Row],[Ent. en Tienda 2026]]</f>
        <v>0</v>
      </c>
      <c r="T259" s="3">
        <v>241106</v>
      </c>
      <c r="U259" s="3">
        <f>+Tabla22[[#This Row],[Meli Drop 2026]]</f>
        <v>0</v>
      </c>
      <c r="V259" s="3">
        <v>174010</v>
      </c>
      <c r="W259" s="3">
        <f>+Tabla22[[#This Row],[Meli Full 2026]]</f>
        <v>0</v>
      </c>
      <c r="X259" s="3">
        <v>37039</v>
      </c>
      <c r="Y259" s="3">
        <f>+Tabla22[[#This Row],[Amazon Drop 2026]]</f>
        <v>0</v>
      </c>
      <c r="Z259" s="3">
        <v>6282</v>
      </c>
      <c r="AA259" s="3">
        <f>+Tabla22[[#This Row],[Amazon Full 2026]]</f>
        <v>0</v>
      </c>
      <c r="AB259" s="3">
        <v>773.70689655172418</v>
      </c>
      <c r="AC259" s="3">
        <f>+Tabla22[[#This Row],[TikTok 2026]]</f>
        <v>0</v>
      </c>
      <c r="AD259" s="3">
        <v>1033.6206896551726</v>
      </c>
      <c r="AE259" s="3">
        <f>+Tabla22[[#This Row],[Shein 2026]]</f>
        <v>0</v>
      </c>
      <c r="AF259" s="5">
        <f t="shared" si="63"/>
        <v>0</v>
      </c>
      <c r="AG259" s="4">
        <f t="shared" si="64"/>
        <v>0</v>
      </c>
      <c r="AH259" s="5">
        <f t="shared" si="65"/>
        <v>-3587621.9999884721</v>
      </c>
      <c r="AI259" s="17">
        <f t="shared" si="58"/>
        <v>-1</v>
      </c>
      <c r="AJ259" s="17">
        <f t="shared" si="59"/>
        <v>4.7331187172263957E-2</v>
      </c>
      <c r="AK259" s="14" t="e">
        <f t="shared" si="60"/>
        <v>#DIV/0!</v>
      </c>
      <c r="AL259" s="14">
        <f t="shared" si="61"/>
        <v>-1</v>
      </c>
    </row>
    <row r="260" spans="1:38" x14ac:dyDescent="0.3">
      <c r="A260" s="63">
        <v>45915</v>
      </c>
      <c r="B260" s="3">
        <v>27726860</v>
      </c>
      <c r="C260" s="3">
        <f t="shared" si="62"/>
        <v>3086116.2758620689</v>
      </c>
      <c r="D260" s="4">
        <f>+Tabla22[[#This Row],[Share diario]]</f>
        <v>2.0262734731308407E-2</v>
      </c>
      <c r="E260" s="3">
        <f>+Tabla22[[#This Row],[Global 2026]]</f>
        <v>0</v>
      </c>
      <c r="F260" s="7">
        <v>46279</v>
      </c>
      <c r="G260" s="3">
        <f>+Tabla2[[#This Row],[Meta Digital]]+Tabla2[[#This Row],[Meta MKPlace]]</f>
        <v>3091274.244551871</v>
      </c>
      <c r="H260" s="3">
        <f>+D260*Hoja1!$L$38</f>
        <v>2448945.5535693946</v>
      </c>
      <c r="I260" s="3">
        <v>642328.69098247646</v>
      </c>
      <c r="J260" s="3">
        <v>2148281</v>
      </c>
      <c r="K260" s="3">
        <f>+Tabla22[[#This Row],[Web + APP 2026]]</f>
        <v>0</v>
      </c>
      <c r="L260" s="3">
        <v>18573.27586206896</v>
      </c>
      <c r="M260" s="3">
        <f>+Tabla22[[#This Row],[Afiliados 2026]]</f>
        <v>0</v>
      </c>
      <c r="N260" s="3">
        <v>21024</v>
      </c>
      <c r="O260" s="3">
        <f>+Tabla22[[#This Row],[TMK 2026]]</f>
        <v>0</v>
      </c>
      <c r="P260" s="3">
        <v>2539</v>
      </c>
      <c r="Q260" s="3">
        <f>+Tabla22[[#This Row],[WA 2026]]</f>
        <v>0</v>
      </c>
      <c r="R260" s="3">
        <v>119375</v>
      </c>
      <c r="S260" s="3">
        <f>+Tabla22[[#This Row],[Ent. en Tienda 2026]]</f>
        <v>0</v>
      </c>
      <c r="T260" s="3">
        <v>616987</v>
      </c>
      <c r="U260" s="3">
        <f>+Tabla22[[#This Row],[Meli Drop 2026]]</f>
        <v>0</v>
      </c>
      <c r="V260" s="3">
        <v>121950</v>
      </c>
      <c r="W260" s="3">
        <f>+Tabla22[[#This Row],[Meli Full 2026]]</f>
        <v>0</v>
      </c>
      <c r="X260" s="3">
        <v>30964</v>
      </c>
      <c r="Y260" s="3">
        <f>+Tabla22[[#This Row],[Amazon Drop 2026]]</f>
        <v>0</v>
      </c>
      <c r="Z260" s="3">
        <v>6423</v>
      </c>
      <c r="AA260" s="3">
        <f>+Tabla22[[#This Row],[Amazon Full 2026]]</f>
        <v>0</v>
      </c>
      <c r="AB260" s="3">
        <v>0</v>
      </c>
      <c r="AC260" s="3">
        <f>+Tabla22[[#This Row],[TikTok 2026]]</f>
        <v>0</v>
      </c>
      <c r="AD260" s="3">
        <v>0</v>
      </c>
      <c r="AE260" s="3">
        <f>+Tabla22[[#This Row],[Shein 2026]]</f>
        <v>0</v>
      </c>
      <c r="AF260" s="5">
        <f t="shared" si="63"/>
        <v>0</v>
      </c>
      <c r="AG260" s="4">
        <f t="shared" si="64"/>
        <v>0</v>
      </c>
      <c r="AH260" s="5">
        <f t="shared" si="65"/>
        <v>-3091274.244551871</v>
      </c>
      <c r="AI260" s="17">
        <f t="shared" ref="AI260:AI323" si="66">+AF260/C260-1</f>
        <v>-1</v>
      </c>
      <c r="AJ260" s="17">
        <f t="shared" ref="AJ260:AJ323" si="67">+C260/B260</f>
        <v>0.11130421100196954</v>
      </c>
      <c r="AK260" s="14" t="e">
        <f t="shared" ref="AK260:AK323" si="68">+AF260/E260</f>
        <v>#DIV/0!</v>
      </c>
      <c r="AL260" s="14">
        <f t="shared" ref="AL260:AL323" si="69">+E260/B260-1</f>
        <v>-1</v>
      </c>
    </row>
    <row r="261" spans="1:38" x14ac:dyDescent="0.3">
      <c r="A261" s="7">
        <v>45916</v>
      </c>
      <c r="B261" s="3">
        <v>22429730</v>
      </c>
      <c r="C261" s="3">
        <f t="shared" ref="C261:C324" si="70">+J261+L261+N261+P261+R261+T261+V261+X261+Z261+AB261+AD261</f>
        <v>3212910.8448275863</v>
      </c>
      <c r="D261" s="4">
        <f>+Tabla22[[#This Row],[Share diario]]</f>
        <v>2.6768062450650325E-2</v>
      </c>
      <c r="E261" s="3">
        <f>+Tabla22[[#This Row],[Global 2026]]</f>
        <v>0</v>
      </c>
      <c r="F261" s="7">
        <v>46280</v>
      </c>
      <c r="G261" s="3">
        <f>+Tabla2[[#This Row],[Meta Digital]]+Tabla2[[#This Row],[Meta MKPlace]]</f>
        <v>4083724.2912920578</v>
      </c>
      <c r="H261" s="3">
        <f>+D261*Hoja1!$L$38</f>
        <v>3235176.7116064425</v>
      </c>
      <c r="I261" s="3">
        <v>848547.57968561526</v>
      </c>
      <c r="J261" s="3">
        <v>2565352</v>
      </c>
      <c r="K261" s="3">
        <f>+Tabla22[[#This Row],[Web + APP 2026]]</f>
        <v>0</v>
      </c>
      <c r="L261" s="3">
        <v>27786.206896551717</v>
      </c>
      <c r="M261" s="3">
        <f>+Tabla22[[#This Row],[Afiliados 2026]]</f>
        <v>0</v>
      </c>
      <c r="N261" s="3">
        <v>61867</v>
      </c>
      <c r="O261" s="3">
        <f>+Tabla22[[#This Row],[TMK 2026]]</f>
        <v>0</v>
      </c>
      <c r="P261" s="3">
        <v>895</v>
      </c>
      <c r="Q261" s="3">
        <f>+Tabla22[[#This Row],[WA 2026]]</f>
        <v>0</v>
      </c>
      <c r="R261" s="3">
        <v>42777</v>
      </c>
      <c r="S261" s="3">
        <f>+Tabla22[[#This Row],[Ent. en Tienda 2026]]</f>
        <v>0</v>
      </c>
      <c r="T261" s="3">
        <v>318804</v>
      </c>
      <c r="U261" s="3">
        <f>+Tabla22[[#This Row],[Meli Drop 2026]]</f>
        <v>0</v>
      </c>
      <c r="V261" s="3">
        <v>152090</v>
      </c>
      <c r="W261" s="3">
        <f>+Tabla22[[#This Row],[Meli Full 2026]]</f>
        <v>0</v>
      </c>
      <c r="X261" s="3">
        <v>39436</v>
      </c>
      <c r="Y261" s="3">
        <f>+Tabla22[[#This Row],[Amazon Drop 2026]]</f>
        <v>0</v>
      </c>
      <c r="Z261" s="3">
        <v>2132</v>
      </c>
      <c r="AA261" s="3">
        <f>+Tabla22[[#This Row],[Amazon Full 2026]]</f>
        <v>0</v>
      </c>
      <c r="AB261" s="3">
        <v>1771.637931034483</v>
      </c>
      <c r="AC261" s="3">
        <f>+Tabla22[[#This Row],[TikTok 2026]]</f>
        <v>0</v>
      </c>
      <c r="AD261" s="3">
        <v>0</v>
      </c>
      <c r="AE261" s="3">
        <f>+Tabla22[[#This Row],[Shein 2026]]</f>
        <v>0</v>
      </c>
      <c r="AF261" s="5">
        <f t="shared" si="63"/>
        <v>0</v>
      </c>
      <c r="AG261" s="4">
        <f t="shared" si="64"/>
        <v>0</v>
      </c>
      <c r="AH261" s="5">
        <f t="shared" si="65"/>
        <v>-4083724.2912920578</v>
      </c>
      <c r="AI261" s="17">
        <f t="shared" si="66"/>
        <v>-1</v>
      </c>
      <c r="AJ261" s="17">
        <f t="shared" si="67"/>
        <v>0.14324340261017793</v>
      </c>
      <c r="AK261" s="14" t="e">
        <f t="shared" si="68"/>
        <v>#DIV/0!</v>
      </c>
      <c r="AL261" s="14">
        <f t="shared" si="69"/>
        <v>-1</v>
      </c>
    </row>
    <row r="262" spans="1:38" x14ac:dyDescent="0.3">
      <c r="A262" s="63">
        <v>45917</v>
      </c>
      <c r="B262" s="3">
        <v>27789776</v>
      </c>
      <c r="C262" s="3">
        <f t="shared" si="70"/>
        <v>3756006.3103448274</v>
      </c>
      <c r="D262" s="4">
        <f>+Tabla22[[#This Row],[Share diario]]</f>
        <v>2.7867841148886241E-2</v>
      </c>
      <c r="E262" s="3">
        <f>+Tabla22[[#This Row],[Global 2026]]</f>
        <v>0</v>
      </c>
      <c r="F262" s="7">
        <v>46281</v>
      </c>
      <c r="G262" s="3">
        <f>+Tabla2[[#This Row],[Meta Digital]]+Tabla2[[#This Row],[Meta MKPlace]]</f>
        <v>4251506.0645642756</v>
      </c>
      <c r="H262" s="3">
        <f>+D262*Hoja1!$L$38</f>
        <v>3368095.5001445813</v>
      </c>
      <c r="I262" s="3">
        <v>883410.5644196939</v>
      </c>
      <c r="J262" s="3">
        <v>2881595</v>
      </c>
      <c r="K262" s="3">
        <f>+Tabla22[[#This Row],[Web + APP 2026]]</f>
        <v>0</v>
      </c>
      <c r="L262" s="3">
        <v>29182.758620689649</v>
      </c>
      <c r="M262" s="3">
        <f>+Tabla22[[#This Row],[Afiliados 2026]]</f>
        <v>0</v>
      </c>
      <c r="N262" s="3">
        <v>37711</v>
      </c>
      <c r="O262" s="3">
        <f>+Tabla22[[#This Row],[TMK 2026]]</f>
        <v>0</v>
      </c>
      <c r="P262" s="3">
        <v>8906</v>
      </c>
      <c r="Q262" s="3">
        <f>+Tabla22[[#This Row],[WA 2026]]</f>
        <v>0</v>
      </c>
      <c r="R262" s="3">
        <v>89671</v>
      </c>
      <c r="S262" s="3">
        <f>+Tabla22[[#This Row],[Ent. en Tienda 2026]]</f>
        <v>0</v>
      </c>
      <c r="T262" s="3">
        <v>560772</v>
      </c>
      <c r="U262" s="3">
        <f>+Tabla22[[#This Row],[Meli Drop 2026]]</f>
        <v>0</v>
      </c>
      <c r="V262" s="3">
        <v>112089</v>
      </c>
      <c r="W262" s="3">
        <f>+Tabla22[[#This Row],[Meli Full 2026]]</f>
        <v>0</v>
      </c>
      <c r="X262" s="3">
        <v>30343</v>
      </c>
      <c r="Y262" s="3">
        <f>+Tabla22[[#This Row],[Amazon Drop 2026]]</f>
        <v>0</v>
      </c>
      <c r="Z262" s="3">
        <v>5195</v>
      </c>
      <c r="AA262" s="3">
        <f>+Tabla22[[#This Row],[Amazon Full 2026]]</f>
        <v>0</v>
      </c>
      <c r="AB262" s="3">
        <v>885.51724137931035</v>
      </c>
      <c r="AC262" s="3">
        <f>+Tabla22[[#This Row],[TikTok 2026]]</f>
        <v>0</v>
      </c>
      <c r="AD262" s="3">
        <v>-343.96551724137936</v>
      </c>
      <c r="AE262" s="3">
        <f>+Tabla22[[#This Row],[Shein 2026]]</f>
        <v>0</v>
      </c>
      <c r="AF262" s="5">
        <f t="shared" si="63"/>
        <v>0</v>
      </c>
      <c r="AG262" s="4">
        <f t="shared" si="64"/>
        <v>0</v>
      </c>
      <c r="AH262" s="5">
        <f t="shared" si="65"/>
        <v>-4251506.0645642756</v>
      </c>
      <c r="AI262" s="17">
        <f t="shared" si="66"/>
        <v>-1</v>
      </c>
      <c r="AJ262" s="17">
        <f t="shared" si="67"/>
        <v>0.13515784763233887</v>
      </c>
      <c r="AK262" s="14" t="e">
        <f t="shared" si="68"/>
        <v>#DIV/0!</v>
      </c>
      <c r="AL262" s="14">
        <f t="shared" si="69"/>
        <v>-1</v>
      </c>
    </row>
    <row r="263" spans="1:38" x14ac:dyDescent="0.3">
      <c r="A263" s="7">
        <v>45918</v>
      </c>
      <c r="B263" s="3">
        <v>34810000</v>
      </c>
      <c r="C263" s="3">
        <f t="shared" si="70"/>
        <v>3996151</v>
      </c>
      <c r="D263" s="4">
        <f>+Tabla22[[#This Row],[Share diario]]</f>
        <v>3.2578491052564808E-2</v>
      </c>
      <c r="E263" s="3">
        <f>+Tabla22[[#This Row],[Global 2026]]</f>
        <v>0</v>
      </c>
      <c r="F263" s="7">
        <v>46282</v>
      </c>
      <c r="G263" s="3">
        <f>+Tabla2[[#This Row],[Meta Digital]]+Tabla2[[#This Row],[Meta MKPlace]]</f>
        <v>4970160.822445618</v>
      </c>
      <c r="H263" s="3">
        <f>+D263*Hoja1!$L$38</f>
        <v>3937422.6560793133</v>
      </c>
      <c r="I263" s="3">
        <v>1032738.1663663044</v>
      </c>
      <c r="J263" s="3">
        <v>3137096</v>
      </c>
      <c r="K263" s="3">
        <f>+Tabla22[[#This Row],[Web + APP 2026]]</f>
        <v>0</v>
      </c>
      <c r="L263" s="3">
        <v>30499.999999999993</v>
      </c>
      <c r="M263" s="3">
        <f>+Tabla22[[#This Row],[Afiliados 2026]]</f>
        <v>0</v>
      </c>
      <c r="N263" s="3">
        <v>48555</v>
      </c>
      <c r="O263" s="3">
        <f>+Tabla22[[#This Row],[TMK 2026]]</f>
        <v>0</v>
      </c>
      <c r="P263" s="3">
        <v>554</v>
      </c>
      <c r="Q263" s="3">
        <f>+Tabla22[[#This Row],[WA 2026]]</f>
        <v>0</v>
      </c>
      <c r="R263" s="3">
        <v>53223</v>
      </c>
      <c r="S263" s="3">
        <f>+Tabla22[[#This Row],[Ent. en Tienda 2026]]</f>
        <v>0</v>
      </c>
      <c r="T263" s="3">
        <v>582614</v>
      </c>
      <c r="U263" s="3">
        <f>+Tabla22[[#This Row],[Meli Drop 2026]]</f>
        <v>0</v>
      </c>
      <c r="V263" s="3">
        <v>109550</v>
      </c>
      <c r="W263" s="3">
        <f>+Tabla22[[#This Row],[Meli Full 2026]]</f>
        <v>0</v>
      </c>
      <c r="X263" s="3">
        <v>24701</v>
      </c>
      <c r="Y263" s="3">
        <f>+Tabla22[[#This Row],[Amazon Drop 2026]]</f>
        <v>0</v>
      </c>
      <c r="Z263" s="3">
        <v>9358</v>
      </c>
      <c r="AA263" s="3">
        <f>+Tabla22[[#This Row],[Amazon Full 2026]]</f>
        <v>0</v>
      </c>
      <c r="AB263" s="3">
        <v>0</v>
      </c>
      <c r="AC263" s="3">
        <f>+Tabla22[[#This Row],[TikTok 2026]]</f>
        <v>0</v>
      </c>
      <c r="AD263" s="3">
        <v>0</v>
      </c>
      <c r="AE263" s="3">
        <f>+Tabla22[[#This Row],[Shein 2026]]</f>
        <v>0</v>
      </c>
      <c r="AF263" s="5">
        <f t="shared" si="63"/>
        <v>0</v>
      </c>
      <c r="AG263" s="4">
        <f t="shared" si="64"/>
        <v>0</v>
      </c>
      <c r="AH263" s="5">
        <f t="shared" si="65"/>
        <v>-4970160.822445618</v>
      </c>
      <c r="AI263" s="17">
        <f t="shared" si="66"/>
        <v>-1</v>
      </c>
      <c r="AJ263" s="17">
        <f t="shared" si="67"/>
        <v>0.11479893708704396</v>
      </c>
      <c r="AK263" s="14" t="e">
        <f t="shared" si="68"/>
        <v>#DIV/0!</v>
      </c>
      <c r="AL263" s="14">
        <f t="shared" si="69"/>
        <v>-1</v>
      </c>
    </row>
    <row r="264" spans="1:38" x14ac:dyDescent="0.3">
      <c r="A264" s="63">
        <v>45919</v>
      </c>
      <c r="B264" s="3">
        <v>36200541</v>
      </c>
      <c r="C264" s="3">
        <f t="shared" si="70"/>
        <v>3298681.4913793104</v>
      </c>
      <c r="D264" s="4">
        <f>+Tabla22[[#This Row],[Share diario]]</f>
        <v>3.4661435269592429E-2</v>
      </c>
      <c r="E264" s="3">
        <f>+Tabla22[[#This Row],[Global 2026]]</f>
        <v>0</v>
      </c>
      <c r="F264" s="7">
        <v>46283</v>
      </c>
      <c r="G264" s="3">
        <f>+Tabla2[[#This Row],[Meta Digital]]+Tabla2[[#This Row],[Meta MKPlace]]</f>
        <v>5287933.9116321811</v>
      </c>
      <c r="H264" s="3">
        <f>+D264*Hoja1!$L$38</f>
        <v>4189166.413586101</v>
      </c>
      <c r="I264" s="3">
        <v>1098767.4980460801</v>
      </c>
      <c r="J264" s="3">
        <v>2528021</v>
      </c>
      <c r="K264" s="3">
        <f>+Tabla22[[#This Row],[Web + APP 2026]]</f>
        <v>0</v>
      </c>
      <c r="L264" s="3">
        <v>32440.517241379297</v>
      </c>
      <c r="M264" s="3">
        <f>+Tabla22[[#This Row],[Afiliados 2026]]</f>
        <v>0</v>
      </c>
      <c r="N264" s="3">
        <v>31205</v>
      </c>
      <c r="O264" s="3">
        <f>+Tabla22[[#This Row],[TMK 2026]]</f>
        <v>0</v>
      </c>
      <c r="P264" s="3">
        <v>6171</v>
      </c>
      <c r="Q264" s="3">
        <f>+Tabla22[[#This Row],[WA 2026]]</f>
        <v>0</v>
      </c>
      <c r="R264" s="3">
        <v>94328</v>
      </c>
      <c r="S264" s="3">
        <f>+Tabla22[[#This Row],[Ent. en Tienda 2026]]</f>
        <v>0</v>
      </c>
      <c r="T264" s="3">
        <v>458250</v>
      </c>
      <c r="U264" s="3">
        <f>+Tabla22[[#This Row],[Meli Drop 2026]]</f>
        <v>0</v>
      </c>
      <c r="V264" s="3">
        <v>104253</v>
      </c>
      <c r="W264" s="3">
        <f>+Tabla22[[#This Row],[Meli Full 2026]]</f>
        <v>0</v>
      </c>
      <c r="X264" s="3">
        <v>32064</v>
      </c>
      <c r="Y264" s="3">
        <f>+Tabla22[[#This Row],[Amazon Drop 2026]]</f>
        <v>0</v>
      </c>
      <c r="Z264" s="3">
        <v>11786</v>
      </c>
      <c r="AA264" s="3">
        <f>+Tabla22[[#This Row],[Amazon Full 2026]]</f>
        <v>0</v>
      </c>
      <c r="AB264" s="3">
        <v>162.97413793103451</v>
      </c>
      <c r="AC264" s="3">
        <f>+Tabla22[[#This Row],[TikTok 2026]]</f>
        <v>0</v>
      </c>
      <c r="AD264" s="3">
        <v>0</v>
      </c>
      <c r="AE264" s="3">
        <f>+Tabla22[[#This Row],[Shein 2026]]</f>
        <v>0</v>
      </c>
      <c r="AF264" s="5">
        <f t="shared" si="63"/>
        <v>0</v>
      </c>
      <c r="AG264" s="4">
        <f t="shared" si="64"/>
        <v>0</v>
      </c>
      <c r="AH264" s="5">
        <f t="shared" si="65"/>
        <v>-5287933.9116321811</v>
      </c>
      <c r="AI264" s="17">
        <f t="shared" si="66"/>
        <v>-1</v>
      </c>
      <c r="AJ264" s="17">
        <f t="shared" si="67"/>
        <v>9.112243630224505E-2</v>
      </c>
      <c r="AK264" s="14" t="e">
        <f t="shared" si="68"/>
        <v>#DIV/0!</v>
      </c>
      <c r="AL264" s="14">
        <f t="shared" si="69"/>
        <v>-1</v>
      </c>
    </row>
    <row r="265" spans="1:38" x14ac:dyDescent="0.3">
      <c r="A265" s="7">
        <v>45920</v>
      </c>
      <c r="B265" s="3">
        <v>49554588</v>
      </c>
      <c r="C265" s="3">
        <f t="shared" si="70"/>
        <v>3214291.3620689656</v>
      </c>
      <c r="D265" s="4">
        <f>+Tabla22[[#This Row],[Share diario]]</f>
        <v>2.8611790442464907E-2</v>
      </c>
      <c r="E265" s="3">
        <f>+Tabla22[[#This Row],[Global 2026]]</f>
        <v>0</v>
      </c>
      <c r="F265" s="7">
        <v>46284</v>
      </c>
      <c r="G265" s="3">
        <f>+Tabla2[[#This Row],[Meta Digital]]+Tabla2[[#This Row],[Meta MKPlace]]</f>
        <v>4365002.6542886076</v>
      </c>
      <c r="H265" s="3">
        <f>+D265*Hoja1!$L$38</f>
        <v>3458008.8972624699</v>
      </c>
      <c r="I265" s="3">
        <v>906993.75702613755</v>
      </c>
      <c r="J265" s="3">
        <v>2508912</v>
      </c>
      <c r="K265" s="3">
        <f>+Tabla22[[#This Row],[Web + APP 2026]]</f>
        <v>0</v>
      </c>
      <c r="L265" s="3">
        <v>33902.586206896536</v>
      </c>
      <c r="M265" s="3">
        <f>+Tabla22[[#This Row],[Afiliados 2026]]</f>
        <v>0</v>
      </c>
      <c r="N265" s="3">
        <v>41569</v>
      </c>
      <c r="O265" s="3">
        <f>+Tabla22[[#This Row],[TMK 2026]]</f>
        <v>0</v>
      </c>
      <c r="P265" s="3">
        <v>834</v>
      </c>
      <c r="Q265" s="3">
        <f>+Tabla22[[#This Row],[WA 2026]]</f>
        <v>0</v>
      </c>
      <c r="R265" s="3">
        <v>73408</v>
      </c>
      <c r="S265" s="3">
        <f>+Tabla22[[#This Row],[Ent. en Tienda 2026]]</f>
        <v>0</v>
      </c>
      <c r="T265" s="3">
        <v>439924</v>
      </c>
      <c r="U265" s="3">
        <f>+Tabla22[[#This Row],[Meli Drop 2026]]</f>
        <v>0</v>
      </c>
      <c r="V265" s="3">
        <v>75203</v>
      </c>
      <c r="W265" s="3">
        <f>+Tabla22[[#This Row],[Meli Full 2026]]</f>
        <v>0</v>
      </c>
      <c r="X265" s="3">
        <v>28962</v>
      </c>
      <c r="Y265" s="3">
        <f>+Tabla22[[#This Row],[Amazon Drop 2026]]</f>
        <v>0</v>
      </c>
      <c r="Z265" s="3">
        <v>9571</v>
      </c>
      <c r="AA265" s="3">
        <f>+Tabla22[[#This Row],[Amazon Full 2026]]</f>
        <v>0</v>
      </c>
      <c r="AB265" s="3">
        <v>714.39655172413802</v>
      </c>
      <c r="AC265" s="3">
        <f>+Tabla22[[#This Row],[TikTok 2026]]</f>
        <v>0</v>
      </c>
      <c r="AD265" s="3">
        <v>1291.3793103448277</v>
      </c>
      <c r="AE265" s="3">
        <f>+Tabla22[[#This Row],[Shein 2026]]</f>
        <v>0</v>
      </c>
      <c r="AF265" s="5">
        <f t="shared" si="63"/>
        <v>0</v>
      </c>
      <c r="AG265" s="4">
        <f t="shared" si="64"/>
        <v>0</v>
      </c>
      <c r="AH265" s="5">
        <f t="shared" si="65"/>
        <v>-4365002.6542886076</v>
      </c>
      <c r="AI265" s="17">
        <f t="shared" si="66"/>
        <v>-1</v>
      </c>
      <c r="AJ265" s="17">
        <f t="shared" si="67"/>
        <v>6.4863648186702011E-2</v>
      </c>
      <c r="AK265" s="14" t="e">
        <f t="shared" si="68"/>
        <v>#DIV/0!</v>
      </c>
      <c r="AL265" s="14">
        <f t="shared" si="69"/>
        <v>-1</v>
      </c>
    </row>
    <row r="266" spans="1:38" x14ac:dyDescent="0.3">
      <c r="A266" s="63">
        <v>45921</v>
      </c>
      <c r="B266" s="3">
        <v>49902512</v>
      </c>
      <c r="C266" s="3">
        <f t="shared" si="70"/>
        <v>3768520.8965517241</v>
      </c>
      <c r="D266" s="4">
        <f>+Tabla22[[#This Row],[Share diario]]</f>
        <v>2.7879815348309793E-2</v>
      </c>
      <c r="E266" s="3">
        <f>+Tabla22[[#This Row],[Global 2026]]</f>
        <v>0</v>
      </c>
      <c r="F266" s="7">
        <v>46285</v>
      </c>
      <c r="G266" s="3">
        <f>+Tabla2[[#This Row],[Meta Digital]]+Tabla2[[#This Row],[Meta MKPlace]]</f>
        <v>4253332.8433662485</v>
      </c>
      <c r="H266" s="3">
        <f>+D266*Hoja1!$L$38</f>
        <v>3369542.6968248277</v>
      </c>
      <c r="I266" s="3">
        <v>883790.14654142049</v>
      </c>
      <c r="J266" s="3">
        <v>3005335</v>
      </c>
      <c r="K266" s="3">
        <f>+Tabla22[[#This Row],[Web + APP 2026]]</f>
        <v>0</v>
      </c>
      <c r="L266" s="3">
        <v>40560.344827586188</v>
      </c>
      <c r="M266" s="3">
        <f>+Tabla22[[#This Row],[Afiliados 2026]]</f>
        <v>0</v>
      </c>
      <c r="N266" s="3">
        <v>7591</v>
      </c>
      <c r="O266" s="3">
        <f>+Tabla22[[#This Row],[TMK 2026]]</f>
        <v>0</v>
      </c>
      <c r="P266" s="3">
        <v>8870</v>
      </c>
      <c r="Q266" s="3">
        <f>+Tabla22[[#This Row],[WA 2026]]</f>
        <v>0</v>
      </c>
      <c r="R266" s="3">
        <v>114424</v>
      </c>
      <c r="S266" s="3">
        <f>+Tabla22[[#This Row],[Ent. en Tienda 2026]]</f>
        <v>0</v>
      </c>
      <c r="T266" s="3">
        <v>457192</v>
      </c>
      <c r="U266" s="3">
        <f>+Tabla22[[#This Row],[Meli Drop 2026]]</f>
        <v>0</v>
      </c>
      <c r="V266" s="3">
        <v>90772</v>
      </c>
      <c r="W266" s="3">
        <f>+Tabla22[[#This Row],[Meli Full 2026]]</f>
        <v>0</v>
      </c>
      <c r="X266" s="3">
        <v>35716</v>
      </c>
      <c r="Y266" s="3">
        <f>+Tabla22[[#This Row],[Amazon Drop 2026]]</f>
        <v>0</v>
      </c>
      <c r="Z266" s="3">
        <v>7889</v>
      </c>
      <c r="AA266" s="3">
        <f>+Tabla22[[#This Row],[Amazon Full 2026]]</f>
        <v>0</v>
      </c>
      <c r="AB266" s="3">
        <v>171.55172413793105</v>
      </c>
      <c r="AC266" s="3">
        <f>+Tabla22[[#This Row],[TikTok 2026]]</f>
        <v>0</v>
      </c>
      <c r="AD266" s="3">
        <v>0</v>
      </c>
      <c r="AE266" s="3">
        <f>+Tabla22[[#This Row],[Shein 2026]]</f>
        <v>0</v>
      </c>
      <c r="AF266" s="5">
        <f t="shared" si="63"/>
        <v>0</v>
      </c>
      <c r="AG266" s="4">
        <f t="shared" si="64"/>
        <v>0</v>
      </c>
      <c r="AH266" s="5">
        <f t="shared" si="65"/>
        <v>-4253332.8433662485</v>
      </c>
      <c r="AI266" s="17">
        <f t="shared" si="66"/>
        <v>-1</v>
      </c>
      <c r="AJ266" s="17">
        <f t="shared" si="67"/>
        <v>7.5517659242318791E-2</v>
      </c>
      <c r="AK266" s="14" t="e">
        <f t="shared" si="68"/>
        <v>#DIV/0!</v>
      </c>
      <c r="AL266" s="14">
        <f t="shared" si="69"/>
        <v>-1</v>
      </c>
    </row>
    <row r="267" spans="1:38" x14ac:dyDescent="0.3">
      <c r="A267" s="7">
        <v>45922</v>
      </c>
      <c r="B267" s="3">
        <v>29240389</v>
      </c>
      <c r="C267" s="3">
        <f t="shared" si="70"/>
        <v>5260752.1379310349</v>
      </c>
      <c r="D267" s="4">
        <f>+Tabla22[[#This Row],[Share diario]]</f>
        <v>3.2687038882648331E-2</v>
      </c>
      <c r="E267" s="3">
        <f>+Tabla22[[#This Row],[Global 2026]]</f>
        <v>0</v>
      </c>
      <c r="F267" s="7">
        <v>46286</v>
      </c>
      <c r="G267" s="3">
        <f>+Tabla2[[#This Row],[Meta Digital]]+Tabla2[[#This Row],[Meta MKPlace]]</f>
        <v>4986720.8335146429</v>
      </c>
      <c r="H267" s="3">
        <f>+D267*Hoja1!$L$38</f>
        <v>3950541.7009346904</v>
      </c>
      <c r="I267" s="3">
        <v>1036179.1325799521</v>
      </c>
      <c r="J267" s="3">
        <v>4228644</v>
      </c>
      <c r="K267" s="3">
        <f>+Tabla22[[#This Row],[Web + APP 2026]]</f>
        <v>0</v>
      </c>
      <c r="L267" s="3">
        <v>30948.275862068956</v>
      </c>
      <c r="M267" s="3">
        <f>+Tabla22[[#This Row],[Afiliados 2026]]</f>
        <v>0</v>
      </c>
      <c r="N267" s="3">
        <v>30977</v>
      </c>
      <c r="O267" s="3">
        <f>+Tabla22[[#This Row],[TMK 2026]]</f>
        <v>0</v>
      </c>
      <c r="P267" s="3">
        <v>3889</v>
      </c>
      <c r="Q267" s="3">
        <f>+Tabla22[[#This Row],[WA 2026]]</f>
        <v>0</v>
      </c>
      <c r="R267" s="3">
        <v>117805</v>
      </c>
      <c r="S267" s="3">
        <f>+Tabla22[[#This Row],[Ent. en Tienda 2026]]</f>
        <v>0</v>
      </c>
      <c r="T267" s="3">
        <v>708970</v>
      </c>
      <c r="U267" s="3">
        <f>+Tabla22[[#This Row],[Meli Drop 2026]]</f>
        <v>0</v>
      </c>
      <c r="V267" s="3">
        <v>87697</v>
      </c>
      <c r="W267" s="3">
        <f>+Tabla22[[#This Row],[Meli Full 2026]]</f>
        <v>0</v>
      </c>
      <c r="X267" s="3">
        <v>40001</v>
      </c>
      <c r="Y267" s="3">
        <f>+Tabla22[[#This Row],[Amazon Drop 2026]]</f>
        <v>0</v>
      </c>
      <c r="Z267" s="3">
        <v>9770</v>
      </c>
      <c r="AA267" s="3">
        <f>+Tabla22[[#This Row],[Amazon Full 2026]]</f>
        <v>0</v>
      </c>
      <c r="AB267" s="3">
        <v>1103.4482758620691</v>
      </c>
      <c r="AC267" s="3">
        <f>+Tabla22[[#This Row],[TikTok 2026]]</f>
        <v>0</v>
      </c>
      <c r="AD267" s="3">
        <v>947.41379310344837</v>
      </c>
      <c r="AE267" s="3">
        <f>+Tabla22[[#This Row],[Shein 2026]]</f>
        <v>0</v>
      </c>
      <c r="AF267" s="5">
        <f t="shared" si="63"/>
        <v>0</v>
      </c>
      <c r="AG267" s="4">
        <f t="shared" si="64"/>
        <v>0</v>
      </c>
      <c r="AH267" s="5">
        <f t="shared" si="65"/>
        <v>-4986720.8335146429</v>
      </c>
      <c r="AI267" s="17">
        <f t="shared" si="66"/>
        <v>-1</v>
      </c>
      <c r="AJ267" s="17">
        <f t="shared" si="67"/>
        <v>0.17991389026770591</v>
      </c>
      <c r="AK267" s="14" t="e">
        <f t="shared" si="68"/>
        <v>#DIV/0!</v>
      </c>
      <c r="AL267" s="14">
        <f t="shared" si="69"/>
        <v>-1</v>
      </c>
    </row>
    <row r="268" spans="1:38" x14ac:dyDescent="0.3">
      <c r="A268" s="63">
        <v>45923</v>
      </c>
      <c r="B268" s="3">
        <v>30161823</v>
      </c>
      <c r="C268" s="3">
        <f t="shared" si="70"/>
        <v>4219527.8017241377</v>
      </c>
      <c r="D268" s="4">
        <f>+Tabla22[[#This Row],[Share diario]]</f>
        <v>4.5630212596637749E-2</v>
      </c>
      <c r="E268" s="3">
        <f>+Tabla22[[#This Row],[Global 2026]]</f>
        <v>0</v>
      </c>
      <c r="F268" s="7">
        <v>46287</v>
      </c>
      <c r="G268" s="3">
        <f>+Tabla2[[#This Row],[Meta Digital]]+Tabla2[[#This Row],[Meta MKPlace]]</f>
        <v>6961325.9436034858</v>
      </c>
      <c r="H268" s="3">
        <f>+D268*Hoja1!$L$38</f>
        <v>5514848.2042900696</v>
      </c>
      <c r="I268" s="3">
        <v>1446477.7393134166</v>
      </c>
      <c r="J268" s="3">
        <v>3819612</v>
      </c>
      <c r="K268" s="3">
        <f>+Tabla22[[#This Row],[Web + APP 2026]]</f>
        <v>0</v>
      </c>
      <c r="L268" s="3">
        <v>28138.793103448268</v>
      </c>
      <c r="M268" s="3">
        <f>+Tabla22[[#This Row],[Afiliados 2026]]</f>
        <v>0</v>
      </c>
      <c r="N268" s="3">
        <v>70945</v>
      </c>
      <c r="O268" s="3">
        <f>+Tabla22[[#This Row],[TMK 2026]]</f>
        <v>0</v>
      </c>
      <c r="P268" s="3">
        <v>2241</v>
      </c>
      <c r="Q268" s="3">
        <f>+Tabla22[[#This Row],[WA 2026]]</f>
        <v>0</v>
      </c>
      <c r="R268" s="3">
        <v>108115</v>
      </c>
      <c r="S268" s="3">
        <f>+Tabla22[[#This Row],[Ent. en Tienda 2026]]</f>
        <v>0</v>
      </c>
      <c r="T268" s="3">
        <v>130750</v>
      </c>
      <c r="U268" s="3">
        <f>+Tabla22[[#This Row],[Meli Drop 2026]]</f>
        <v>0</v>
      </c>
      <c r="V268" s="3">
        <v>23990</v>
      </c>
      <c r="W268" s="3">
        <f>+Tabla22[[#This Row],[Meli Full 2026]]</f>
        <v>0</v>
      </c>
      <c r="X268" s="3">
        <v>26470</v>
      </c>
      <c r="Y268" s="3">
        <f>+Tabla22[[#This Row],[Amazon Drop 2026]]</f>
        <v>0</v>
      </c>
      <c r="Z268" s="3">
        <v>9026</v>
      </c>
      <c r="AA268" s="3">
        <f>+Tabla22[[#This Row],[Amazon Full 2026]]</f>
        <v>0</v>
      </c>
      <c r="AB268" s="3">
        <v>240.0086206896552</v>
      </c>
      <c r="AC268" s="3">
        <f>+Tabla22[[#This Row],[TikTok 2026]]</f>
        <v>0</v>
      </c>
      <c r="AD268" s="3">
        <v>0</v>
      </c>
      <c r="AE268" s="3">
        <f>+Tabla22[[#This Row],[Shein 2026]]</f>
        <v>0</v>
      </c>
      <c r="AF268" s="5">
        <f t="shared" si="63"/>
        <v>0</v>
      </c>
      <c r="AG268" s="4">
        <f t="shared" si="64"/>
        <v>0</v>
      </c>
      <c r="AH268" s="5">
        <f t="shared" si="65"/>
        <v>-6961325.9436034858</v>
      </c>
      <c r="AI268" s="17">
        <f t="shared" si="66"/>
        <v>-1</v>
      </c>
      <c r="AJ268" s="17">
        <f t="shared" si="67"/>
        <v>0.13989631202743075</v>
      </c>
      <c r="AK268" s="14" t="e">
        <f t="shared" si="68"/>
        <v>#DIV/0!</v>
      </c>
      <c r="AL268" s="14">
        <f t="shared" si="69"/>
        <v>-1</v>
      </c>
    </row>
    <row r="269" spans="1:38" x14ac:dyDescent="0.3">
      <c r="A269" s="7">
        <v>45924</v>
      </c>
      <c r="B269" s="3">
        <v>34413776</v>
      </c>
      <c r="C269" s="3">
        <f t="shared" si="70"/>
        <v>5032986.7241379311</v>
      </c>
      <c r="D269" s="4">
        <f>+Tabla22[[#This Row],[Share diario]]</f>
        <v>3.6598939771722044E-2</v>
      </c>
      <c r="E269" s="3">
        <f>+Tabla22[[#This Row],[Global 2026]]</f>
        <v>0</v>
      </c>
      <c r="F269" s="7">
        <v>46288</v>
      </c>
      <c r="G269" s="3">
        <f>+Tabla2[[#This Row],[Meta Digital]]+Tabla2[[#This Row],[Meta MKPlace]]</f>
        <v>5583518.7793984395</v>
      </c>
      <c r="H269" s="3">
        <f>+D269*Hoja1!$L$38</f>
        <v>4423332.3886348512</v>
      </c>
      <c r="I269" s="3">
        <v>1160186.3907635887</v>
      </c>
      <c r="J269" s="3">
        <v>3568039</v>
      </c>
      <c r="K269" s="3">
        <f>+Tabla22[[#This Row],[Web + APP 2026]]</f>
        <v>0</v>
      </c>
      <c r="L269" s="3">
        <v>27351.724137931025</v>
      </c>
      <c r="M269" s="3">
        <f>+Tabla22[[#This Row],[Afiliados 2026]]</f>
        <v>0</v>
      </c>
      <c r="N269" s="3">
        <v>49010</v>
      </c>
      <c r="O269" s="3">
        <f>+Tabla22[[#This Row],[TMK 2026]]</f>
        <v>0</v>
      </c>
      <c r="P269" s="3">
        <v>1023</v>
      </c>
      <c r="Q269" s="3">
        <f>+Tabla22[[#This Row],[WA 2026]]</f>
        <v>0</v>
      </c>
      <c r="R269" s="3">
        <v>128430</v>
      </c>
      <c r="S269" s="3">
        <f>+Tabla22[[#This Row],[Ent. en Tienda 2026]]</f>
        <v>0</v>
      </c>
      <c r="T269" s="3">
        <v>1012262</v>
      </c>
      <c r="U269" s="3">
        <f>+Tabla22[[#This Row],[Meli Drop 2026]]</f>
        <v>0</v>
      </c>
      <c r="V269" s="3">
        <v>207202</v>
      </c>
      <c r="W269" s="3">
        <f>+Tabla22[[#This Row],[Meli Full 2026]]</f>
        <v>0</v>
      </c>
      <c r="X269" s="3">
        <v>31837</v>
      </c>
      <c r="Y269" s="3">
        <f>+Tabla22[[#This Row],[Amazon Drop 2026]]</f>
        <v>0</v>
      </c>
      <c r="Z269" s="3">
        <v>7832</v>
      </c>
      <c r="AA269" s="3">
        <f>+Tabla22[[#This Row],[Amazon Full 2026]]</f>
        <v>0</v>
      </c>
      <c r="AB269" s="3">
        <v>0</v>
      </c>
      <c r="AC269" s="3">
        <f>+Tabla22[[#This Row],[TikTok 2026]]</f>
        <v>0</v>
      </c>
      <c r="AD269" s="3">
        <v>0</v>
      </c>
      <c r="AE269" s="3">
        <f>+Tabla22[[#This Row],[Shein 2026]]</f>
        <v>0</v>
      </c>
      <c r="AF269" s="5">
        <f t="shared" si="63"/>
        <v>0</v>
      </c>
      <c r="AG269" s="4">
        <f t="shared" si="64"/>
        <v>0</v>
      </c>
      <c r="AH269" s="5">
        <f t="shared" si="65"/>
        <v>-5583518.7793984395</v>
      </c>
      <c r="AI269" s="17">
        <f t="shared" si="66"/>
        <v>-1</v>
      </c>
      <c r="AJ269" s="17">
        <f t="shared" si="67"/>
        <v>0.14624918591141906</v>
      </c>
      <c r="AK269" s="14" t="e">
        <f t="shared" si="68"/>
        <v>#DIV/0!</v>
      </c>
      <c r="AL269" s="14">
        <f t="shared" si="69"/>
        <v>-1</v>
      </c>
    </row>
    <row r="270" spans="1:38" x14ac:dyDescent="0.3">
      <c r="A270" s="63">
        <v>45925</v>
      </c>
      <c r="B270" s="3">
        <v>37280200</v>
      </c>
      <c r="C270" s="3">
        <f t="shared" si="70"/>
        <v>3965561.3103448274</v>
      </c>
      <c r="D270" s="4">
        <f>+Tabla22[[#This Row],[Share diario]]</f>
        <v>4.3654642567666969E-2</v>
      </c>
      <c r="E270" s="3">
        <f>+Tabla22[[#This Row],[Global 2026]]</f>
        <v>0</v>
      </c>
      <c r="F270" s="7">
        <v>46289</v>
      </c>
      <c r="G270" s="3">
        <f>+Tabla2[[#This Row],[Meta Digital]]+Tabla2[[#This Row],[Meta MKPlace]]</f>
        <v>6659933.8151545133</v>
      </c>
      <c r="H270" s="3">
        <f>+D270*Hoja1!$L$38</f>
        <v>5276081.6457594708</v>
      </c>
      <c r="I270" s="3">
        <v>1383852.1693950428</v>
      </c>
      <c r="J270" s="3">
        <v>3032045</v>
      </c>
      <c r="K270" s="3">
        <f>+Tabla22[[#This Row],[Web + APP 2026]]</f>
        <v>0</v>
      </c>
      <c r="L270" s="3">
        <v>32489.655172413783</v>
      </c>
      <c r="M270" s="3">
        <f>+Tabla22[[#This Row],[Afiliados 2026]]</f>
        <v>0</v>
      </c>
      <c r="N270" s="3">
        <v>32271</v>
      </c>
      <c r="O270" s="3">
        <f>+Tabla22[[#This Row],[TMK 2026]]</f>
        <v>0</v>
      </c>
      <c r="P270" s="3">
        <v>854</v>
      </c>
      <c r="Q270" s="3">
        <f>+Tabla22[[#This Row],[WA 2026]]</f>
        <v>0</v>
      </c>
      <c r="R270" s="3">
        <v>141184</v>
      </c>
      <c r="S270" s="3">
        <f>+Tabla22[[#This Row],[Ent. en Tienda 2026]]</f>
        <v>0</v>
      </c>
      <c r="T270" s="3">
        <v>537518</v>
      </c>
      <c r="U270" s="3">
        <f>+Tabla22[[#This Row],[Meli Drop 2026]]</f>
        <v>0</v>
      </c>
      <c r="V270" s="3">
        <v>147100</v>
      </c>
      <c r="W270" s="3">
        <f>+Tabla22[[#This Row],[Meli Full 2026]]</f>
        <v>0</v>
      </c>
      <c r="X270" s="3">
        <v>28015</v>
      </c>
      <c r="Y270" s="3">
        <f>+Tabla22[[#This Row],[Amazon Drop 2026]]</f>
        <v>0</v>
      </c>
      <c r="Z270" s="3">
        <v>5570</v>
      </c>
      <c r="AA270" s="3">
        <f>+Tabla22[[#This Row],[Amazon Full 2026]]</f>
        <v>0</v>
      </c>
      <c r="AB270" s="3">
        <v>8514.6551724137935</v>
      </c>
      <c r="AC270" s="3">
        <f>+Tabla22[[#This Row],[TikTok 2026]]</f>
        <v>0</v>
      </c>
      <c r="AD270" s="3">
        <v>0</v>
      </c>
      <c r="AE270" s="3">
        <f>+Tabla22[[#This Row],[Shein 2026]]</f>
        <v>0</v>
      </c>
      <c r="AF270" s="5">
        <f t="shared" si="63"/>
        <v>0</v>
      </c>
      <c r="AG270" s="4">
        <f t="shared" si="64"/>
        <v>0</v>
      </c>
      <c r="AH270" s="5">
        <f t="shared" si="65"/>
        <v>-6659933.8151545133</v>
      </c>
      <c r="AI270" s="17">
        <f t="shared" si="66"/>
        <v>-1</v>
      </c>
      <c r="AJ270" s="17">
        <f t="shared" si="67"/>
        <v>0.1063717820812342</v>
      </c>
      <c r="AK270" s="14" t="e">
        <f t="shared" si="68"/>
        <v>#DIV/0!</v>
      </c>
      <c r="AL270" s="14">
        <f t="shared" si="69"/>
        <v>-1</v>
      </c>
    </row>
    <row r="271" spans="1:38" x14ac:dyDescent="0.3">
      <c r="A271" s="7">
        <v>45926</v>
      </c>
      <c r="B271" s="3">
        <v>42246323</v>
      </c>
      <c r="C271" s="3">
        <f t="shared" si="70"/>
        <v>3168255.7586206896</v>
      </c>
      <c r="D271" s="4">
        <f>+Tabla22[[#This Row],[Share diario]]</f>
        <v>3.4396109322725132E-2</v>
      </c>
      <c r="E271" s="3">
        <f>+Tabla22[[#This Row],[Global 2026]]</f>
        <v>0</v>
      </c>
      <c r="F271" s="7">
        <v>46290</v>
      </c>
      <c r="G271" s="3">
        <f>+Tabla2[[#This Row],[Meta Digital]]+Tabla2[[#This Row],[Meta MKPlace]]</f>
        <v>5247455.8973444598</v>
      </c>
      <c r="H271" s="3">
        <f>+D271*Hoja1!$L$38</f>
        <v>4157099.2318140729</v>
      </c>
      <c r="I271" s="3">
        <v>1090356.6655303866</v>
      </c>
      <c r="J271" s="3">
        <v>2325415</v>
      </c>
      <c r="K271" s="3">
        <f>+Tabla22[[#This Row],[Web + APP 2026]]</f>
        <v>0</v>
      </c>
      <c r="L271" s="3">
        <v>32150.862068965511</v>
      </c>
      <c r="M271" s="3">
        <f>+Tabla22[[#This Row],[Afiliados 2026]]</f>
        <v>0</v>
      </c>
      <c r="N271" s="3">
        <v>53906</v>
      </c>
      <c r="O271" s="3">
        <f>+Tabla22[[#This Row],[TMK 2026]]</f>
        <v>0</v>
      </c>
      <c r="P271" s="3">
        <v>1765</v>
      </c>
      <c r="Q271" s="3">
        <f>+Tabla22[[#This Row],[WA 2026]]</f>
        <v>0</v>
      </c>
      <c r="R271" s="3">
        <v>83502</v>
      </c>
      <c r="S271" s="3">
        <f>+Tabla22[[#This Row],[Ent. en Tienda 2026]]</f>
        <v>0</v>
      </c>
      <c r="T271" s="3">
        <v>491681</v>
      </c>
      <c r="U271" s="3">
        <f>+Tabla22[[#This Row],[Meli Drop 2026]]</f>
        <v>0</v>
      </c>
      <c r="V271" s="3">
        <v>151968</v>
      </c>
      <c r="W271" s="3">
        <f>+Tabla22[[#This Row],[Meli Full 2026]]</f>
        <v>0</v>
      </c>
      <c r="X271" s="3">
        <v>22504</v>
      </c>
      <c r="Y271" s="3">
        <f>+Tabla22[[#This Row],[Amazon Drop 2026]]</f>
        <v>0</v>
      </c>
      <c r="Z271" s="3">
        <v>4607</v>
      </c>
      <c r="AA271" s="3">
        <f>+Tabla22[[#This Row],[Amazon Full 2026]]</f>
        <v>0</v>
      </c>
      <c r="AB271" s="3">
        <v>756.89655172413802</v>
      </c>
      <c r="AC271" s="3">
        <f>+Tabla22[[#This Row],[TikTok 2026]]</f>
        <v>0</v>
      </c>
      <c r="AD271" s="3">
        <v>0</v>
      </c>
      <c r="AE271" s="3">
        <f>+Tabla22[[#This Row],[Shein 2026]]</f>
        <v>0</v>
      </c>
      <c r="AF271" s="5">
        <f t="shared" si="63"/>
        <v>0</v>
      </c>
      <c r="AG271" s="4">
        <f t="shared" si="64"/>
        <v>0</v>
      </c>
      <c r="AH271" s="5">
        <f t="shared" si="65"/>
        <v>-5247455.8973444598</v>
      </c>
      <c r="AI271" s="17">
        <f t="shared" si="66"/>
        <v>-1</v>
      </c>
      <c r="AJ271" s="17">
        <f t="shared" si="67"/>
        <v>7.4994828748070924E-2</v>
      </c>
      <c r="AK271" s="14" t="e">
        <f t="shared" si="68"/>
        <v>#DIV/0!</v>
      </c>
      <c r="AL271" s="14">
        <f t="shared" si="69"/>
        <v>-1</v>
      </c>
    </row>
    <row r="272" spans="1:38" x14ac:dyDescent="0.3">
      <c r="A272" s="63">
        <v>45927</v>
      </c>
      <c r="B272" s="3">
        <v>48917414</v>
      </c>
      <c r="C272" s="3">
        <f t="shared" si="70"/>
        <v>2774524.534482759</v>
      </c>
      <c r="D272" s="4">
        <f>+Tabla22[[#This Row],[Share diario]]</f>
        <v>2.7480516100353687E-2</v>
      </c>
      <c r="E272" s="3">
        <f>+Tabla22[[#This Row],[Global 2026]]</f>
        <v>0</v>
      </c>
      <c r="F272" s="7">
        <v>46291</v>
      </c>
      <c r="G272" s="3">
        <f>+Tabla2[[#This Row],[Meta Digital]]+Tabla2[[#This Row],[Meta MKPlace]]</f>
        <v>4192415.9189015348</v>
      </c>
      <c r="H272" s="3">
        <f>+D272*Hoja1!$L$38</f>
        <v>3321283.5585203227</v>
      </c>
      <c r="I272" s="3">
        <v>871132.36038121185</v>
      </c>
      <c r="J272" s="3">
        <v>1949302</v>
      </c>
      <c r="K272" s="3">
        <f>+Tabla22[[#This Row],[Web + APP 2026]]</f>
        <v>0</v>
      </c>
      <c r="L272" s="3">
        <v>33178.448275862058</v>
      </c>
      <c r="M272" s="3">
        <f>+Tabla22[[#This Row],[Afiliados 2026]]</f>
        <v>0</v>
      </c>
      <c r="N272" s="3">
        <v>11242</v>
      </c>
      <c r="O272" s="3">
        <f>+Tabla22[[#This Row],[TMK 2026]]</f>
        <v>0</v>
      </c>
      <c r="P272" s="3">
        <v>4281</v>
      </c>
      <c r="Q272" s="3">
        <f>+Tabla22[[#This Row],[WA 2026]]</f>
        <v>0</v>
      </c>
      <c r="R272" s="3">
        <v>94716</v>
      </c>
      <c r="S272" s="3">
        <f>+Tabla22[[#This Row],[Ent. en Tienda 2026]]</f>
        <v>0</v>
      </c>
      <c r="T272" s="3">
        <v>515813</v>
      </c>
      <c r="U272" s="3">
        <f>+Tabla22[[#This Row],[Meli Drop 2026]]</f>
        <v>0</v>
      </c>
      <c r="V272" s="3">
        <v>133564</v>
      </c>
      <c r="W272" s="3">
        <f>+Tabla22[[#This Row],[Meli Full 2026]]</f>
        <v>0</v>
      </c>
      <c r="X272" s="3">
        <v>17092</v>
      </c>
      <c r="Y272" s="3">
        <f>+Tabla22[[#This Row],[Amazon Drop 2026]]</f>
        <v>0</v>
      </c>
      <c r="Z272" s="3">
        <v>8878</v>
      </c>
      <c r="AA272" s="3">
        <f>+Tabla22[[#This Row],[Amazon Full 2026]]</f>
        <v>0</v>
      </c>
      <c r="AB272" s="3">
        <v>6458.0862068965525</v>
      </c>
      <c r="AC272" s="3">
        <f>+Tabla22[[#This Row],[TikTok 2026]]</f>
        <v>0</v>
      </c>
      <c r="AD272" s="3">
        <v>0</v>
      </c>
      <c r="AE272" s="3">
        <f>+Tabla22[[#This Row],[Shein 2026]]</f>
        <v>0</v>
      </c>
      <c r="AF272" s="5">
        <f t="shared" si="63"/>
        <v>0</v>
      </c>
      <c r="AG272" s="4">
        <f t="shared" si="64"/>
        <v>0</v>
      </c>
      <c r="AH272" s="5">
        <f t="shared" si="65"/>
        <v>-4192415.9189015348</v>
      </c>
      <c r="AI272" s="17">
        <f t="shared" si="66"/>
        <v>-1</v>
      </c>
      <c r="AJ272" s="17">
        <f t="shared" si="67"/>
        <v>5.671854473915483E-2</v>
      </c>
      <c r="AK272" s="14" t="e">
        <f t="shared" si="68"/>
        <v>#DIV/0!</v>
      </c>
      <c r="AL272" s="14">
        <f t="shared" si="69"/>
        <v>-1</v>
      </c>
    </row>
    <row r="273" spans="1:38" x14ac:dyDescent="0.3">
      <c r="A273" s="7">
        <v>45928</v>
      </c>
      <c r="B273" s="3">
        <v>50196219</v>
      </c>
      <c r="C273" s="3">
        <f t="shared" si="70"/>
        <v>3394169.7241379311</v>
      </c>
      <c r="D273" s="4">
        <f>+Tabla22[[#This Row],[Share diario]]</f>
        <v>2.4065407577408916E-2</v>
      </c>
      <c r="E273" s="3">
        <f>+Tabla22[[#This Row],[Global 2026]]</f>
        <v>0</v>
      </c>
      <c r="F273" s="7">
        <v>46292</v>
      </c>
      <c r="G273" s="3">
        <f>+Tabla2[[#This Row],[Meta Digital]]+Tabla2[[#This Row],[Meta MKPlace]]</f>
        <v>3671408.4063757532</v>
      </c>
      <c r="H273" s="3">
        <f>+D273*Hoja1!$L$38</f>
        <v>2908534.9861718905</v>
      </c>
      <c r="I273" s="3">
        <v>762873.4202038626</v>
      </c>
      <c r="J273" s="3">
        <v>2625801</v>
      </c>
      <c r="K273" s="3">
        <f>+Tabla22[[#This Row],[Web + APP 2026]]</f>
        <v>0</v>
      </c>
      <c r="L273" s="3">
        <v>32585.344827586199</v>
      </c>
      <c r="M273" s="3">
        <f>+Tabla22[[#This Row],[Afiliados 2026]]</f>
        <v>0</v>
      </c>
      <c r="N273" s="3">
        <v>-5250</v>
      </c>
      <c r="O273" s="3">
        <f>+Tabla22[[#This Row],[TMK 2026]]</f>
        <v>0</v>
      </c>
      <c r="P273" s="3">
        <v>868</v>
      </c>
      <c r="Q273" s="3">
        <f>+Tabla22[[#This Row],[WA 2026]]</f>
        <v>0</v>
      </c>
      <c r="R273" s="3">
        <v>97488</v>
      </c>
      <c r="S273" s="3">
        <f>+Tabla22[[#This Row],[Ent. en Tienda 2026]]</f>
        <v>0</v>
      </c>
      <c r="T273" s="3">
        <v>448438</v>
      </c>
      <c r="U273" s="3">
        <f>+Tabla22[[#This Row],[Meli Drop 2026]]</f>
        <v>0</v>
      </c>
      <c r="V273" s="3">
        <v>152669</v>
      </c>
      <c r="W273" s="3">
        <f>+Tabla22[[#This Row],[Meli Full 2026]]</f>
        <v>0</v>
      </c>
      <c r="X273" s="3">
        <v>32751</v>
      </c>
      <c r="Y273" s="3">
        <f>+Tabla22[[#This Row],[Amazon Drop 2026]]</f>
        <v>0</v>
      </c>
      <c r="Z273" s="3">
        <v>8303</v>
      </c>
      <c r="AA273" s="3">
        <f>+Tabla22[[#This Row],[Amazon Full 2026]]</f>
        <v>0</v>
      </c>
      <c r="AB273" s="3">
        <v>516.37931034482767</v>
      </c>
      <c r="AC273" s="3">
        <f>+Tabla22[[#This Row],[TikTok 2026]]</f>
        <v>0</v>
      </c>
      <c r="AD273" s="3">
        <v>0</v>
      </c>
      <c r="AE273" s="3">
        <f>+Tabla22[[#This Row],[Shein 2026]]</f>
        <v>0</v>
      </c>
      <c r="AF273" s="5">
        <f t="shared" si="63"/>
        <v>0</v>
      </c>
      <c r="AG273" s="4">
        <f t="shared" si="64"/>
        <v>0</v>
      </c>
      <c r="AH273" s="5">
        <f t="shared" si="65"/>
        <v>-3671408.4063757532</v>
      </c>
      <c r="AI273" s="17">
        <f t="shared" si="66"/>
        <v>-1</v>
      </c>
      <c r="AJ273" s="17">
        <f t="shared" si="67"/>
        <v>6.7618035616147321E-2</v>
      </c>
      <c r="AK273" s="14" t="e">
        <f t="shared" si="68"/>
        <v>#DIV/0!</v>
      </c>
      <c r="AL273" s="14">
        <f t="shared" si="69"/>
        <v>-1</v>
      </c>
    </row>
    <row r="274" spans="1:38" x14ac:dyDescent="0.3">
      <c r="A274" s="63">
        <v>45929</v>
      </c>
      <c r="B274" s="3">
        <v>28392462</v>
      </c>
      <c r="C274" s="3">
        <f t="shared" si="70"/>
        <v>4420598</v>
      </c>
      <c r="D274" s="4">
        <f>+Tabla22[[#This Row],[Share diario]]</f>
        <v>2.9440027212990022E-2</v>
      </c>
      <c r="E274" s="3">
        <f>+Tabla22[[#This Row],[Global 2026]]</f>
        <v>0</v>
      </c>
      <c r="F274" s="7">
        <v>46293</v>
      </c>
      <c r="G274" s="3">
        <f>+Tabla2[[#This Row],[Meta Digital]]+Tabla2[[#This Row],[Meta MKPlace]]</f>
        <v>4491358.1058634203</v>
      </c>
      <c r="H274" s="3">
        <f>+D274*Hoja1!$L$38</f>
        <v>3558109.2432116363</v>
      </c>
      <c r="I274" s="3">
        <v>933248.86265178374</v>
      </c>
      <c r="J274" s="3">
        <v>3385820</v>
      </c>
      <c r="K274" s="3">
        <f>+Tabla22[[#This Row],[Web + APP 2026]]</f>
        <v>0</v>
      </c>
      <c r="L274" s="3">
        <v>30803.448275862058</v>
      </c>
      <c r="M274" s="3">
        <f>+Tabla22[[#This Row],[Afiliados 2026]]</f>
        <v>0</v>
      </c>
      <c r="N274" s="3">
        <v>62947</v>
      </c>
      <c r="O274" s="3">
        <f>+Tabla22[[#This Row],[TMK 2026]]</f>
        <v>0</v>
      </c>
      <c r="P274" s="3">
        <v>3822</v>
      </c>
      <c r="Q274" s="3">
        <f>+Tabla22[[#This Row],[WA 2026]]</f>
        <v>0</v>
      </c>
      <c r="R274" s="3">
        <v>93490</v>
      </c>
      <c r="S274" s="3">
        <f>+Tabla22[[#This Row],[Ent. en Tienda 2026]]</f>
        <v>0</v>
      </c>
      <c r="T274" s="3">
        <v>662792</v>
      </c>
      <c r="U274" s="3">
        <f>+Tabla22[[#This Row],[Meli Drop 2026]]</f>
        <v>0</v>
      </c>
      <c r="V274" s="3">
        <v>132803</v>
      </c>
      <c r="W274" s="3">
        <f>+Tabla22[[#This Row],[Meli Full 2026]]</f>
        <v>0</v>
      </c>
      <c r="X274" s="3">
        <v>35780</v>
      </c>
      <c r="Y274" s="3">
        <f>+Tabla22[[#This Row],[Amazon Drop 2026]]</f>
        <v>0</v>
      </c>
      <c r="Z274" s="3">
        <v>6759</v>
      </c>
      <c r="AA274" s="3">
        <f>+Tabla22[[#This Row],[Amazon Full 2026]]</f>
        <v>0</v>
      </c>
      <c r="AB274" s="3">
        <v>5581.5517241379321</v>
      </c>
      <c r="AC274" s="3">
        <f>+Tabla22[[#This Row],[TikTok 2026]]</f>
        <v>0</v>
      </c>
      <c r="AD274" s="3">
        <v>0</v>
      </c>
      <c r="AE274" s="3">
        <f>+Tabla22[[#This Row],[Shein 2026]]</f>
        <v>0</v>
      </c>
      <c r="AF274" s="5">
        <f t="shared" si="63"/>
        <v>0</v>
      </c>
      <c r="AG274" s="4">
        <f t="shared" si="64"/>
        <v>0</v>
      </c>
      <c r="AH274" s="5">
        <f t="shared" si="65"/>
        <v>-4491358.1058634203</v>
      </c>
      <c r="AI274" s="17">
        <f t="shared" si="66"/>
        <v>-1</v>
      </c>
      <c r="AJ274" s="17">
        <f t="shared" si="67"/>
        <v>0.15569618443092395</v>
      </c>
      <c r="AK274" s="14" t="e">
        <f t="shared" si="68"/>
        <v>#DIV/0!</v>
      </c>
      <c r="AL274" s="14">
        <f t="shared" si="69"/>
        <v>-1</v>
      </c>
    </row>
    <row r="275" spans="1:38" x14ac:dyDescent="0.3">
      <c r="A275" s="7">
        <v>45930</v>
      </c>
      <c r="B275" s="3">
        <v>31463170</v>
      </c>
      <c r="C275" s="3">
        <f t="shared" si="70"/>
        <v>5055471.2327586217</v>
      </c>
      <c r="D275" s="4">
        <f>+Tabla22[[#This Row],[Share diario]]</f>
        <v>3.834296337397905E-2</v>
      </c>
      <c r="E275" s="3">
        <f>+Tabla22[[#This Row],[Global 2026]]</f>
        <v>0</v>
      </c>
      <c r="F275" s="7">
        <v>46294</v>
      </c>
      <c r="G275" s="3">
        <f>+Tabla2[[#This Row],[Meta Digital]]+Tabla2[[#This Row],[Meta MKPlace]]</f>
        <v>5849586.282874045</v>
      </c>
      <c r="H275" s="3">
        <f>+D275*Hoja1!$L$38</f>
        <v>4634114.3439189093</v>
      </c>
      <c r="I275" s="3">
        <v>1215471.9389551359</v>
      </c>
      <c r="J275" s="3">
        <v>4032670</v>
      </c>
      <c r="K275" s="3">
        <f>+Tabla22[[#This Row],[Web + APP 2026]]</f>
        <v>0</v>
      </c>
      <c r="L275" s="3">
        <v>36310.344827586196</v>
      </c>
      <c r="M275" s="3">
        <f>+Tabla22[[#This Row],[Afiliados 2026]]</f>
        <v>0</v>
      </c>
      <c r="N275" s="3">
        <v>32319</v>
      </c>
      <c r="O275" s="3">
        <f>+Tabla22[[#This Row],[TMK 2026]]</f>
        <v>0</v>
      </c>
      <c r="P275" s="3">
        <v>5531</v>
      </c>
      <c r="Q275" s="3">
        <f>+Tabla22[[#This Row],[WA 2026]]</f>
        <v>0</v>
      </c>
      <c r="R275" s="3">
        <v>92689</v>
      </c>
      <c r="S275" s="3">
        <f>+Tabla22[[#This Row],[Ent. en Tienda 2026]]</f>
        <v>0</v>
      </c>
      <c r="T275" s="3">
        <v>711212</v>
      </c>
      <c r="U275" s="3">
        <f>+Tabla22[[#This Row],[Meli Drop 2026]]</f>
        <v>0</v>
      </c>
      <c r="V275" s="3">
        <v>102182</v>
      </c>
      <c r="W275" s="3">
        <f>+Tabla22[[#This Row],[Meli Full 2026]]</f>
        <v>0</v>
      </c>
      <c r="X275" s="3">
        <v>36207</v>
      </c>
      <c r="Y275" s="3">
        <f>+Tabla22[[#This Row],[Amazon Drop 2026]]</f>
        <v>0</v>
      </c>
      <c r="Z275" s="3">
        <v>5283</v>
      </c>
      <c r="AA275" s="3">
        <f>+Tabla22[[#This Row],[Amazon Full 2026]]</f>
        <v>0</v>
      </c>
      <c r="AB275" s="3">
        <v>1067.8879310344828</v>
      </c>
      <c r="AC275" s="3">
        <f>+Tabla22[[#This Row],[TikTok 2026]]</f>
        <v>0</v>
      </c>
      <c r="AD275" s="3">
        <v>0</v>
      </c>
      <c r="AE275" s="3">
        <f>+Tabla22[[#This Row],[Shein 2026]]</f>
        <v>0</v>
      </c>
      <c r="AF275" s="5">
        <f t="shared" si="63"/>
        <v>0</v>
      </c>
      <c r="AG275" s="4">
        <f t="shared" si="64"/>
        <v>0</v>
      </c>
      <c r="AH275" s="5">
        <f t="shared" si="65"/>
        <v>-5849586.282874045</v>
      </c>
      <c r="AI275" s="17">
        <f t="shared" si="66"/>
        <v>-1</v>
      </c>
      <c r="AJ275" s="17">
        <f t="shared" si="67"/>
        <v>0.1606790171733688</v>
      </c>
      <c r="AK275" s="14" t="e">
        <f t="shared" si="68"/>
        <v>#DIV/0!</v>
      </c>
      <c r="AL275" s="14">
        <f t="shared" si="69"/>
        <v>-1</v>
      </c>
    </row>
    <row r="276" spans="1:38" x14ac:dyDescent="0.3">
      <c r="A276" s="63">
        <v>45931</v>
      </c>
      <c r="B276" s="3">
        <v>35229204</v>
      </c>
      <c r="C276" s="3">
        <f t="shared" si="70"/>
        <v>4724682.6465517236</v>
      </c>
      <c r="D276" s="4">
        <f>+Tabla22[[#This Row],[Share diario]]</f>
        <v>4.3849666564539126E-2</v>
      </c>
      <c r="E276" s="3">
        <f>+Tabla22[[#This Row],[Global 2026]]</f>
        <v>0</v>
      </c>
      <c r="F276" s="7">
        <v>46295</v>
      </c>
      <c r="G276" s="3">
        <f>+Tabla2[[#This Row],[Meta Digital]]+Tabla2[[#This Row],[Meta MKPlace]]</f>
        <v>6689686.593671076</v>
      </c>
      <c r="H276" s="3">
        <f>+D276*Hoja1!$L$38</f>
        <v>5299652.1635751855</v>
      </c>
      <c r="I276" s="3">
        <v>1390034.4300958903</v>
      </c>
      <c r="J276" s="3">
        <v>3666861</v>
      </c>
      <c r="K276" s="3">
        <f>+Tabla22[[#This Row],[Web + APP 2026]]</f>
        <v>0</v>
      </c>
      <c r="L276" s="3">
        <v>32699.999999999978</v>
      </c>
      <c r="M276" s="3">
        <f>+Tabla22[[#This Row],[Afiliados 2026]]</f>
        <v>0</v>
      </c>
      <c r="N276" s="3">
        <v>61161</v>
      </c>
      <c r="O276" s="3">
        <f>+Tabla22[[#This Row],[TMK 2026]]</f>
        <v>0</v>
      </c>
      <c r="P276" s="3">
        <v>4101</v>
      </c>
      <c r="Q276" s="3">
        <f>+Tabla22[[#This Row],[WA 2026]]</f>
        <v>0</v>
      </c>
      <c r="R276" s="3">
        <v>118698</v>
      </c>
      <c r="S276" s="3">
        <f>+Tabla22[[#This Row],[Ent. en Tienda 2026]]</f>
        <v>0</v>
      </c>
      <c r="T276" s="3">
        <v>660285</v>
      </c>
      <c r="U276" s="3">
        <f>+Tabla22[[#This Row],[Meli Drop 2026]]</f>
        <v>0</v>
      </c>
      <c r="V276" s="3">
        <v>134226</v>
      </c>
      <c r="W276" s="3">
        <f>+Tabla22[[#This Row],[Meli Full 2026]]</f>
        <v>0</v>
      </c>
      <c r="X276" s="3">
        <v>33430</v>
      </c>
      <c r="Y276" s="3">
        <f>+Tabla22[[#This Row],[Amazon Drop 2026]]</f>
        <v>0</v>
      </c>
      <c r="Z276" s="3">
        <v>4950</v>
      </c>
      <c r="AA276" s="3">
        <f>+Tabla22[[#This Row],[Amazon Full 2026]]</f>
        <v>0</v>
      </c>
      <c r="AB276" s="3">
        <v>7668.060344827587</v>
      </c>
      <c r="AC276" s="3">
        <f>+Tabla22[[#This Row],[TikTok 2026]]</f>
        <v>0</v>
      </c>
      <c r="AD276" s="3">
        <v>602.58620689655174</v>
      </c>
      <c r="AE276" s="3">
        <f>+Tabla22[[#This Row],[Shein 2026]]</f>
        <v>0</v>
      </c>
      <c r="AF276" s="5">
        <f t="shared" si="63"/>
        <v>0</v>
      </c>
      <c r="AG276" s="4">
        <f t="shared" si="64"/>
        <v>0</v>
      </c>
      <c r="AH276" s="5">
        <f t="shared" si="65"/>
        <v>-6689686.593671076</v>
      </c>
      <c r="AI276" s="17">
        <f t="shared" si="66"/>
        <v>-1</v>
      </c>
      <c r="AJ276" s="17">
        <f t="shared" si="67"/>
        <v>0.13411267102576951</v>
      </c>
      <c r="AK276" s="14" t="e">
        <f t="shared" si="68"/>
        <v>#DIV/0!</v>
      </c>
      <c r="AL276" s="14">
        <f t="shared" si="69"/>
        <v>-1</v>
      </c>
    </row>
    <row r="277" spans="1:38" x14ac:dyDescent="0.3">
      <c r="A277" s="7">
        <v>45932</v>
      </c>
      <c r="B277" s="3">
        <v>40655242</v>
      </c>
      <c r="C277" s="3">
        <f t="shared" si="70"/>
        <v>4188073.8189655175</v>
      </c>
      <c r="D277" s="4">
        <f>+Tabla22[[#This Row],[Share diario]]</f>
        <v>3.504005182694659E-2</v>
      </c>
      <c r="E277" s="3">
        <f>+Tabla22[[#This Row],[Global 2026]]</f>
        <v>0</v>
      </c>
      <c r="F277" s="7">
        <v>46296</v>
      </c>
      <c r="G277" s="3">
        <f>+Tabla2[[#This Row],[Meta Digital]]+Tabla2[[#This Row],[Meta MKPlace]]</f>
        <v>6234147.6599421166</v>
      </c>
      <c r="H277" s="3">
        <f>+D277*Hoja1!$M$38</f>
        <v>5055049.9159653643</v>
      </c>
      <c r="I277" s="3">
        <v>1179097.7439767527</v>
      </c>
      <c r="J277" s="3">
        <v>3300421</v>
      </c>
      <c r="K277" s="3">
        <f>+Tabla22[[#This Row],[Web + APP 2026]]</f>
        <v>0</v>
      </c>
      <c r="L277" s="3">
        <v>32825.862068965493</v>
      </c>
      <c r="M277" s="3">
        <f>+Tabla22[[#This Row],[Afiliados 2026]]</f>
        <v>0</v>
      </c>
      <c r="N277" s="3">
        <v>37692</v>
      </c>
      <c r="O277" s="3">
        <f>+Tabla22[[#This Row],[TMK 2026]]</f>
        <v>0</v>
      </c>
      <c r="P277" s="3">
        <v>7757</v>
      </c>
      <c r="Q277" s="3">
        <f>+Tabla22[[#This Row],[WA 2026]]</f>
        <v>0</v>
      </c>
      <c r="R277" s="3">
        <v>138994</v>
      </c>
      <c r="S277" s="3">
        <f>+Tabla22[[#This Row],[Ent. en Tienda 2026]]</f>
        <v>0</v>
      </c>
      <c r="T277" s="3">
        <v>486606</v>
      </c>
      <c r="U277" s="3">
        <f>+Tabla22[[#This Row],[Meli Drop 2026]]</f>
        <v>0</v>
      </c>
      <c r="V277" s="3">
        <v>138868</v>
      </c>
      <c r="W277" s="3">
        <f>+Tabla22[[#This Row],[Meli Full 2026]]</f>
        <v>0</v>
      </c>
      <c r="X277" s="3">
        <v>29586</v>
      </c>
      <c r="Y277" s="3">
        <f>+Tabla22[[#This Row],[Amazon Drop 2026]]</f>
        <v>0</v>
      </c>
      <c r="Z277" s="3">
        <v>6542</v>
      </c>
      <c r="AA277" s="3">
        <f>+Tabla22[[#This Row],[Amazon Full 2026]]</f>
        <v>0</v>
      </c>
      <c r="AB277" s="3">
        <v>7145.75</v>
      </c>
      <c r="AC277" s="3">
        <f>+Tabla22[[#This Row],[TikTok 2026]]</f>
        <v>0</v>
      </c>
      <c r="AD277" s="3">
        <v>1636.2068965517242</v>
      </c>
      <c r="AE277" s="3">
        <f>+Tabla22[[#This Row],[Shein 2026]]</f>
        <v>0</v>
      </c>
      <c r="AF277" s="5">
        <f t="shared" si="63"/>
        <v>0</v>
      </c>
      <c r="AG277" s="4">
        <f t="shared" si="64"/>
        <v>0</v>
      </c>
      <c r="AH277" s="5">
        <f t="shared" si="65"/>
        <v>-6234147.6599421166</v>
      </c>
      <c r="AI277" s="17">
        <f t="shared" si="66"/>
        <v>-1</v>
      </c>
      <c r="AJ277" s="17">
        <f t="shared" si="67"/>
        <v>0.10301436205853891</v>
      </c>
      <c r="AK277" s="14" t="e">
        <f t="shared" si="68"/>
        <v>#DIV/0!</v>
      </c>
      <c r="AL277" s="14">
        <f t="shared" si="69"/>
        <v>-1</v>
      </c>
    </row>
    <row r="278" spans="1:38" x14ac:dyDescent="0.3">
      <c r="A278" s="63">
        <v>45933</v>
      </c>
      <c r="B278" s="3">
        <v>40527045</v>
      </c>
      <c r="C278" s="3">
        <f t="shared" si="70"/>
        <v>3307913.4224137929</v>
      </c>
      <c r="D278" s="4">
        <f>+Tabla22[[#This Row],[Share diario]]</f>
        <v>3.1060355721189984E-2</v>
      </c>
      <c r="E278" s="3">
        <f>+Tabla22[[#This Row],[Global 2026]]</f>
        <v>0</v>
      </c>
      <c r="F278" s="7">
        <v>46297</v>
      </c>
      <c r="G278" s="3">
        <f>+Tabla2[[#This Row],[Meta Digital]]+Tabla2[[#This Row],[Meta MKPlace]]</f>
        <v>5526100.3862818694</v>
      </c>
      <c r="H278" s="3">
        <f>+D278*Hoja1!$M$38</f>
        <v>4480919.4162638262</v>
      </c>
      <c r="I278" s="3">
        <v>1045180.9700180429</v>
      </c>
      <c r="J278" s="3">
        <v>2511111</v>
      </c>
      <c r="K278" s="3">
        <f>+Tabla22[[#This Row],[Web + APP 2026]]</f>
        <v>0</v>
      </c>
      <c r="L278" s="3">
        <v>29472.413793103427</v>
      </c>
      <c r="M278" s="3">
        <f>+Tabla22[[#This Row],[Afiliados 2026]]</f>
        <v>0</v>
      </c>
      <c r="N278" s="3">
        <v>35787</v>
      </c>
      <c r="O278" s="3">
        <f>+Tabla22[[#This Row],[TMK 2026]]</f>
        <v>0</v>
      </c>
      <c r="P278" s="3">
        <v>2591</v>
      </c>
      <c r="Q278" s="3">
        <f>+Tabla22[[#This Row],[WA 2026]]</f>
        <v>0</v>
      </c>
      <c r="R278" s="3">
        <v>127358</v>
      </c>
      <c r="S278" s="3">
        <f>+Tabla22[[#This Row],[Ent. en Tienda 2026]]</f>
        <v>0</v>
      </c>
      <c r="T278" s="3">
        <v>439292</v>
      </c>
      <c r="U278" s="3">
        <f>+Tabla22[[#This Row],[Meli Drop 2026]]</f>
        <v>0</v>
      </c>
      <c r="V278" s="3">
        <v>130492</v>
      </c>
      <c r="W278" s="3">
        <f>+Tabla22[[#This Row],[Meli Full 2026]]</f>
        <v>0</v>
      </c>
      <c r="X278" s="3">
        <v>25977</v>
      </c>
      <c r="Y278" s="3">
        <f>+Tabla22[[#This Row],[Amazon Drop 2026]]</f>
        <v>0</v>
      </c>
      <c r="Z278" s="3">
        <v>5364</v>
      </c>
      <c r="AA278" s="3">
        <f>+Tabla22[[#This Row],[Amazon Full 2026]]</f>
        <v>0</v>
      </c>
      <c r="AB278" s="3">
        <v>469.00862068965517</v>
      </c>
      <c r="AC278" s="3">
        <f>+Tabla22[[#This Row],[TikTok 2026]]</f>
        <v>0</v>
      </c>
      <c r="AD278" s="3">
        <v>0</v>
      </c>
      <c r="AE278" s="3">
        <f>+Tabla22[[#This Row],[Shein 2026]]</f>
        <v>0</v>
      </c>
      <c r="AF278" s="5">
        <f t="shared" ref="AF278:AF341" si="71">+AE278+AC278+AA278+Y278+W278+U278+S278+Q278+O278+M278+K278</f>
        <v>0</v>
      </c>
      <c r="AG278" s="4">
        <f t="shared" ref="AG278:AG341" si="72">+AF278/G278</f>
        <v>0</v>
      </c>
      <c r="AH278" s="5">
        <f t="shared" ref="AH278:AH341" si="73">+AF278-G278</f>
        <v>-5526100.3862818694</v>
      </c>
      <c r="AI278" s="17">
        <f t="shared" si="66"/>
        <v>-1</v>
      </c>
      <c r="AJ278" s="17">
        <f t="shared" si="67"/>
        <v>8.1622369023297725E-2</v>
      </c>
      <c r="AK278" s="14" t="e">
        <f t="shared" si="68"/>
        <v>#DIV/0!</v>
      </c>
      <c r="AL278" s="14">
        <f t="shared" si="69"/>
        <v>-1</v>
      </c>
    </row>
    <row r="279" spans="1:38" x14ac:dyDescent="0.3">
      <c r="A279" s="7">
        <v>45934</v>
      </c>
      <c r="B279" s="3">
        <v>52851490</v>
      </c>
      <c r="C279" s="3">
        <f t="shared" si="70"/>
        <v>2956638.5172413792</v>
      </c>
      <c r="D279" s="4">
        <f>+Tabla22[[#This Row],[Share diario]]</f>
        <v>2.4532749907557765E-2</v>
      </c>
      <c r="E279" s="3">
        <f>+Tabla22[[#This Row],[Global 2026]]</f>
        <v>0</v>
      </c>
      <c r="F279" s="7">
        <v>46298</v>
      </c>
      <c r="G279" s="3">
        <f>+Tabla2[[#This Row],[Meta Digital]]+Tabla2[[#This Row],[Meta MKPlace]]</f>
        <v>4364741.9867835781</v>
      </c>
      <c r="H279" s="3">
        <f>+D279*Hoja1!$M$38</f>
        <v>3539214.9523942596</v>
      </c>
      <c r="I279" s="3">
        <v>825527.03438931878</v>
      </c>
      <c r="J279" s="3">
        <v>2157345</v>
      </c>
      <c r="K279" s="3">
        <f>+Tabla22[[#This Row],[Web + APP 2026]]</f>
        <v>0</v>
      </c>
      <c r="L279" s="3">
        <v>34722.413793103435</v>
      </c>
      <c r="M279" s="3">
        <f>+Tabla22[[#This Row],[Afiliados 2026]]</f>
        <v>0</v>
      </c>
      <c r="N279" s="3">
        <v>15783</v>
      </c>
      <c r="O279" s="3">
        <f>+Tabla22[[#This Row],[TMK 2026]]</f>
        <v>0</v>
      </c>
      <c r="P279" s="3">
        <v>-491</v>
      </c>
      <c r="Q279" s="3">
        <f>+Tabla22[[#This Row],[WA 2026]]</f>
        <v>0</v>
      </c>
      <c r="R279" s="3">
        <v>105426</v>
      </c>
      <c r="S279" s="3">
        <f>+Tabla22[[#This Row],[Ent. en Tienda 2026]]</f>
        <v>0</v>
      </c>
      <c r="T279" s="3">
        <v>459901</v>
      </c>
      <c r="U279" s="3">
        <f>+Tabla22[[#This Row],[Meli Drop 2026]]</f>
        <v>0</v>
      </c>
      <c r="V279" s="3">
        <v>150843</v>
      </c>
      <c r="W279" s="3">
        <f>+Tabla22[[#This Row],[Meli Full 2026]]</f>
        <v>0</v>
      </c>
      <c r="X279" s="3">
        <v>25838</v>
      </c>
      <c r="Y279" s="3">
        <f>+Tabla22[[#This Row],[Amazon Drop 2026]]</f>
        <v>0</v>
      </c>
      <c r="Z279" s="3">
        <v>5526</v>
      </c>
      <c r="AA279" s="3">
        <f>+Tabla22[[#This Row],[Amazon Full 2026]]</f>
        <v>0</v>
      </c>
      <c r="AB279" s="3">
        <v>1745.1034482758623</v>
      </c>
      <c r="AC279" s="3">
        <f>+Tabla22[[#This Row],[TikTok 2026]]</f>
        <v>0</v>
      </c>
      <c r="AD279" s="3">
        <v>0</v>
      </c>
      <c r="AE279" s="3">
        <f>+Tabla22[[#This Row],[Shein 2026]]</f>
        <v>0</v>
      </c>
      <c r="AF279" s="5">
        <f t="shared" si="71"/>
        <v>0</v>
      </c>
      <c r="AG279" s="4">
        <f t="shared" si="72"/>
        <v>0</v>
      </c>
      <c r="AH279" s="5">
        <f t="shared" si="73"/>
        <v>-4364741.9867835781</v>
      </c>
      <c r="AI279" s="17">
        <f t="shared" si="66"/>
        <v>-1</v>
      </c>
      <c r="AJ279" s="17">
        <f t="shared" si="67"/>
        <v>5.5942387191759008E-2</v>
      </c>
      <c r="AK279" s="14" t="e">
        <f t="shared" si="68"/>
        <v>#DIV/0!</v>
      </c>
      <c r="AL279" s="14">
        <f t="shared" si="69"/>
        <v>-1</v>
      </c>
    </row>
    <row r="280" spans="1:38" x14ac:dyDescent="0.3">
      <c r="A280" s="63">
        <v>45935</v>
      </c>
      <c r="B280" s="3">
        <v>51164374</v>
      </c>
      <c r="C280" s="3">
        <f t="shared" si="70"/>
        <v>3280640.3793103448</v>
      </c>
      <c r="D280" s="4">
        <f>+Tabla22[[#This Row],[Share diario]]</f>
        <v>2.192756098725419E-2</v>
      </c>
      <c r="E280" s="3">
        <f>+Tabla22[[#This Row],[Global 2026]]</f>
        <v>0</v>
      </c>
      <c r="F280" s="7">
        <v>46299</v>
      </c>
      <c r="G280" s="3">
        <f>+Tabla2[[#This Row],[Meta Digital]]+Tabla2[[#This Row],[Meta MKPlace]]</f>
        <v>3901240.0350333857</v>
      </c>
      <c r="H280" s="3">
        <f>+D280*Hoja1!$M$38</f>
        <v>3163377.6078122822</v>
      </c>
      <c r="I280" s="3">
        <v>737862.42722110345</v>
      </c>
      <c r="J280" s="3">
        <v>2589139</v>
      </c>
      <c r="K280" s="3">
        <f>+Tabla22[[#This Row],[Web + APP 2026]]</f>
        <v>0</v>
      </c>
      <c r="L280" s="3">
        <v>24383.620689655159</v>
      </c>
      <c r="M280" s="3">
        <f>+Tabla22[[#This Row],[Afiliados 2026]]</f>
        <v>0</v>
      </c>
      <c r="N280" s="3">
        <v>18991</v>
      </c>
      <c r="O280" s="3">
        <f>+Tabla22[[#This Row],[TMK 2026]]</f>
        <v>0</v>
      </c>
      <c r="P280" s="3">
        <v>-1894</v>
      </c>
      <c r="Q280" s="3">
        <f>+Tabla22[[#This Row],[WA 2026]]</f>
        <v>0</v>
      </c>
      <c r="R280" s="3">
        <v>106909</v>
      </c>
      <c r="S280" s="3">
        <f>+Tabla22[[#This Row],[Ent. en Tienda 2026]]</f>
        <v>0</v>
      </c>
      <c r="T280" s="3">
        <v>323111</v>
      </c>
      <c r="U280" s="3">
        <f>+Tabla22[[#This Row],[Meli Drop 2026]]</f>
        <v>0</v>
      </c>
      <c r="V280" s="3">
        <v>170727</v>
      </c>
      <c r="W280" s="3">
        <f>+Tabla22[[#This Row],[Meli Full 2026]]</f>
        <v>0</v>
      </c>
      <c r="X280" s="3">
        <v>38180</v>
      </c>
      <c r="Y280" s="3">
        <f>+Tabla22[[#This Row],[Amazon Drop 2026]]</f>
        <v>0</v>
      </c>
      <c r="Z280" s="3">
        <v>8511</v>
      </c>
      <c r="AA280" s="3">
        <f>+Tabla22[[#This Row],[Amazon Full 2026]]</f>
        <v>0</v>
      </c>
      <c r="AB280" s="3">
        <v>1032.7586206896553</v>
      </c>
      <c r="AC280" s="3">
        <f>+Tabla22[[#This Row],[TikTok 2026]]</f>
        <v>0</v>
      </c>
      <c r="AD280" s="3">
        <v>1550</v>
      </c>
      <c r="AE280" s="3">
        <f>+Tabla22[[#This Row],[Shein 2026]]</f>
        <v>0</v>
      </c>
      <c r="AF280" s="5">
        <f t="shared" si="71"/>
        <v>0</v>
      </c>
      <c r="AG280" s="4">
        <f t="shared" si="72"/>
        <v>0</v>
      </c>
      <c r="AH280" s="5">
        <f t="shared" si="73"/>
        <v>-3901240.0350333857</v>
      </c>
      <c r="AI280" s="17">
        <f t="shared" si="66"/>
        <v>-1</v>
      </c>
      <c r="AJ280" s="17">
        <f t="shared" si="67"/>
        <v>6.411962314461904E-2</v>
      </c>
      <c r="AK280" s="14" t="e">
        <f t="shared" si="68"/>
        <v>#DIV/0!</v>
      </c>
      <c r="AL280" s="14">
        <f t="shared" si="69"/>
        <v>-1</v>
      </c>
    </row>
    <row r="281" spans="1:38" x14ac:dyDescent="0.3">
      <c r="A281" s="7">
        <v>45936</v>
      </c>
      <c r="B281" s="3">
        <v>28890790</v>
      </c>
      <c r="C281" s="3">
        <f t="shared" si="70"/>
        <v>4350647.9310344821</v>
      </c>
      <c r="D281" s="4">
        <f>+Tabla22[[#This Row],[Share diario]]</f>
        <v>2.4330482598763841E-2</v>
      </c>
      <c r="E281" s="3">
        <f>+Tabla22[[#This Row],[Global 2026]]</f>
        <v>0</v>
      </c>
      <c r="F281" s="7">
        <v>46300</v>
      </c>
      <c r="G281" s="3">
        <f>+Tabla2[[#This Row],[Meta Digital]]+Tabla2[[#This Row],[Meta MKPlace]]</f>
        <v>4328755.6167853838</v>
      </c>
      <c r="H281" s="3">
        <f>+D281*Hoja1!$M$38</f>
        <v>3510034.8773369803</v>
      </c>
      <c r="I281" s="3">
        <v>818720.73944840324</v>
      </c>
      <c r="J281" s="3">
        <v>3206472</v>
      </c>
      <c r="K281" s="3">
        <f>+Tabla22[[#This Row],[Web + APP 2026]]</f>
        <v>0</v>
      </c>
      <c r="L281" s="3">
        <v>24687.068965517228</v>
      </c>
      <c r="M281" s="3">
        <f>+Tabla22[[#This Row],[Afiliados 2026]]</f>
        <v>0</v>
      </c>
      <c r="N281" s="3">
        <v>60560</v>
      </c>
      <c r="O281" s="3">
        <f>+Tabla22[[#This Row],[TMK 2026]]</f>
        <v>0</v>
      </c>
      <c r="P281" s="3">
        <v>-2415</v>
      </c>
      <c r="Q281" s="3">
        <f>+Tabla22[[#This Row],[WA 2026]]</f>
        <v>0</v>
      </c>
      <c r="R281" s="3">
        <v>85355</v>
      </c>
      <c r="S281" s="3">
        <f>+Tabla22[[#This Row],[Ent. en Tienda 2026]]</f>
        <v>0</v>
      </c>
      <c r="T281" s="3">
        <v>749807</v>
      </c>
      <c r="U281" s="3">
        <f>+Tabla22[[#This Row],[Meli Drop 2026]]</f>
        <v>0</v>
      </c>
      <c r="V281" s="3">
        <v>180881</v>
      </c>
      <c r="W281" s="3">
        <f>+Tabla22[[#This Row],[Meli Full 2026]]</f>
        <v>0</v>
      </c>
      <c r="X281" s="3">
        <v>39968</v>
      </c>
      <c r="Y281" s="3">
        <f>+Tabla22[[#This Row],[Amazon Drop 2026]]</f>
        <v>0</v>
      </c>
      <c r="Z281" s="3">
        <v>4257</v>
      </c>
      <c r="AA281" s="3">
        <f>+Tabla22[[#This Row],[Amazon Full 2026]]</f>
        <v>0</v>
      </c>
      <c r="AB281" s="3">
        <v>1075.8620689655172</v>
      </c>
      <c r="AC281" s="3">
        <f>+Tabla22[[#This Row],[TikTok 2026]]</f>
        <v>0</v>
      </c>
      <c r="AD281" s="3">
        <v>0</v>
      </c>
      <c r="AE281" s="3">
        <f>+Tabla22[[#This Row],[Shein 2026]]</f>
        <v>0</v>
      </c>
      <c r="AF281" s="5">
        <f t="shared" si="71"/>
        <v>0</v>
      </c>
      <c r="AG281" s="4">
        <f t="shared" si="72"/>
        <v>0</v>
      </c>
      <c r="AH281" s="5">
        <f t="shared" si="73"/>
        <v>-4328755.6167853838</v>
      </c>
      <c r="AI281" s="17">
        <f t="shared" si="66"/>
        <v>-1</v>
      </c>
      <c r="AJ281" s="17">
        <f t="shared" si="67"/>
        <v>0.15058944151525389</v>
      </c>
      <c r="AK281" s="14" t="e">
        <f t="shared" si="68"/>
        <v>#DIV/0!</v>
      </c>
      <c r="AL281" s="14">
        <f t="shared" si="69"/>
        <v>-1</v>
      </c>
    </row>
    <row r="282" spans="1:38" x14ac:dyDescent="0.3">
      <c r="A282" s="63">
        <v>45937</v>
      </c>
      <c r="B282" s="3">
        <v>32567490</v>
      </c>
      <c r="C282" s="3">
        <f t="shared" si="70"/>
        <v>4562345.7241379311</v>
      </c>
      <c r="D282" s="4">
        <f>+Tabla22[[#This Row],[Share diario]]</f>
        <v>3.226606745651129E-2</v>
      </c>
      <c r="E282" s="3">
        <f>+Tabla22[[#This Row],[Global 2026]]</f>
        <v>0</v>
      </c>
      <c r="F282" s="7">
        <v>46301</v>
      </c>
      <c r="G282" s="3">
        <f>+Tabla2[[#This Row],[Meta Digital]]+Tabla2[[#This Row],[Meta MKPlace]]</f>
        <v>5740614.4809082262</v>
      </c>
      <c r="H282" s="3">
        <f>+D282*Hoja1!$M$38</f>
        <v>4654861.3109966218</v>
      </c>
      <c r="I282" s="3">
        <v>1085753.1699116048</v>
      </c>
      <c r="J282" s="3">
        <v>3626258</v>
      </c>
      <c r="K282" s="3">
        <f>+Tabla22[[#This Row],[Web + APP 2026]]</f>
        <v>0</v>
      </c>
      <c r="L282" s="3">
        <v>33481.89655172413</v>
      </c>
      <c r="M282" s="3">
        <f>+Tabla22[[#This Row],[Afiliados 2026]]</f>
        <v>0</v>
      </c>
      <c r="N282" s="3">
        <v>54703</v>
      </c>
      <c r="O282" s="3">
        <f>+Tabla22[[#This Row],[TMK 2026]]</f>
        <v>0</v>
      </c>
      <c r="P282" s="3">
        <v>2927</v>
      </c>
      <c r="Q282" s="3">
        <f>+Tabla22[[#This Row],[WA 2026]]</f>
        <v>0</v>
      </c>
      <c r="R282" s="3">
        <v>113348</v>
      </c>
      <c r="S282" s="3">
        <f>+Tabla22[[#This Row],[Ent. en Tienda 2026]]</f>
        <v>0</v>
      </c>
      <c r="T282" s="3">
        <v>522052</v>
      </c>
      <c r="U282" s="3">
        <f>+Tabla22[[#This Row],[Meli Drop 2026]]</f>
        <v>0</v>
      </c>
      <c r="V282" s="3">
        <v>144499</v>
      </c>
      <c r="W282" s="3">
        <f>+Tabla22[[#This Row],[Meli Full 2026]]</f>
        <v>0</v>
      </c>
      <c r="X282" s="3">
        <v>55307</v>
      </c>
      <c r="Y282" s="3">
        <f>+Tabla22[[#This Row],[Amazon Drop 2026]]</f>
        <v>0</v>
      </c>
      <c r="Z282" s="3">
        <v>7575</v>
      </c>
      <c r="AA282" s="3">
        <f>+Tabla22[[#This Row],[Amazon Full 2026]]</f>
        <v>0</v>
      </c>
      <c r="AB282" s="3">
        <v>1506.0344827586207</v>
      </c>
      <c r="AC282" s="3">
        <f>+Tabla22[[#This Row],[TikTok 2026]]</f>
        <v>0</v>
      </c>
      <c r="AD282" s="3">
        <v>688.79310344827593</v>
      </c>
      <c r="AE282" s="3">
        <f>+Tabla22[[#This Row],[Shein 2026]]</f>
        <v>0</v>
      </c>
      <c r="AF282" s="5">
        <f t="shared" si="71"/>
        <v>0</v>
      </c>
      <c r="AG282" s="4">
        <f t="shared" si="72"/>
        <v>0</v>
      </c>
      <c r="AH282" s="5">
        <f t="shared" si="73"/>
        <v>-5740614.4809082262</v>
      </c>
      <c r="AI282" s="17">
        <f t="shared" si="66"/>
        <v>-1</v>
      </c>
      <c r="AJ282" s="17">
        <f t="shared" si="67"/>
        <v>0.14008895755054906</v>
      </c>
      <c r="AK282" s="14" t="e">
        <f t="shared" si="68"/>
        <v>#DIV/0!</v>
      </c>
      <c r="AL282" s="14">
        <f t="shared" si="69"/>
        <v>-1</v>
      </c>
    </row>
    <row r="283" spans="1:38" x14ac:dyDescent="0.3">
      <c r="A283" s="7">
        <v>45938</v>
      </c>
      <c r="B283" s="3">
        <v>34762879</v>
      </c>
      <c r="C283" s="3">
        <f t="shared" si="70"/>
        <v>5138301.1034482755</v>
      </c>
      <c r="D283" s="4">
        <f>+Tabla22[[#This Row],[Share diario]]</f>
        <v>3.3836099180739154E-2</v>
      </c>
      <c r="E283" s="3">
        <f>+Tabla22[[#This Row],[Global 2026]]</f>
        <v>0</v>
      </c>
      <c r="F283" s="7">
        <v>46302</v>
      </c>
      <c r="G283" s="3">
        <f>+Tabla2[[#This Row],[Meta Digital]]+Tabla2[[#This Row],[Meta MKPlace]]</f>
        <v>6019946.5334967729</v>
      </c>
      <c r="H283" s="3">
        <f>+D283*Hoja1!$M$38</f>
        <v>4881361.7960649002</v>
      </c>
      <c r="I283" s="3">
        <v>1138584.7374318726</v>
      </c>
      <c r="J283" s="3">
        <v>4043316</v>
      </c>
      <c r="K283" s="3">
        <f>+Tabla22[[#This Row],[Web + APP 2026]]</f>
        <v>0</v>
      </c>
      <c r="L283" s="3">
        <v>36340.51724137929</v>
      </c>
      <c r="M283" s="3">
        <f>+Tabla22[[#This Row],[Afiliados 2026]]</f>
        <v>0</v>
      </c>
      <c r="N283" s="3">
        <v>109501</v>
      </c>
      <c r="O283" s="3">
        <f>+Tabla22[[#This Row],[TMK 2026]]</f>
        <v>0</v>
      </c>
      <c r="P283" s="3">
        <v>1656</v>
      </c>
      <c r="Q283" s="3">
        <f>+Tabla22[[#This Row],[WA 2026]]</f>
        <v>0</v>
      </c>
      <c r="R283" s="3">
        <v>105227</v>
      </c>
      <c r="S283" s="3">
        <f>+Tabla22[[#This Row],[Ent. en Tienda 2026]]</f>
        <v>0</v>
      </c>
      <c r="T283" s="3">
        <v>614752</v>
      </c>
      <c r="U283" s="3">
        <f>+Tabla22[[#This Row],[Meli Drop 2026]]</f>
        <v>0</v>
      </c>
      <c r="V283" s="3">
        <v>153038</v>
      </c>
      <c r="W283" s="3">
        <f>+Tabla22[[#This Row],[Meli Full 2026]]</f>
        <v>0</v>
      </c>
      <c r="X283" s="3">
        <v>62307</v>
      </c>
      <c r="Y283" s="3">
        <f>+Tabla22[[#This Row],[Amazon Drop 2026]]</f>
        <v>0</v>
      </c>
      <c r="Z283" s="3">
        <v>10011</v>
      </c>
      <c r="AA283" s="3">
        <f>+Tabla22[[#This Row],[Amazon Full 2026]]</f>
        <v>0</v>
      </c>
      <c r="AB283" s="3">
        <v>1463.7931034482758</v>
      </c>
      <c r="AC283" s="3">
        <f>+Tabla22[[#This Row],[TikTok 2026]]</f>
        <v>0</v>
      </c>
      <c r="AD283" s="3">
        <v>688.79310344827593</v>
      </c>
      <c r="AE283" s="3">
        <f>+Tabla22[[#This Row],[Shein 2026]]</f>
        <v>0</v>
      </c>
      <c r="AF283" s="5">
        <f t="shared" si="71"/>
        <v>0</v>
      </c>
      <c r="AG283" s="4">
        <f t="shared" si="72"/>
        <v>0</v>
      </c>
      <c r="AH283" s="5">
        <f t="shared" si="73"/>
        <v>-6019946.5334967729</v>
      </c>
      <c r="AI283" s="17">
        <f t="shared" si="66"/>
        <v>-1</v>
      </c>
      <c r="AJ283" s="17">
        <f t="shared" si="67"/>
        <v>0.14780999880499757</v>
      </c>
      <c r="AK283" s="14" t="e">
        <f t="shared" si="68"/>
        <v>#DIV/0!</v>
      </c>
      <c r="AL283" s="14">
        <f t="shared" si="69"/>
        <v>-1</v>
      </c>
    </row>
    <row r="284" spans="1:38" x14ac:dyDescent="0.3">
      <c r="A284" s="63">
        <v>45939</v>
      </c>
      <c r="B284" s="3">
        <v>39983455</v>
      </c>
      <c r="C284" s="3">
        <f t="shared" si="70"/>
        <v>3970706.5517241382</v>
      </c>
      <c r="D284" s="4">
        <f>+Tabla22[[#This Row],[Share diario]]</f>
        <v>3.810760434855661E-2</v>
      </c>
      <c r="E284" s="3">
        <f>+Tabla22[[#This Row],[Global 2026]]</f>
        <v>0</v>
      </c>
      <c r="F284" s="7">
        <v>46303</v>
      </c>
      <c r="G284" s="3">
        <f>+Tabla2[[#This Row],[Meta Digital]]+Tabla2[[#This Row],[Meta MKPlace]]</f>
        <v>6779910.9901104299</v>
      </c>
      <c r="H284" s="3">
        <f>+D284*Hoja1!$M$38</f>
        <v>5497590.1037814999</v>
      </c>
      <c r="I284" s="3">
        <v>1282320.88632893</v>
      </c>
      <c r="J284" s="3">
        <v>2935762</v>
      </c>
      <c r="K284" s="3">
        <f>+Tabla22[[#This Row],[Web + APP 2026]]</f>
        <v>0</v>
      </c>
      <c r="L284" s="3">
        <v>36452.586206896536</v>
      </c>
      <c r="M284" s="3">
        <f>+Tabla22[[#This Row],[Afiliados 2026]]</f>
        <v>0</v>
      </c>
      <c r="N284" s="3">
        <v>11636</v>
      </c>
      <c r="O284" s="3">
        <f>+Tabla22[[#This Row],[TMK 2026]]</f>
        <v>0</v>
      </c>
      <c r="P284" s="3">
        <v>6503</v>
      </c>
      <c r="Q284" s="3">
        <f>+Tabla22[[#This Row],[WA 2026]]</f>
        <v>0</v>
      </c>
      <c r="R284" s="3">
        <v>141860</v>
      </c>
      <c r="S284" s="3">
        <f>+Tabla22[[#This Row],[Ent. en Tienda 2026]]</f>
        <v>0</v>
      </c>
      <c r="T284" s="3">
        <v>640869</v>
      </c>
      <c r="U284" s="3">
        <f>+Tabla22[[#This Row],[Meli Drop 2026]]</f>
        <v>0</v>
      </c>
      <c r="V284" s="3">
        <v>128902</v>
      </c>
      <c r="W284" s="3">
        <f>+Tabla22[[#This Row],[Meli Full 2026]]</f>
        <v>0</v>
      </c>
      <c r="X284" s="3">
        <v>53273</v>
      </c>
      <c r="Y284" s="3">
        <f>+Tabla22[[#This Row],[Amazon Drop 2026]]</f>
        <v>0</v>
      </c>
      <c r="Z284" s="3">
        <v>14605</v>
      </c>
      <c r="AA284" s="3">
        <f>+Tabla22[[#This Row],[Amazon Full 2026]]</f>
        <v>0</v>
      </c>
      <c r="AB284" s="3">
        <v>843.96551724137942</v>
      </c>
      <c r="AC284" s="3">
        <f>+Tabla22[[#This Row],[TikTok 2026]]</f>
        <v>0</v>
      </c>
      <c r="AD284" s="3">
        <v>0</v>
      </c>
      <c r="AE284" s="3">
        <f>+Tabla22[[#This Row],[Shein 2026]]</f>
        <v>0</v>
      </c>
      <c r="AF284" s="5">
        <f t="shared" si="71"/>
        <v>0</v>
      </c>
      <c r="AG284" s="4">
        <f t="shared" si="72"/>
        <v>0</v>
      </c>
      <c r="AH284" s="5">
        <f t="shared" si="73"/>
        <v>-6779910.9901104299</v>
      </c>
      <c r="AI284" s="17">
        <f t="shared" si="66"/>
        <v>-1</v>
      </c>
      <c r="AJ284" s="17">
        <f t="shared" si="67"/>
        <v>9.9308740370839338E-2</v>
      </c>
      <c r="AK284" s="14" t="e">
        <f t="shared" si="68"/>
        <v>#DIV/0!</v>
      </c>
      <c r="AL284" s="14">
        <f t="shared" si="69"/>
        <v>-1</v>
      </c>
    </row>
    <row r="285" spans="1:38" x14ac:dyDescent="0.3">
      <c r="A285" s="7">
        <v>45940</v>
      </c>
      <c r="B285" s="3">
        <v>42763583</v>
      </c>
      <c r="C285" s="3">
        <f t="shared" si="70"/>
        <v>4663558.8103448274</v>
      </c>
      <c r="D285" s="4">
        <f>+Tabla22[[#This Row],[Share diario]]</f>
        <v>2.9448277010426509E-2</v>
      </c>
      <c r="E285" s="3">
        <f>+Tabla22[[#This Row],[Global 2026]]</f>
        <v>0</v>
      </c>
      <c r="F285" s="7">
        <v>46304</v>
      </c>
      <c r="G285" s="3">
        <f>+Tabla2[[#This Row],[Meta Digital]]+Tabla2[[#This Row],[Meta MKPlace]]</f>
        <v>5239287.5478767622</v>
      </c>
      <c r="H285" s="3">
        <f>+D285*Hoja1!$M$38</f>
        <v>4248353.0264759101</v>
      </c>
      <c r="I285" s="3">
        <v>990934.52140085201</v>
      </c>
      <c r="J285" s="3">
        <v>3483391</v>
      </c>
      <c r="K285" s="3">
        <f>+Tabla22[[#This Row],[Web + APP 2026]]</f>
        <v>0</v>
      </c>
      <c r="L285" s="3">
        <v>38299.999999999978</v>
      </c>
      <c r="M285" s="3">
        <f>+Tabla22[[#This Row],[Afiliados 2026]]</f>
        <v>0</v>
      </c>
      <c r="N285" s="3">
        <v>25004</v>
      </c>
      <c r="O285" s="3">
        <f>+Tabla22[[#This Row],[TMK 2026]]</f>
        <v>0</v>
      </c>
      <c r="P285" s="3">
        <v>0</v>
      </c>
      <c r="Q285" s="3">
        <f>+Tabla22[[#This Row],[WA 2026]]</f>
        <v>0</v>
      </c>
      <c r="R285" s="3">
        <v>186430</v>
      </c>
      <c r="S285" s="3">
        <f>+Tabla22[[#This Row],[Ent. en Tienda 2026]]</f>
        <v>0</v>
      </c>
      <c r="T285" s="3">
        <v>732700</v>
      </c>
      <c r="U285" s="3">
        <f>+Tabla22[[#This Row],[Meli Drop 2026]]</f>
        <v>0</v>
      </c>
      <c r="V285" s="3">
        <v>129327</v>
      </c>
      <c r="W285" s="3">
        <f>+Tabla22[[#This Row],[Meli Full 2026]]</f>
        <v>0</v>
      </c>
      <c r="X285" s="3">
        <v>38381</v>
      </c>
      <c r="Y285" s="3">
        <f>+Tabla22[[#This Row],[Amazon Drop 2026]]</f>
        <v>0</v>
      </c>
      <c r="Z285" s="3">
        <v>15134</v>
      </c>
      <c r="AA285" s="3">
        <f>+Tabla22[[#This Row],[Amazon Full 2026]]</f>
        <v>0</v>
      </c>
      <c r="AB285" s="3">
        <v>14030.603448275864</v>
      </c>
      <c r="AC285" s="3">
        <f>+Tabla22[[#This Row],[TikTok 2026]]</f>
        <v>0</v>
      </c>
      <c r="AD285" s="3">
        <v>861.20689655172418</v>
      </c>
      <c r="AE285" s="3">
        <f>+Tabla22[[#This Row],[Shein 2026]]</f>
        <v>0</v>
      </c>
      <c r="AF285" s="5">
        <f t="shared" si="71"/>
        <v>0</v>
      </c>
      <c r="AG285" s="4">
        <f t="shared" si="72"/>
        <v>0</v>
      </c>
      <c r="AH285" s="5">
        <f t="shared" si="73"/>
        <v>-5239287.5478767622</v>
      </c>
      <c r="AI285" s="17">
        <f t="shared" si="66"/>
        <v>-1</v>
      </c>
      <c r="AJ285" s="17">
        <f t="shared" si="67"/>
        <v>0.10905444500159932</v>
      </c>
      <c r="AK285" s="14" t="e">
        <f t="shared" si="68"/>
        <v>#DIV/0!</v>
      </c>
      <c r="AL285" s="14">
        <f t="shared" si="69"/>
        <v>-1</v>
      </c>
    </row>
    <row r="286" spans="1:38" x14ac:dyDescent="0.3">
      <c r="A286" s="63">
        <v>45941</v>
      </c>
      <c r="B286" s="3">
        <v>58985064</v>
      </c>
      <c r="C286" s="3">
        <f t="shared" si="70"/>
        <v>4553774.8103448274</v>
      </c>
      <c r="D286" s="4">
        <f>+Tabla22[[#This Row],[Share diario]]</f>
        <v>3.4586734101974187E-2</v>
      </c>
      <c r="E286" s="3">
        <f>+Tabla22[[#This Row],[Global 2026]]</f>
        <v>0</v>
      </c>
      <c r="F286" s="7">
        <v>46305</v>
      </c>
      <c r="G286" s="3">
        <f>+Tabla2[[#This Row],[Meta Digital]]+Tabla2[[#This Row],[Meta MKPlace]]</f>
        <v>6153495.6777959689</v>
      </c>
      <c r="H286" s="3">
        <f>+D286*Hoja1!$M$38</f>
        <v>4989652.0752645377</v>
      </c>
      <c r="I286" s="3">
        <v>1163843.6025314315</v>
      </c>
      <c r="J286" s="3">
        <v>3555883</v>
      </c>
      <c r="K286" s="3">
        <f>+Tabla22[[#This Row],[Web + APP 2026]]</f>
        <v>0</v>
      </c>
      <c r="L286" s="3">
        <v>40308.620689655152</v>
      </c>
      <c r="M286" s="3">
        <f>+Tabla22[[#This Row],[Afiliados 2026]]</f>
        <v>0</v>
      </c>
      <c r="N286" s="3">
        <v>31280</v>
      </c>
      <c r="O286" s="3">
        <f>+Tabla22[[#This Row],[TMK 2026]]</f>
        <v>0</v>
      </c>
      <c r="P286" s="3">
        <v>2597</v>
      </c>
      <c r="Q286" s="3">
        <f>+Tabla22[[#This Row],[WA 2026]]</f>
        <v>0</v>
      </c>
      <c r="R286" s="3">
        <v>177906</v>
      </c>
      <c r="S286" s="3">
        <f>+Tabla22[[#This Row],[Ent. en Tienda 2026]]</f>
        <v>0</v>
      </c>
      <c r="T286" s="3">
        <v>582185</v>
      </c>
      <c r="U286" s="3">
        <f>+Tabla22[[#This Row],[Meli Drop 2026]]</f>
        <v>0</v>
      </c>
      <c r="V286" s="3">
        <v>99364</v>
      </c>
      <c r="W286" s="3">
        <f>+Tabla22[[#This Row],[Meli Full 2026]]</f>
        <v>0</v>
      </c>
      <c r="X286" s="3">
        <v>49257</v>
      </c>
      <c r="Y286" s="3">
        <f>+Tabla22[[#This Row],[Amazon Drop 2026]]</f>
        <v>0</v>
      </c>
      <c r="Z286" s="3">
        <v>13284</v>
      </c>
      <c r="AA286" s="3">
        <f>+Tabla22[[#This Row],[Amazon Full 2026]]</f>
        <v>0</v>
      </c>
      <c r="AB286" s="3">
        <v>1710.1896551724139</v>
      </c>
      <c r="AC286" s="3">
        <f>+Tabla22[[#This Row],[TikTok 2026]]</f>
        <v>0</v>
      </c>
      <c r="AD286" s="3">
        <v>0</v>
      </c>
      <c r="AE286" s="3">
        <f>+Tabla22[[#This Row],[Shein 2026]]</f>
        <v>0</v>
      </c>
      <c r="AF286" s="5">
        <f t="shared" si="71"/>
        <v>0</v>
      </c>
      <c r="AG286" s="4">
        <f t="shared" si="72"/>
        <v>0</v>
      </c>
      <c r="AH286" s="5">
        <f t="shared" si="73"/>
        <v>-6153495.6777959689</v>
      </c>
      <c r="AI286" s="17">
        <f t="shared" si="66"/>
        <v>-1</v>
      </c>
      <c r="AJ286" s="17">
        <f t="shared" si="67"/>
        <v>7.7202167829212284E-2</v>
      </c>
      <c r="AK286" s="14" t="e">
        <f t="shared" si="68"/>
        <v>#DIV/0!</v>
      </c>
      <c r="AL286" s="14">
        <f t="shared" si="69"/>
        <v>-1</v>
      </c>
    </row>
    <row r="287" spans="1:38" x14ac:dyDescent="0.3">
      <c r="A287" s="7">
        <v>45942</v>
      </c>
      <c r="B287" s="3">
        <v>59452948</v>
      </c>
      <c r="C287" s="3">
        <f t="shared" si="70"/>
        <v>5948000.2413793104</v>
      </c>
      <c r="D287" s="4">
        <f>+Tabla22[[#This Row],[Share diario]]</f>
        <v>3.3772534009069093E-2</v>
      </c>
      <c r="E287" s="3">
        <f>+Tabla22[[#This Row],[Global 2026]]</f>
        <v>0</v>
      </c>
      <c r="F287" s="7">
        <v>46306</v>
      </c>
      <c r="G287" s="3">
        <f>+Tabla2[[#This Row],[Meta Digital]]+Tabla2[[#This Row],[Meta MKPlace]]</f>
        <v>6008637.3417131007</v>
      </c>
      <c r="H287" s="3">
        <f>+D287*Hoja1!$M$38</f>
        <v>4872191.5723079257</v>
      </c>
      <c r="I287" s="3">
        <v>1136445.769405175</v>
      </c>
      <c r="J287" s="3">
        <v>5079374</v>
      </c>
      <c r="K287" s="3">
        <f>+Tabla22[[#This Row],[Web + APP 2026]]</f>
        <v>0</v>
      </c>
      <c r="L287" s="3">
        <v>33968.10344827584</v>
      </c>
      <c r="M287" s="3">
        <f>+Tabla22[[#This Row],[Afiliados 2026]]</f>
        <v>0</v>
      </c>
      <c r="N287" s="3">
        <v>0</v>
      </c>
      <c r="O287" s="3">
        <f>+Tabla22[[#This Row],[TMK 2026]]</f>
        <v>0</v>
      </c>
      <c r="P287" s="3">
        <v>7846</v>
      </c>
      <c r="Q287" s="3">
        <f>+Tabla22[[#This Row],[WA 2026]]</f>
        <v>0</v>
      </c>
      <c r="R287" s="3">
        <v>241390</v>
      </c>
      <c r="S287" s="3">
        <f>+Tabla22[[#This Row],[Ent. en Tienda 2026]]</f>
        <v>0</v>
      </c>
      <c r="T287" s="3">
        <v>416113</v>
      </c>
      <c r="U287" s="3">
        <f>+Tabla22[[#This Row],[Meli Drop 2026]]</f>
        <v>0</v>
      </c>
      <c r="V287" s="3">
        <v>102685</v>
      </c>
      <c r="W287" s="3">
        <f>+Tabla22[[#This Row],[Meli Full 2026]]</f>
        <v>0</v>
      </c>
      <c r="X287" s="3">
        <v>46963</v>
      </c>
      <c r="Y287" s="3">
        <f>+Tabla22[[#This Row],[Amazon Drop 2026]]</f>
        <v>0</v>
      </c>
      <c r="Z287" s="3">
        <v>17337</v>
      </c>
      <c r="AA287" s="3">
        <f>+Tabla22[[#This Row],[Amazon Full 2026]]</f>
        <v>0</v>
      </c>
      <c r="AB287" s="3">
        <v>1118.9655172413795</v>
      </c>
      <c r="AC287" s="3">
        <f>+Tabla22[[#This Row],[TikTok 2026]]</f>
        <v>0</v>
      </c>
      <c r="AD287" s="3">
        <v>1205.1724137931035</v>
      </c>
      <c r="AE287" s="3">
        <f>+Tabla22[[#This Row],[Shein 2026]]</f>
        <v>0</v>
      </c>
      <c r="AF287" s="5">
        <f t="shared" si="71"/>
        <v>0</v>
      </c>
      <c r="AG287" s="4">
        <f t="shared" si="72"/>
        <v>0</v>
      </c>
      <c r="AH287" s="5">
        <f t="shared" si="73"/>
        <v>-6008637.3417131007</v>
      </c>
      <c r="AI287" s="17">
        <f t="shared" si="66"/>
        <v>-1</v>
      </c>
      <c r="AJ287" s="17">
        <f t="shared" si="67"/>
        <v>0.10004550558837402</v>
      </c>
      <c r="AK287" s="14" t="e">
        <f t="shared" si="68"/>
        <v>#DIV/0!</v>
      </c>
      <c r="AL287" s="14">
        <f t="shared" si="69"/>
        <v>-1</v>
      </c>
    </row>
    <row r="288" spans="1:38" x14ac:dyDescent="0.3">
      <c r="A288" s="63">
        <v>45943</v>
      </c>
      <c r="B288" s="3">
        <v>30334126</v>
      </c>
      <c r="C288" s="3">
        <f t="shared" si="70"/>
        <v>4746548.8534482764</v>
      </c>
      <c r="D288" s="4">
        <f>+Tabla22[[#This Row],[Share diario]]</f>
        <v>4.4112642544729318E-2</v>
      </c>
      <c r="E288" s="3">
        <f>+Tabla22[[#This Row],[Global 2026]]</f>
        <v>0</v>
      </c>
      <c r="F288" s="7">
        <v>46307</v>
      </c>
      <c r="G288" s="3">
        <f>+Tabla2[[#This Row],[Meta Digital]]+Tabla2[[#This Row],[Meta MKPlace]]</f>
        <v>7848296.8190875361</v>
      </c>
      <c r="H288" s="3">
        <f>+D288*Hoja1!$M$38</f>
        <v>6363906.3974573947</v>
      </c>
      <c r="I288" s="3">
        <v>1484390.4216301416</v>
      </c>
      <c r="J288" s="3">
        <v>3532434</v>
      </c>
      <c r="K288" s="3">
        <f>+Tabla22[[#This Row],[Web + APP 2026]]</f>
        <v>0</v>
      </c>
      <c r="L288" s="3">
        <v>27835.344827586196</v>
      </c>
      <c r="M288" s="3">
        <f>+Tabla22[[#This Row],[Afiliados 2026]]</f>
        <v>0</v>
      </c>
      <c r="N288" s="3">
        <v>56747</v>
      </c>
      <c r="O288" s="3">
        <f>+Tabla22[[#This Row],[TMK 2026]]</f>
        <v>0</v>
      </c>
      <c r="P288" s="3">
        <v>6296</v>
      </c>
      <c r="Q288" s="3">
        <f>+Tabla22[[#This Row],[WA 2026]]</f>
        <v>0</v>
      </c>
      <c r="R288" s="3">
        <v>260947</v>
      </c>
      <c r="S288" s="3">
        <f>+Tabla22[[#This Row],[Ent. en Tienda 2026]]</f>
        <v>0</v>
      </c>
      <c r="T288" s="3">
        <v>696035</v>
      </c>
      <c r="U288" s="3">
        <f>+Tabla22[[#This Row],[Meli Drop 2026]]</f>
        <v>0</v>
      </c>
      <c r="V288" s="3">
        <v>89849</v>
      </c>
      <c r="W288" s="3">
        <f>+Tabla22[[#This Row],[Meli Full 2026]]</f>
        <v>0</v>
      </c>
      <c r="X288" s="3">
        <v>44082</v>
      </c>
      <c r="Y288" s="3">
        <f>+Tabla22[[#This Row],[Amazon Drop 2026]]</f>
        <v>0</v>
      </c>
      <c r="Z288" s="3">
        <v>19797</v>
      </c>
      <c r="AA288" s="3">
        <f>+Tabla22[[#This Row],[Amazon Full 2026]]</f>
        <v>0</v>
      </c>
      <c r="AB288" s="3">
        <v>12526.508620689656</v>
      </c>
      <c r="AC288" s="3">
        <f>+Tabla22[[#This Row],[TikTok 2026]]</f>
        <v>0</v>
      </c>
      <c r="AD288" s="3">
        <v>0</v>
      </c>
      <c r="AE288" s="3">
        <f>+Tabla22[[#This Row],[Shein 2026]]</f>
        <v>0</v>
      </c>
      <c r="AF288" s="5">
        <f t="shared" si="71"/>
        <v>0</v>
      </c>
      <c r="AG288" s="4">
        <f t="shared" si="72"/>
        <v>0</v>
      </c>
      <c r="AH288" s="5">
        <f t="shared" si="73"/>
        <v>-7848296.8190875361</v>
      </c>
      <c r="AI288" s="17">
        <f t="shared" si="66"/>
        <v>-1</v>
      </c>
      <c r="AJ288" s="17">
        <f t="shared" si="67"/>
        <v>0.15647554353299239</v>
      </c>
      <c r="AK288" s="14" t="e">
        <f t="shared" si="68"/>
        <v>#DIV/0!</v>
      </c>
      <c r="AL288" s="14">
        <f t="shared" si="69"/>
        <v>-1</v>
      </c>
    </row>
    <row r="289" spans="1:38" x14ac:dyDescent="0.3">
      <c r="A289" s="7">
        <v>45944</v>
      </c>
      <c r="B289" s="3">
        <v>36736864</v>
      </c>
      <c r="C289" s="3">
        <f t="shared" si="70"/>
        <v>7233547.612068966</v>
      </c>
      <c r="D289" s="4">
        <f>+Tabla22[[#This Row],[Share diario]]</f>
        <v>3.5202219972456462E-2</v>
      </c>
      <c r="E289" s="3">
        <f>+Tabla22[[#This Row],[Global 2026]]</f>
        <v>0</v>
      </c>
      <c r="F289" s="7">
        <v>46308</v>
      </c>
      <c r="G289" s="3">
        <f>+Tabla2[[#This Row],[Meta Digital]]+Tabla2[[#This Row],[Meta MKPlace]]</f>
        <v>6262999.7909218445</v>
      </c>
      <c r="H289" s="3">
        <f>+D289*Hoja1!$M$38</f>
        <v>5078445.0888486849</v>
      </c>
      <c r="I289" s="3">
        <v>1184554.7020731599</v>
      </c>
      <c r="J289" s="3">
        <v>5860826</v>
      </c>
      <c r="K289" s="3">
        <f>+Tabla22[[#This Row],[Web + APP 2026]]</f>
        <v>0</v>
      </c>
      <c r="L289" s="3">
        <v>34962.931034482739</v>
      </c>
      <c r="M289" s="3">
        <f>+Tabla22[[#This Row],[Afiliados 2026]]</f>
        <v>0</v>
      </c>
      <c r="N289" s="3">
        <v>51290</v>
      </c>
      <c r="O289" s="3">
        <f>+Tabla22[[#This Row],[TMK 2026]]</f>
        <v>0</v>
      </c>
      <c r="P289" s="3">
        <v>8434</v>
      </c>
      <c r="Q289" s="3">
        <f>+Tabla22[[#This Row],[WA 2026]]</f>
        <v>0</v>
      </c>
      <c r="R289" s="3">
        <v>268072</v>
      </c>
      <c r="S289" s="3">
        <f>+Tabla22[[#This Row],[Ent. en Tienda 2026]]</f>
        <v>0</v>
      </c>
      <c r="T289" s="3">
        <v>843210</v>
      </c>
      <c r="U289" s="3">
        <f>+Tabla22[[#This Row],[Meli Drop 2026]]</f>
        <v>0</v>
      </c>
      <c r="V289" s="3">
        <v>87564</v>
      </c>
      <c r="W289" s="3">
        <f>+Tabla22[[#This Row],[Meli Full 2026]]</f>
        <v>0</v>
      </c>
      <c r="X289" s="3">
        <v>54009</v>
      </c>
      <c r="Y289" s="3">
        <f>+Tabla22[[#This Row],[Amazon Drop 2026]]</f>
        <v>0</v>
      </c>
      <c r="Z289" s="3">
        <v>8460</v>
      </c>
      <c r="AA289" s="3">
        <f>+Tabla22[[#This Row],[Amazon Full 2026]]</f>
        <v>0</v>
      </c>
      <c r="AB289" s="3">
        <v>16719.681034482761</v>
      </c>
      <c r="AC289" s="3">
        <f>+Tabla22[[#This Row],[TikTok 2026]]</f>
        <v>0</v>
      </c>
      <c r="AD289" s="3">
        <v>0</v>
      </c>
      <c r="AE289" s="3">
        <f>+Tabla22[[#This Row],[Shein 2026]]</f>
        <v>0</v>
      </c>
      <c r="AF289" s="5">
        <f t="shared" si="71"/>
        <v>0</v>
      </c>
      <c r="AG289" s="4">
        <f t="shared" si="72"/>
        <v>0</v>
      </c>
      <c r="AH289" s="5">
        <f t="shared" si="73"/>
        <v>-6262999.7909218445</v>
      </c>
      <c r="AI289" s="17">
        <f t="shared" si="66"/>
        <v>-1</v>
      </c>
      <c r="AJ289" s="17">
        <f t="shared" si="67"/>
        <v>0.19690160847885563</v>
      </c>
      <c r="AK289" s="14" t="e">
        <f t="shared" si="68"/>
        <v>#DIV/0!</v>
      </c>
      <c r="AL289" s="14">
        <f t="shared" si="69"/>
        <v>-1</v>
      </c>
    </row>
    <row r="290" spans="1:38" x14ac:dyDescent="0.3">
      <c r="A290" s="63">
        <v>45945</v>
      </c>
      <c r="B290" s="3">
        <v>38912618</v>
      </c>
      <c r="C290" s="3">
        <f t="shared" si="70"/>
        <v>5588833.0517241377</v>
      </c>
      <c r="D290" s="4">
        <f>+Tabla22[[#This Row],[Share diario]]</f>
        <v>5.3646753058551176E-2</v>
      </c>
      <c r="E290" s="3">
        <f>+Tabla22[[#This Row],[Global 2026]]</f>
        <v>0</v>
      </c>
      <c r="F290" s="7">
        <v>46309</v>
      </c>
      <c r="G290" s="3">
        <f>+Tabla2[[#This Row],[Meta Digital]]+Tabla2[[#This Row],[Meta MKPlace]]</f>
        <v>9544557.2311130576</v>
      </c>
      <c r="H290" s="3">
        <f>+D290*Hoja1!$M$38</f>
        <v>7739343.9906928111</v>
      </c>
      <c r="I290" s="3">
        <v>1805213.2404202472</v>
      </c>
      <c r="J290" s="3">
        <v>4393558</v>
      </c>
      <c r="K290" s="3">
        <f>+Tabla22[[#This Row],[Web + APP 2026]]</f>
        <v>0</v>
      </c>
      <c r="L290" s="3">
        <v>34782.758620689638</v>
      </c>
      <c r="M290" s="3">
        <f>+Tabla22[[#This Row],[Afiliados 2026]]</f>
        <v>0</v>
      </c>
      <c r="N290" s="3">
        <v>52617</v>
      </c>
      <c r="O290" s="3">
        <f>+Tabla22[[#This Row],[TMK 2026]]</f>
        <v>0</v>
      </c>
      <c r="P290" s="3">
        <v>5393</v>
      </c>
      <c r="Q290" s="3">
        <f>+Tabla22[[#This Row],[WA 2026]]</f>
        <v>0</v>
      </c>
      <c r="R290" s="3">
        <v>279705</v>
      </c>
      <c r="S290" s="3">
        <f>+Tabla22[[#This Row],[Ent. en Tienda 2026]]</f>
        <v>0</v>
      </c>
      <c r="T290" s="3">
        <v>668950</v>
      </c>
      <c r="U290" s="3">
        <f>+Tabla22[[#This Row],[Meli Drop 2026]]</f>
        <v>0</v>
      </c>
      <c r="V290" s="3">
        <v>93705</v>
      </c>
      <c r="W290" s="3">
        <f>+Tabla22[[#This Row],[Meli Full 2026]]</f>
        <v>0</v>
      </c>
      <c r="X290" s="3">
        <v>42427</v>
      </c>
      <c r="Y290" s="3">
        <f>+Tabla22[[#This Row],[Amazon Drop 2026]]</f>
        <v>0</v>
      </c>
      <c r="Z290" s="3">
        <v>12416</v>
      </c>
      <c r="AA290" s="3">
        <f>+Tabla22[[#This Row],[Amazon Full 2026]]</f>
        <v>0</v>
      </c>
      <c r="AB290" s="3">
        <v>4590.5</v>
      </c>
      <c r="AC290" s="3">
        <f>+Tabla22[[#This Row],[TikTok 2026]]</f>
        <v>0</v>
      </c>
      <c r="AD290" s="3">
        <v>688.79310344827593</v>
      </c>
      <c r="AE290" s="3">
        <f>+Tabla22[[#This Row],[Shein 2026]]</f>
        <v>0</v>
      </c>
      <c r="AF290" s="5">
        <f t="shared" si="71"/>
        <v>0</v>
      </c>
      <c r="AG290" s="4">
        <f t="shared" si="72"/>
        <v>0</v>
      </c>
      <c r="AH290" s="5">
        <f t="shared" si="73"/>
        <v>-9544557.2311130576</v>
      </c>
      <c r="AI290" s="17">
        <f t="shared" si="66"/>
        <v>-1</v>
      </c>
      <c r="AJ290" s="17">
        <f t="shared" si="67"/>
        <v>0.14362521307931883</v>
      </c>
      <c r="AK290" s="14" t="e">
        <f t="shared" si="68"/>
        <v>#DIV/0!</v>
      </c>
      <c r="AL290" s="14">
        <f t="shared" si="69"/>
        <v>-1</v>
      </c>
    </row>
    <row r="291" spans="1:38" x14ac:dyDescent="0.3">
      <c r="A291" s="7">
        <v>45946</v>
      </c>
      <c r="B291" s="3">
        <v>46278011</v>
      </c>
      <c r="C291" s="3">
        <f t="shared" si="70"/>
        <v>4838955.0948275868</v>
      </c>
      <c r="D291" s="4">
        <f>+Tabla22[[#This Row],[Share diario]]</f>
        <v>4.1448921427028163E-2</v>
      </c>
      <c r="E291" s="3">
        <f>+Tabla22[[#This Row],[Global 2026]]</f>
        <v>0</v>
      </c>
      <c r="F291" s="7">
        <v>46310</v>
      </c>
      <c r="G291" s="3">
        <f>+Tabla2[[#This Row],[Meta Digital]]+Tabla2[[#This Row],[Meta MKPlace]]</f>
        <v>7374381.1167173516</v>
      </c>
      <c r="H291" s="3">
        <f>+D291*Hoja1!$M$38</f>
        <v>5979624.9106978541</v>
      </c>
      <c r="I291" s="3">
        <v>1394756.2060194977</v>
      </c>
      <c r="J291" s="3">
        <v>3659618</v>
      </c>
      <c r="K291" s="3">
        <f>+Tabla22[[#This Row],[Web + APP 2026]]</f>
        <v>0</v>
      </c>
      <c r="L291" s="3">
        <v>37947.413793103435</v>
      </c>
      <c r="M291" s="3">
        <f>+Tabla22[[#This Row],[Afiliados 2026]]</f>
        <v>0</v>
      </c>
      <c r="N291" s="3">
        <v>37369</v>
      </c>
      <c r="O291" s="3">
        <f>+Tabla22[[#This Row],[TMK 2026]]</f>
        <v>0</v>
      </c>
      <c r="P291" s="3">
        <v>9908</v>
      </c>
      <c r="Q291" s="3">
        <f>+Tabla22[[#This Row],[WA 2026]]</f>
        <v>0</v>
      </c>
      <c r="R291" s="3">
        <v>321653</v>
      </c>
      <c r="S291" s="3">
        <f>+Tabla22[[#This Row],[Ent. en Tienda 2026]]</f>
        <v>0</v>
      </c>
      <c r="T291" s="3">
        <v>573332</v>
      </c>
      <c r="U291" s="3">
        <f>+Tabla22[[#This Row],[Meli Drop 2026]]</f>
        <v>0</v>
      </c>
      <c r="V291" s="3">
        <v>132053</v>
      </c>
      <c r="W291" s="3">
        <f>+Tabla22[[#This Row],[Meli Full 2026]]</f>
        <v>0</v>
      </c>
      <c r="X291" s="3">
        <v>44310</v>
      </c>
      <c r="Y291" s="3">
        <f>+Tabla22[[#This Row],[Amazon Drop 2026]]</f>
        <v>0</v>
      </c>
      <c r="Z291" s="3">
        <v>14263</v>
      </c>
      <c r="AA291" s="3">
        <f>+Tabla22[[#This Row],[Amazon Full 2026]]</f>
        <v>0</v>
      </c>
      <c r="AB291" s="3">
        <v>6779.2672413793107</v>
      </c>
      <c r="AC291" s="3">
        <f>+Tabla22[[#This Row],[TikTok 2026]]</f>
        <v>0</v>
      </c>
      <c r="AD291" s="3">
        <v>1722.4137931034484</v>
      </c>
      <c r="AE291" s="3">
        <f>+Tabla22[[#This Row],[Shein 2026]]</f>
        <v>0</v>
      </c>
      <c r="AF291" s="5">
        <f t="shared" si="71"/>
        <v>0</v>
      </c>
      <c r="AG291" s="4">
        <f t="shared" si="72"/>
        <v>0</v>
      </c>
      <c r="AH291" s="5">
        <f t="shared" si="73"/>
        <v>-7374381.1167173516</v>
      </c>
      <c r="AI291" s="17">
        <f t="shared" si="66"/>
        <v>-1</v>
      </c>
      <c r="AJ291" s="17">
        <f t="shared" si="67"/>
        <v>0.10456272839443309</v>
      </c>
      <c r="AK291" s="14" t="e">
        <f t="shared" si="68"/>
        <v>#DIV/0!</v>
      </c>
      <c r="AL291" s="14">
        <f t="shared" si="69"/>
        <v>-1</v>
      </c>
    </row>
    <row r="292" spans="1:38" x14ac:dyDescent="0.3">
      <c r="A292" s="63">
        <v>45947</v>
      </c>
      <c r="B292" s="3">
        <v>43693955</v>
      </c>
      <c r="C292" s="3">
        <f t="shared" si="70"/>
        <v>3910517.3103448278</v>
      </c>
      <c r="D292" s="4">
        <f>+Tabla22[[#This Row],[Share diario]]</f>
        <v>3.5887539967319512E-2</v>
      </c>
      <c r="E292" s="3">
        <f>+Tabla22[[#This Row],[Global 2026]]</f>
        <v>0</v>
      </c>
      <c r="F292" s="7">
        <v>46311</v>
      </c>
      <c r="G292" s="3">
        <f>+Tabla2[[#This Row],[Meta Digital]]+Tabla2[[#This Row],[Meta MKPlace]]</f>
        <v>6384928.4359874176</v>
      </c>
      <c r="H292" s="3">
        <f>+D292*Hoja1!$M$38</f>
        <v>5177312.7160871159</v>
      </c>
      <c r="I292" s="3">
        <v>1207615.7199003017</v>
      </c>
      <c r="J292" s="3">
        <v>2757514</v>
      </c>
      <c r="K292" s="3">
        <f>+Tabla22[[#This Row],[Web + APP 2026]]</f>
        <v>0</v>
      </c>
      <c r="L292" s="3">
        <v>38559.482758620667</v>
      </c>
      <c r="M292" s="3">
        <f>+Tabla22[[#This Row],[Afiliados 2026]]</f>
        <v>0</v>
      </c>
      <c r="N292" s="3">
        <v>28828</v>
      </c>
      <c r="O292" s="3">
        <f>+Tabla22[[#This Row],[TMK 2026]]</f>
        <v>0</v>
      </c>
      <c r="P292" s="3">
        <v>2569</v>
      </c>
      <c r="Q292" s="3">
        <f>+Tabla22[[#This Row],[WA 2026]]</f>
        <v>0</v>
      </c>
      <c r="R292" s="3">
        <v>249589</v>
      </c>
      <c r="S292" s="3">
        <f>+Tabla22[[#This Row],[Ent. en Tienda 2026]]</f>
        <v>0</v>
      </c>
      <c r="T292" s="3">
        <v>603059</v>
      </c>
      <c r="U292" s="3">
        <f>+Tabla22[[#This Row],[Meli Drop 2026]]</f>
        <v>0</v>
      </c>
      <c r="V292" s="3">
        <v>182555</v>
      </c>
      <c r="W292" s="3">
        <f>+Tabla22[[#This Row],[Meli Full 2026]]</f>
        <v>0</v>
      </c>
      <c r="X292" s="3">
        <v>33984</v>
      </c>
      <c r="Y292" s="3">
        <f>+Tabla22[[#This Row],[Amazon Drop 2026]]</f>
        <v>0</v>
      </c>
      <c r="Z292" s="3">
        <v>6959</v>
      </c>
      <c r="AA292" s="3">
        <f>+Tabla22[[#This Row],[Amazon Full 2026]]</f>
        <v>0</v>
      </c>
      <c r="AB292" s="3">
        <v>6900.8275862068967</v>
      </c>
      <c r="AC292" s="3">
        <f>+Tabla22[[#This Row],[TikTok 2026]]</f>
        <v>0</v>
      </c>
      <c r="AD292" s="3">
        <v>0</v>
      </c>
      <c r="AE292" s="3">
        <f>+Tabla22[[#This Row],[Shein 2026]]</f>
        <v>0</v>
      </c>
      <c r="AF292" s="5">
        <f t="shared" si="71"/>
        <v>0</v>
      </c>
      <c r="AG292" s="4">
        <f t="shared" si="72"/>
        <v>0</v>
      </c>
      <c r="AH292" s="5">
        <f t="shared" si="73"/>
        <v>-6384928.4359874176</v>
      </c>
      <c r="AI292" s="17">
        <f t="shared" si="66"/>
        <v>-1</v>
      </c>
      <c r="AJ292" s="17">
        <f t="shared" si="67"/>
        <v>8.949790217765427E-2</v>
      </c>
      <c r="AK292" s="14" t="e">
        <f t="shared" si="68"/>
        <v>#DIV/0!</v>
      </c>
      <c r="AL292" s="14">
        <f t="shared" si="69"/>
        <v>-1</v>
      </c>
    </row>
    <row r="293" spans="1:38" x14ac:dyDescent="0.3">
      <c r="A293" s="7">
        <v>45948</v>
      </c>
      <c r="B293" s="3">
        <v>58058265</v>
      </c>
      <c r="C293" s="3">
        <f t="shared" si="70"/>
        <v>3024104.6896551726</v>
      </c>
      <c r="D293" s="4">
        <f>+Tabla22[[#This Row],[Share diario]]</f>
        <v>2.9001890597807896E-2</v>
      </c>
      <c r="E293" s="3">
        <f>+Tabla22[[#This Row],[Global 2026]]</f>
        <v>0</v>
      </c>
      <c r="F293" s="7">
        <v>46312</v>
      </c>
      <c r="G293" s="3">
        <f>+Tabla2[[#This Row],[Meta Digital]]+Tabla2[[#This Row],[Meta MKPlace]]</f>
        <v>5159868.7495427877</v>
      </c>
      <c r="H293" s="3">
        <f>+D293*Hoja1!$M$38</f>
        <v>4183955.1309265522</v>
      </c>
      <c r="I293" s="3">
        <v>975913.61861623568</v>
      </c>
      <c r="J293" s="3">
        <v>2057157</v>
      </c>
      <c r="K293" s="3">
        <f>+Tabla22[[#This Row],[Web + APP 2026]]</f>
        <v>0</v>
      </c>
      <c r="L293" s="3">
        <v>39201.724137931014</v>
      </c>
      <c r="M293" s="3">
        <f>+Tabla22[[#This Row],[Afiliados 2026]]</f>
        <v>0</v>
      </c>
      <c r="N293" s="3">
        <v>21446</v>
      </c>
      <c r="O293" s="3">
        <f>+Tabla22[[#This Row],[TMK 2026]]</f>
        <v>0</v>
      </c>
      <c r="P293" s="3">
        <v>128</v>
      </c>
      <c r="Q293" s="3">
        <f>+Tabla22[[#This Row],[WA 2026]]</f>
        <v>0</v>
      </c>
      <c r="R293" s="3">
        <v>156666</v>
      </c>
      <c r="S293" s="3">
        <f>+Tabla22[[#This Row],[Ent. en Tienda 2026]]</f>
        <v>0</v>
      </c>
      <c r="T293" s="3">
        <v>518617</v>
      </c>
      <c r="U293" s="3">
        <f>+Tabla22[[#This Row],[Meli Drop 2026]]</f>
        <v>0</v>
      </c>
      <c r="V293" s="3">
        <v>193438</v>
      </c>
      <c r="W293" s="3">
        <f>+Tabla22[[#This Row],[Meli Full 2026]]</f>
        <v>0</v>
      </c>
      <c r="X293" s="3">
        <v>25309</v>
      </c>
      <c r="Y293" s="3">
        <f>+Tabla22[[#This Row],[Amazon Drop 2026]]</f>
        <v>0</v>
      </c>
      <c r="Z293" s="3">
        <v>10273</v>
      </c>
      <c r="AA293" s="3">
        <f>+Tabla22[[#This Row],[Amazon Full 2026]]</f>
        <v>0</v>
      </c>
      <c r="AB293" s="3">
        <v>1868.9655172413795</v>
      </c>
      <c r="AC293" s="3">
        <f>+Tabla22[[#This Row],[TikTok 2026]]</f>
        <v>0</v>
      </c>
      <c r="AD293" s="3">
        <v>0</v>
      </c>
      <c r="AE293" s="3">
        <f>+Tabla22[[#This Row],[Shein 2026]]</f>
        <v>0</v>
      </c>
      <c r="AF293" s="5">
        <f t="shared" si="71"/>
        <v>0</v>
      </c>
      <c r="AG293" s="4">
        <f t="shared" si="72"/>
        <v>0</v>
      </c>
      <c r="AH293" s="5">
        <f t="shared" si="73"/>
        <v>-5159868.7495427877</v>
      </c>
      <c r="AI293" s="17">
        <f t="shared" si="66"/>
        <v>-1</v>
      </c>
      <c r="AJ293" s="17">
        <f t="shared" si="67"/>
        <v>5.2087410632322077E-2</v>
      </c>
      <c r="AK293" s="14" t="e">
        <f t="shared" si="68"/>
        <v>#DIV/0!</v>
      </c>
      <c r="AL293" s="14">
        <f t="shared" si="69"/>
        <v>-1</v>
      </c>
    </row>
    <row r="294" spans="1:38" x14ac:dyDescent="0.3">
      <c r="A294" s="63">
        <v>45949</v>
      </c>
      <c r="B294" s="3">
        <v>57993512</v>
      </c>
      <c r="C294" s="3">
        <f t="shared" si="70"/>
        <v>3686799.068965517</v>
      </c>
      <c r="D294" s="4">
        <f>+Tabla22[[#This Row],[Share diario]]</f>
        <v>2.2427915900968955E-2</v>
      </c>
      <c r="E294" s="3">
        <f>+Tabla22[[#This Row],[Global 2026]]</f>
        <v>0</v>
      </c>
      <c r="F294" s="7">
        <v>46313</v>
      </c>
      <c r="G294" s="3">
        <f>+Tabla2[[#This Row],[Meta Digital]]+Tabla2[[#This Row],[Meta MKPlace]]</f>
        <v>3990260.6343715591</v>
      </c>
      <c r="H294" s="3">
        <f>+D294*Hoja1!$M$38</f>
        <v>3235561.2643039539</v>
      </c>
      <c r="I294" s="3">
        <v>754699.3700676054</v>
      </c>
      <c r="J294" s="3">
        <v>2619522</v>
      </c>
      <c r="K294" s="3">
        <f>+Tabla22[[#This Row],[Web + APP 2026]]</f>
        <v>0</v>
      </c>
      <c r="L294" s="3">
        <v>32746.551724137917</v>
      </c>
      <c r="M294" s="3">
        <f>+Tabla22[[#This Row],[Afiliados 2026]]</f>
        <v>0</v>
      </c>
      <c r="N294" s="3">
        <v>2872</v>
      </c>
      <c r="O294" s="3">
        <f>+Tabla22[[#This Row],[TMK 2026]]</f>
        <v>0</v>
      </c>
      <c r="P294" s="3">
        <v>3770</v>
      </c>
      <c r="Q294" s="3">
        <f>+Tabla22[[#This Row],[WA 2026]]</f>
        <v>0</v>
      </c>
      <c r="R294" s="3">
        <v>126305</v>
      </c>
      <c r="S294" s="3">
        <f>+Tabla22[[#This Row],[Ent. en Tienda 2026]]</f>
        <v>0</v>
      </c>
      <c r="T294" s="3">
        <v>624995</v>
      </c>
      <c r="U294" s="3">
        <f>+Tabla22[[#This Row],[Meli Drop 2026]]</f>
        <v>0</v>
      </c>
      <c r="V294" s="3">
        <v>224236</v>
      </c>
      <c r="W294" s="3">
        <f>+Tabla22[[#This Row],[Meli Full 2026]]</f>
        <v>0</v>
      </c>
      <c r="X294" s="3">
        <v>42542</v>
      </c>
      <c r="Y294" s="3">
        <f>+Tabla22[[#This Row],[Amazon Drop 2026]]</f>
        <v>0</v>
      </c>
      <c r="Z294" s="3">
        <v>7745</v>
      </c>
      <c r="AA294" s="3">
        <f>+Tabla22[[#This Row],[Amazon Full 2026]]</f>
        <v>0</v>
      </c>
      <c r="AB294" s="3">
        <v>1462.9310344827588</v>
      </c>
      <c r="AC294" s="3">
        <f>+Tabla22[[#This Row],[TikTok 2026]]</f>
        <v>0</v>
      </c>
      <c r="AD294" s="3">
        <v>602.58620689655174</v>
      </c>
      <c r="AE294" s="3">
        <f>+Tabla22[[#This Row],[Shein 2026]]</f>
        <v>0</v>
      </c>
      <c r="AF294" s="5">
        <f t="shared" si="71"/>
        <v>0</v>
      </c>
      <c r="AG294" s="4">
        <f t="shared" si="72"/>
        <v>0</v>
      </c>
      <c r="AH294" s="5">
        <f t="shared" si="73"/>
        <v>-3990260.6343715591</v>
      </c>
      <c r="AI294" s="17">
        <f t="shared" si="66"/>
        <v>-1</v>
      </c>
      <c r="AJ294" s="17">
        <f t="shared" si="67"/>
        <v>6.3572612553030358E-2</v>
      </c>
      <c r="AK294" s="14" t="e">
        <f t="shared" si="68"/>
        <v>#DIV/0!</v>
      </c>
      <c r="AL294" s="14">
        <f t="shared" si="69"/>
        <v>-1</v>
      </c>
    </row>
    <row r="295" spans="1:38" x14ac:dyDescent="0.3">
      <c r="A295" s="7">
        <v>45950</v>
      </c>
      <c r="B295" s="3">
        <v>32252775</v>
      </c>
      <c r="C295" s="3">
        <f t="shared" si="70"/>
        <v>4525897.8275862066</v>
      </c>
      <c r="D295" s="4">
        <f>+Tabla22[[#This Row],[Share diario]]</f>
        <v>2.7342710636104921E-2</v>
      </c>
      <c r="E295" s="3">
        <f>+Tabla22[[#This Row],[Global 2026]]</f>
        <v>0</v>
      </c>
      <c r="F295" s="7">
        <v>46314</v>
      </c>
      <c r="G295" s="3">
        <f>+Tabla2[[#This Row],[Meta Digital]]+Tabla2[[#This Row],[Meta MKPlace]]</f>
        <v>4864675.8963256292</v>
      </c>
      <c r="H295" s="3">
        <f>+D295*Hoja1!$M$38</f>
        <v>3944593.6834206991</v>
      </c>
      <c r="I295" s="3">
        <v>920082.21290493058</v>
      </c>
      <c r="J295" s="3">
        <v>3847226</v>
      </c>
      <c r="K295" s="3">
        <f>+Tabla22[[#This Row],[Web + APP 2026]]</f>
        <v>0</v>
      </c>
      <c r="L295" s="3">
        <v>31251.724137931025</v>
      </c>
      <c r="M295" s="3">
        <f>+Tabla22[[#This Row],[Afiliados 2026]]</f>
        <v>0</v>
      </c>
      <c r="N295" s="3">
        <v>55327</v>
      </c>
      <c r="O295" s="3">
        <f>+Tabla22[[#This Row],[TMK 2026]]</f>
        <v>0</v>
      </c>
      <c r="P295" s="3">
        <v>3409</v>
      </c>
      <c r="Q295" s="3">
        <f>+Tabla22[[#This Row],[WA 2026]]</f>
        <v>0</v>
      </c>
      <c r="R295" s="3">
        <v>170272</v>
      </c>
      <c r="S295" s="3">
        <f>+Tabla22[[#This Row],[Ent. en Tienda 2026]]</f>
        <v>0</v>
      </c>
      <c r="T295" s="3">
        <v>271999</v>
      </c>
      <c r="U295" s="3">
        <f>+Tabla22[[#This Row],[Meli Drop 2026]]</f>
        <v>0</v>
      </c>
      <c r="V295" s="3">
        <v>100871</v>
      </c>
      <c r="W295" s="3">
        <f>+Tabla22[[#This Row],[Meli Full 2026]]</f>
        <v>0</v>
      </c>
      <c r="X295" s="3">
        <v>38995</v>
      </c>
      <c r="Y295" s="3">
        <f>+Tabla22[[#This Row],[Amazon Drop 2026]]</f>
        <v>0</v>
      </c>
      <c r="Z295" s="3">
        <v>5429</v>
      </c>
      <c r="AA295" s="3">
        <f>+Tabla22[[#This Row],[Amazon Full 2026]]</f>
        <v>0</v>
      </c>
      <c r="AB295" s="3">
        <v>429.31034482758622</v>
      </c>
      <c r="AC295" s="3">
        <f>+Tabla22[[#This Row],[TikTok 2026]]</f>
        <v>0</v>
      </c>
      <c r="AD295" s="3">
        <v>688.79310344827593</v>
      </c>
      <c r="AE295" s="3">
        <f>+Tabla22[[#This Row],[Shein 2026]]</f>
        <v>0</v>
      </c>
      <c r="AF295" s="5">
        <f t="shared" si="71"/>
        <v>0</v>
      </c>
      <c r="AG295" s="4">
        <f t="shared" si="72"/>
        <v>0</v>
      </c>
      <c r="AH295" s="5">
        <f t="shared" si="73"/>
        <v>-4864675.8963256292</v>
      </c>
      <c r="AI295" s="17">
        <f t="shared" si="66"/>
        <v>-1</v>
      </c>
      <c r="AJ295" s="17">
        <f t="shared" si="67"/>
        <v>0.1403258425852103</v>
      </c>
      <c r="AK295" s="14" t="e">
        <f t="shared" si="68"/>
        <v>#DIV/0!</v>
      </c>
      <c r="AL295" s="14">
        <f t="shared" si="69"/>
        <v>-1</v>
      </c>
    </row>
    <row r="296" spans="1:38" x14ac:dyDescent="0.3">
      <c r="A296" s="63">
        <v>45951</v>
      </c>
      <c r="B296" s="3">
        <v>35044736</v>
      </c>
      <c r="C296" s="3">
        <f t="shared" si="70"/>
        <v>5360909.2241379311</v>
      </c>
      <c r="D296" s="4">
        <f>+Tabla22[[#This Row],[Share diario]]</f>
        <v>3.3565787653024648E-2</v>
      </c>
      <c r="E296" s="3">
        <f>+Tabla22[[#This Row],[Global 2026]]</f>
        <v>0</v>
      </c>
      <c r="F296" s="7">
        <v>46315</v>
      </c>
      <c r="G296" s="3">
        <f>+Tabla2[[#This Row],[Meta Digital]]+Tabla2[[#This Row],[Meta MKPlace]]</f>
        <v>5971854.0824273694</v>
      </c>
      <c r="H296" s="3">
        <f>+D296*Hoja1!$M$38</f>
        <v>4842365.32790309</v>
      </c>
      <c r="I296" s="3">
        <v>1129488.7545242794</v>
      </c>
      <c r="J296" s="3">
        <v>3931017</v>
      </c>
      <c r="K296" s="3">
        <f>+Tabla22[[#This Row],[Web + APP 2026]]</f>
        <v>0</v>
      </c>
      <c r="L296" s="3">
        <v>32601.724137931022</v>
      </c>
      <c r="M296" s="3">
        <f>+Tabla22[[#This Row],[Afiliados 2026]]</f>
        <v>0</v>
      </c>
      <c r="N296" s="3">
        <v>9294</v>
      </c>
      <c r="O296" s="3">
        <f>+Tabla22[[#This Row],[TMK 2026]]</f>
        <v>0</v>
      </c>
      <c r="P296" s="3">
        <v>2891</v>
      </c>
      <c r="Q296" s="3">
        <f>+Tabla22[[#This Row],[WA 2026]]</f>
        <v>0</v>
      </c>
      <c r="R296" s="3">
        <v>155173</v>
      </c>
      <c r="S296" s="3">
        <f>+Tabla22[[#This Row],[Ent. en Tienda 2026]]</f>
        <v>0</v>
      </c>
      <c r="T296" s="3">
        <v>877636</v>
      </c>
      <c r="U296" s="3">
        <f>+Tabla22[[#This Row],[Meli Drop 2026]]</f>
        <v>0</v>
      </c>
      <c r="V296" s="3">
        <v>293673</v>
      </c>
      <c r="W296" s="3">
        <f>+Tabla22[[#This Row],[Meli Full 2026]]</f>
        <v>0</v>
      </c>
      <c r="X296" s="3">
        <v>44439</v>
      </c>
      <c r="Y296" s="3">
        <f>+Tabla22[[#This Row],[Amazon Drop 2026]]</f>
        <v>0</v>
      </c>
      <c r="Z296" s="3">
        <v>6738</v>
      </c>
      <c r="AA296" s="3">
        <f>+Tabla22[[#This Row],[Amazon Full 2026]]</f>
        <v>0</v>
      </c>
      <c r="AB296" s="3">
        <v>7446.5</v>
      </c>
      <c r="AC296" s="3">
        <f>+Tabla22[[#This Row],[TikTok 2026]]</f>
        <v>0</v>
      </c>
      <c r="AD296" s="3">
        <v>0</v>
      </c>
      <c r="AE296" s="3">
        <f>+Tabla22[[#This Row],[Shein 2026]]</f>
        <v>0</v>
      </c>
      <c r="AF296" s="5">
        <f t="shared" si="71"/>
        <v>0</v>
      </c>
      <c r="AG296" s="4">
        <f t="shared" si="72"/>
        <v>0</v>
      </c>
      <c r="AH296" s="5">
        <f t="shared" si="73"/>
        <v>-5971854.0824273694</v>
      </c>
      <c r="AI296" s="17">
        <f t="shared" si="66"/>
        <v>-1</v>
      </c>
      <c r="AJ296" s="17">
        <f t="shared" si="67"/>
        <v>0.15297330886264721</v>
      </c>
      <c r="AK296" s="14" t="e">
        <f t="shared" si="68"/>
        <v>#DIV/0!</v>
      </c>
      <c r="AL296" s="14">
        <f t="shared" si="69"/>
        <v>-1</v>
      </c>
    </row>
    <row r="297" spans="1:38" x14ac:dyDescent="0.3">
      <c r="A297" s="7">
        <v>45952</v>
      </c>
      <c r="B297" s="3">
        <v>38948520</v>
      </c>
      <c r="C297" s="3">
        <f t="shared" si="70"/>
        <v>5583297.9568965519</v>
      </c>
      <c r="D297" s="4">
        <f>+Tabla22[[#This Row],[Share diario]]</f>
        <v>3.9758551231043555E-2</v>
      </c>
      <c r="E297" s="3">
        <f>+Tabla22[[#This Row],[Global 2026]]</f>
        <v>0</v>
      </c>
      <c r="F297" s="7">
        <v>46316</v>
      </c>
      <c r="G297" s="3">
        <f>+Tabla2[[#This Row],[Meta Digital]]+Tabla2[[#This Row],[Meta MKPlace]]</f>
        <v>7073639.055781547</v>
      </c>
      <c r="H297" s="3">
        <f>+D297*Hoja1!$M$38</f>
        <v>5735763.8068569312</v>
      </c>
      <c r="I297" s="3">
        <v>1337875.2489246156</v>
      </c>
      <c r="J297" s="3">
        <v>4257253</v>
      </c>
      <c r="K297" s="3">
        <f>+Tabla22[[#This Row],[Web + APP 2026]]</f>
        <v>0</v>
      </c>
      <c r="L297" s="3">
        <v>28862.931034482746</v>
      </c>
      <c r="M297" s="3">
        <f>+Tabla22[[#This Row],[Afiliados 2026]]</f>
        <v>0</v>
      </c>
      <c r="N297" s="3">
        <v>58162</v>
      </c>
      <c r="O297" s="3">
        <f>+Tabla22[[#This Row],[TMK 2026]]</f>
        <v>0</v>
      </c>
      <c r="P297" s="3">
        <v>4241</v>
      </c>
      <c r="Q297" s="3">
        <f>+Tabla22[[#This Row],[WA 2026]]</f>
        <v>0</v>
      </c>
      <c r="R297" s="3">
        <v>134909</v>
      </c>
      <c r="S297" s="3">
        <f>+Tabla22[[#This Row],[Ent. en Tienda 2026]]</f>
        <v>0</v>
      </c>
      <c r="T297" s="3">
        <v>802589</v>
      </c>
      <c r="U297" s="3">
        <f>+Tabla22[[#This Row],[Meli Drop 2026]]</f>
        <v>0</v>
      </c>
      <c r="V297" s="3">
        <v>231059</v>
      </c>
      <c r="W297" s="3">
        <f>+Tabla22[[#This Row],[Meli Full 2026]]</f>
        <v>0</v>
      </c>
      <c r="X297" s="3">
        <v>43400</v>
      </c>
      <c r="Y297" s="3">
        <f>+Tabla22[[#This Row],[Amazon Drop 2026]]</f>
        <v>0</v>
      </c>
      <c r="Z297" s="3">
        <v>12873</v>
      </c>
      <c r="AA297" s="3">
        <f>+Tabla22[[#This Row],[Amazon Full 2026]]</f>
        <v>0</v>
      </c>
      <c r="AB297" s="3">
        <v>9949.0258620689674</v>
      </c>
      <c r="AC297" s="3">
        <f>+Tabla22[[#This Row],[TikTok 2026]]</f>
        <v>0</v>
      </c>
      <c r="AD297" s="3">
        <v>0</v>
      </c>
      <c r="AE297" s="3">
        <f>+Tabla22[[#This Row],[Shein 2026]]</f>
        <v>0</v>
      </c>
      <c r="AF297" s="5">
        <f t="shared" si="71"/>
        <v>0</v>
      </c>
      <c r="AG297" s="4">
        <f t="shared" si="72"/>
        <v>0</v>
      </c>
      <c r="AH297" s="5">
        <f t="shared" si="73"/>
        <v>-7073639.055781547</v>
      </c>
      <c r="AI297" s="17">
        <f t="shared" si="66"/>
        <v>-1</v>
      </c>
      <c r="AJ297" s="17">
        <f t="shared" si="67"/>
        <v>0.14335070901016397</v>
      </c>
      <c r="AK297" s="14" t="e">
        <f t="shared" si="68"/>
        <v>#DIV/0!</v>
      </c>
      <c r="AL297" s="14">
        <f t="shared" si="69"/>
        <v>-1</v>
      </c>
    </row>
    <row r="298" spans="1:38" x14ac:dyDescent="0.3">
      <c r="A298" s="63">
        <v>45953</v>
      </c>
      <c r="B298" s="3">
        <v>43242417</v>
      </c>
      <c r="C298" s="3">
        <f t="shared" si="70"/>
        <v>4636206.8965517245</v>
      </c>
      <c r="D298" s="4">
        <f>+Tabla22[[#This Row],[Share diario]]</f>
        <v>4.1407871048804938E-2</v>
      </c>
      <c r="E298" s="3">
        <f>+Tabla22[[#This Row],[Global 2026]]</f>
        <v>0</v>
      </c>
      <c r="F298" s="7">
        <v>46317</v>
      </c>
      <c r="G298" s="3">
        <f>+Tabla2[[#This Row],[Meta Digital]]+Tabla2[[#This Row],[Meta MKPlace]]</f>
        <v>7367077.6423787884</v>
      </c>
      <c r="H298" s="3">
        <f>+D298*Hoja1!$M$38</f>
        <v>5973702.7815865017</v>
      </c>
      <c r="I298" s="3">
        <v>1393374.8607922862</v>
      </c>
      <c r="J298" s="3">
        <v>3461017</v>
      </c>
      <c r="K298" s="3">
        <f>+Tabla22[[#This Row],[Web + APP 2026]]</f>
        <v>0</v>
      </c>
      <c r="L298" s="3">
        <v>26515.517241379304</v>
      </c>
      <c r="M298" s="3">
        <f>+Tabla22[[#This Row],[Afiliados 2026]]</f>
        <v>0</v>
      </c>
      <c r="N298" s="3">
        <v>97029</v>
      </c>
      <c r="O298" s="3">
        <f>+Tabla22[[#This Row],[TMK 2026]]</f>
        <v>0</v>
      </c>
      <c r="P298" s="3">
        <v>4241</v>
      </c>
      <c r="Q298" s="3">
        <f>+Tabla22[[#This Row],[WA 2026]]</f>
        <v>0</v>
      </c>
      <c r="R298" s="3">
        <v>151103</v>
      </c>
      <c r="S298" s="3">
        <f>+Tabla22[[#This Row],[Ent. en Tienda 2026]]</f>
        <v>0</v>
      </c>
      <c r="T298" s="3">
        <v>627269</v>
      </c>
      <c r="U298" s="3">
        <f>+Tabla22[[#This Row],[Meli Drop 2026]]</f>
        <v>0</v>
      </c>
      <c r="V298" s="3">
        <v>217360</v>
      </c>
      <c r="W298" s="3">
        <f>+Tabla22[[#This Row],[Meli Full 2026]]</f>
        <v>0</v>
      </c>
      <c r="X298" s="3">
        <v>37546</v>
      </c>
      <c r="Y298" s="3">
        <f>+Tabla22[[#This Row],[Amazon Drop 2026]]</f>
        <v>0</v>
      </c>
      <c r="Z298" s="3">
        <v>11591</v>
      </c>
      <c r="AA298" s="3">
        <f>+Tabla22[[#This Row],[Amazon Full 2026]]</f>
        <v>0</v>
      </c>
      <c r="AB298" s="3">
        <v>2535.3793103448279</v>
      </c>
      <c r="AC298" s="3">
        <f>+Tabla22[[#This Row],[TikTok 2026]]</f>
        <v>0</v>
      </c>
      <c r="AD298" s="3">
        <v>0</v>
      </c>
      <c r="AE298" s="3">
        <f>+Tabla22[[#This Row],[Shein 2026]]</f>
        <v>0</v>
      </c>
      <c r="AF298" s="5">
        <f t="shared" si="71"/>
        <v>0</v>
      </c>
      <c r="AG298" s="4">
        <f t="shared" si="72"/>
        <v>0</v>
      </c>
      <c r="AH298" s="5">
        <f t="shared" si="73"/>
        <v>-7367077.6423787884</v>
      </c>
      <c r="AI298" s="17">
        <f t="shared" si="66"/>
        <v>-1</v>
      </c>
      <c r="AJ298" s="17">
        <f t="shared" si="67"/>
        <v>0.10721433301361773</v>
      </c>
      <c r="AK298" s="14" t="e">
        <f t="shared" si="68"/>
        <v>#DIV/0!</v>
      </c>
      <c r="AL298" s="14">
        <f t="shared" si="69"/>
        <v>-1</v>
      </c>
    </row>
    <row r="299" spans="1:38" x14ac:dyDescent="0.3">
      <c r="A299" s="7">
        <v>45954</v>
      </c>
      <c r="B299" s="3">
        <v>42069566</v>
      </c>
      <c r="C299" s="3">
        <f t="shared" si="70"/>
        <v>3572932.1379310349</v>
      </c>
      <c r="D299" s="4">
        <f>+Tabla22[[#This Row],[Share diario]]</f>
        <v>3.4383881858008974E-2</v>
      </c>
      <c r="E299" s="3">
        <f>+Tabla22[[#This Row],[Global 2026]]</f>
        <v>0</v>
      </c>
      <c r="F299" s="7">
        <v>46318</v>
      </c>
      <c r="G299" s="3">
        <f>+Tabla2[[#This Row],[Meta Digital]]+Tabla2[[#This Row],[Meta MKPlace]]</f>
        <v>6117405.2391095385</v>
      </c>
      <c r="H299" s="3">
        <f>+D299*Hoja1!$M$38</f>
        <v>4960387.614587537</v>
      </c>
      <c r="I299" s="3">
        <v>1157017.6245220019</v>
      </c>
      <c r="J299" s="3">
        <v>2656715</v>
      </c>
      <c r="K299" s="3">
        <f>+Tabla22[[#This Row],[Web + APP 2026]]</f>
        <v>0</v>
      </c>
      <c r="L299" s="3">
        <v>22585.344827586199</v>
      </c>
      <c r="M299" s="3">
        <f>+Tabla22[[#This Row],[Afiliados 2026]]</f>
        <v>0</v>
      </c>
      <c r="N299" s="3">
        <v>27735</v>
      </c>
      <c r="O299" s="3">
        <f>+Tabla22[[#This Row],[TMK 2026]]</f>
        <v>0</v>
      </c>
      <c r="P299" s="3">
        <v>1495</v>
      </c>
      <c r="Q299" s="3">
        <f>+Tabla22[[#This Row],[WA 2026]]</f>
        <v>0</v>
      </c>
      <c r="R299" s="3">
        <v>121228</v>
      </c>
      <c r="S299" s="3">
        <f>+Tabla22[[#This Row],[Ent. en Tienda 2026]]</f>
        <v>0</v>
      </c>
      <c r="T299" s="3">
        <v>505230</v>
      </c>
      <c r="U299" s="3">
        <f>+Tabla22[[#This Row],[Meli Drop 2026]]</f>
        <v>0</v>
      </c>
      <c r="V299" s="3">
        <v>186135</v>
      </c>
      <c r="W299" s="3">
        <f>+Tabla22[[#This Row],[Meli Full 2026]]</f>
        <v>0</v>
      </c>
      <c r="X299" s="3">
        <v>27757</v>
      </c>
      <c r="Y299" s="3">
        <f>+Tabla22[[#This Row],[Amazon Drop 2026]]</f>
        <v>0</v>
      </c>
      <c r="Z299" s="3">
        <v>5852</v>
      </c>
      <c r="AA299" s="3">
        <f>+Tabla22[[#This Row],[Amazon Full 2026]]</f>
        <v>0</v>
      </c>
      <c r="AB299" s="3">
        <v>17338.586206896554</v>
      </c>
      <c r="AC299" s="3">
        <f>+Tabla22[[#This Row],[TikTok 2026]]</f>
        <v>0</v>
      </c>
      <c r="AD299" s="3">
        <v>861.20689655172418</v>
      </c>
      <c r="AE299" s="3">
        <f>+Tabla22[[#This Row],[Shein 2026]]</f>
        <v>0</v>
      </c>
      <c r="AF299" s="5">
        <f t="shared" si="71"/>
        <v>0</v>
      </c>
      <c r="AG299" s="4">
        <f t="shared" si="72"/>
        <v>0</v>
      </c>
      <c r="AH299" s="5">
        <f t="shared" si="73"/>
        <v>-6117405.2391095385</v>
      </c>
      <c r="AI299" s="17">
        <f t="shared" si="66"/>
        <v>-1</v>
      </c>
      <c r="AJ299" s="17">
        <f t="shared" si="67"/>
        <v>8.4929141839281991E-2</v>
      </c>
      <c r="AK299" s="14" t="e">
        <f t="shared" si="68"/>
        <v>#DIV/0!</v>
      </c>
      <c r="AL299" s="14">
        <f t="shared" si="69"/>
        <v>-1</v>
      </c>
    </row>
    <row r="300" spans="1:38" x14ac:dyDescent="0.3">
      <c r="A300" s="63">
        <v>45955</v>
      </c>
      <c r="B300" s="3">
        <v>52693132</v>
      </c>
      <c r="C300" s="3">
        <f t="shared" si="70"/>
        <v>2815651.7241379311</v>
      </c>
      <c r="D300" s="4">
        <f>+Tabla22[[#This Row],[Share diario]]</f>
        <v>2.6498229966543843E-2</v>
      </c>
      <c r="E300" s="3">
        <f>+Tabla22[[#This Row],[Global 2026]]</f>
        <v>0</v>
      </c>
      <c r="F300" s="7">
        <v>46319</v>
      </c>
      <c r="G300" s="3">
        <f>+Tabla2[[#This Row],[Meta Digital]]+Tabla2[[#This Row],[Meta MKPlace]]</f>
        <v>4714430.1941785244</v>
      </c>
      <c r="H300" s="3">
        <f>+D300*Hoja1!$M$38</f>
        <v>3822764.7558043241</v>
      </c>
      <c r="I300" s="3">
        <v>891665.43837420037</v>
      </c>
      <c r="J300" s="3">
        <v>2019623</v>
      </c>
      <c r="K300" s="3">
        <f>+Tabla22[[#This Row],[Web + APP 2026]]</f>
        <v>0</v>
      </c>
      <c r="L300" s="3">
        <v>28974.999999999989</v>
      </c>
      <c r="M300" s="3">
        <f>+Tabla22[[#This Row],[Afiliados 2026]]</f>
        <v>0</v>
      </c>
      <c r="N300" s="3">
        <v>-2410</v>
      </c>
      <c r="O300" s="3">
        <f>+Tabla22[[#This Row],[TMK 2026]]</f>
        <v>0</v>
      </c>
      <c r="P300" s="3">
        <v>41</v>
      </c>
      <c r="Q300" s="3">
        <f>+Tabla22[[#This Row],[WA 2026]]</f>
        <v>0</v>
      </c>
      <c r="R300" s="3">
        <v>83407</v>
      </c>
      <c r="S300" s="3">
        <f>+Tabla22[[#This Row],[Ent. en Tienda 2026]]</f>
        <v>0</v>
      </c>
      <c r="T300" s="3">
        <v>490357</v>
      </c>
      <c r="U300" s="3">
        <f>+Tabla22[[#This Row],[Meli Drop 2026]]</f>
        <v>0</v>
      </c>
      <c r="V300" s="3">
        <v>162629</v>
      </c>
      <c r="W300" s="3">
        <f>+Tabla22[[#This Row],[Meli Full 2026]]</f>
        <v>0</v>
      </c>
      <c r="X300" s="3">
        <v>25730</v>
      </c>
      <c r="Y300" s="3">
        <f>+Tabla22[[#This Row],[Amazon Drop 2026]]</f>
        <v>0</v>
      </c>
      <c r="Z300" s="3">
        <v>6748</v>
      </c>
      <c r="AA300" s="3">
        <f>+Tabla22[[#This Row],[Amazon Full 2026]]</f>
        <v>0</v>
      </c>
      <c r="AB300" s="3">
        <v>551.72413793103453</v>
      </c>
      <c r="AC300" s="3">
        <f>+Tabla22[[#This Row],[TikTok 2026]]</f>
        <v>0</v>
      </c>
      <c r="AD300" s="3">
        <v>0</v>
      </c>
      <c r="AE300" s="3">
        <f>+Tabla22[[#This Row],[Shein 2026]]</f>
        <v>0</v>
      </c>
      <c r="AF300" s="5">
        <f t="shared" si="71"/>
        <v>0</v>
      </c>
      <c r="AG300" s="4">
        <f t="shared" si="72"/>
        <v>0</v>
      </c>
      <c r="AH300" s="5">
        <f t="shared" si="73"/>
        <v>-4714430.1941785244</v>
      </c>
      <c r="AI300" s="17">
        <f t="shared" si="66"/>
        <v>-1</v>
      </c>
      <c r="AJ300" s="17">
        <f t="shared" si="67"/>
        <v>5.3434890227021067E-2</v>
      </c>
      <c r="AK300" s="14" t="e">
        <f t="shared" si="68"/>
        <v>#DIV/0!</v>
      </c>
      <c r="AL300" s="14">
        <f t="shared" si="69"/>
        <v>-1</v>
      </c>
    </row>
    <row r="301" spans="1:38" x14ac:dyDescent="0.3">
      <c r="A301" s="7">
        <v>45956</v>
      </c>
      <c r="B301" s="3">
        <v>50632279</v>
      </c>
      <c r="C301" s="3">
        <f t="shared" si="70"/>
        <v>3536710.5172413792</v>
      </c>
      <c r="D301" s="4">
        <f>+Tabla22[[#This Row],[Share diario]]</f>
        <v>2.0881949057981995E-2</v>
      </c>
      <c r="E301" s="3">
        <f>+Tabla22[[#This Row],[Global 2026]]</f>
        <v>0</v>
      </c>
      <c r="F301" s="7">
        <v>46320</v>
      </c>
      <c r="G301" s="3">
        <f>+Tabla2[[#This Row],[Meta Digital]]+Tabla2[[#This Row],[Meta MKPlace]]</f>
        <v>3715210.0829581739</v>
      </c>
      <c r="H301" s="3">
        <f>+D301*Hoja1!$M$38</f>
        <v>3012532.4971570796</v>
      </c>
      <c r="I301" s="3">
        <v>702677.58580109407</v>
      </c>
      <c r="J301" s="3">
        <v>2657024</v>
      </c>
      <c r="K301" s="3">
        <f>+Tabla22[[#This Row],[Web + APP 2026]]</f>
        <v>0</v>
      </c>
      <c r="L301" s="3">
        <v>30806.034482758605</v>
      </c>
      <c r="M301" s="3">
        <f>+Tabla22[[#This Row],[Afiliados 2026]]</f>
        <v>0</v>
      </c>
      <c r="N301" s="3">
        <v>-4552</v>
      </c>
      <c r="O301" s="3">
        <f>+Tabla22[[#This Row],[TMK 2026]]</f>
        <v>0</v>
      </c>
      <c r="P301" s="3">
        <v>130</v>
      </c>
      <c r="Q301" s="3">
        <f>+Tabla22[[#This Row],[WA 2026]]</f>
        <v>0</v>
      </c>
      <c r="R301" s="3">
        <v>80354</v>
      </c>
      <c r="S301" s="3">
        <f>+Tabla22[[#This Row],[Ent. en Tienda 2026]]</f>
        <v>0</v>
      </c>
      <c r="T301" s="3">
        <v>573146</v>
      </c>
      <c r="U301" s="3">
        <f>+Tabla22[[#This Row],[Meli Drop 2026]]</f>
        <v>0</v>
      </c>
      <c r="V301" s="3">
        <v>162092</v>
      </c>
      <c r="W301" s="3">
        <f>+Tabla22[[#This Row],[Meli Full 2026]]</f>
        <v>0</v>
      </c>
      <c r="X301" s="3">
        <v>29698</v>
      </c>
      <c r="Y301" s="3">
        <f>+Tabla22[[#This Row],[Amazon Drop 2026]]</f>
        <v>0</v>
      </c>
      <c r="Z301" s="3">
        <v>3328</v>
      </c>
      <c r="AA301" s="3">
        <f>+Tabla22[[#This Row],[Amazon Full 2026]]</f>
        <v>0</v>
      </c>
      <c r="AB301" s="3">
        <v>3048.275862068966</v>
      </c>
      <c r="AC301" s="3">
        <f>+Tabla22[[#This Row],[TikTok 2026]]</f>
        <v>0</v>
      </c>
      <c r="AD301" s="3">
        <v>1636.2068965517242</v>
      </c>
      <c r="AE301" s="3">
        <f>+Tabla22[[#This Row],[Shein 2026]]</f>
        <v>0</v>
      </c>
      <c r="AF301" s="5">
        <f t="shared" si="71"/>
        <v>0</v>
      </c>
      <c r="AG301" s="4">
        <f t="shared" si="72"/>
        <v>0</v>
      </c>
      <c r="AH301" s="5">
        <f t="shared" si="73"/>
        <v>-3715210.0829581739</v>
      </c>
      <c r="AI301" s="17">
        <f t="shared" si="66"/>
        <v>-1</v>
      </c>
      <c r="AJ301" s="17">
        <f t="shared" si="67"/>
        <v>6.9850905135859662E-2</v>
      </c>
      <c r="AK301" s="14" t="e">
        <f t="shared" si="68"/>
        <v>#DIV/0!</v>
      </c>
      <c r="AL301" s="14">
        <f t="shared" si="69"/>
        <v>-1</v>
      </c>
    </row>
    <row r="302" spans="1:38" x14ac:dyDescent="0.3">
      <c r="A302" s="63">
        <v>45957</v>
      </c>
      <c r="B302" s="3">
        <v>27179504</v>
      </c>
      <c r="C302" s="3">
        <f t="shared" si="70"/>
        <v>4732069.568965517</v>
      </c>
      <c r="D302" s="4">
        <f>+Tabla22[[#This Row],[Share diario]]</f>
        <v>2.6229596587083348E-2</v>
      </c>
      <c r="E302" s="3">
        <f>+Tabla22[[#This Row],[Global 2026]]</f>
        <v>0</v>
      </c>
      <c r="F302" s="7">
        <v>46321</v>
      </c>
      <c r="G302" s="3">
        <f>+Tabla2[[#This Row],[Meta Digital]]+Tabla2[[#This Row],[Meta MKPlace]]</f>
        <v>4666636.3107043542</v>
      </c>
      <c r="H302" s="3">
        <f>+D302*Hoja1!$M$38</f>
        <v>3784010.3855489991</v>
      </c>
      <c r="I302" s="3">
        <v>882625.92515535466</v>
      </c>
      <c r="J302" s="3">
        <v>3776827</v>
      </c>
      <c r="K302" s="3">
        <f>+Tabla22[[#This Row],[Web + APP 2026]]</f>
        <v>0</v>
      </c>
      <c r="L302" s="3">
        <v>29792.24137931033</v>
      </c>
      <c r="M302" s="3">
        <f>+Tabla22[[#This Row],[Afiliados 2026]]</f>
        <v>0</v>
      </c>
      <c r="N302" s="3">
        <v>64916</v>
      </c>
      <c r="O302" s="3">
        <f>+Tabla22[[#This Row],[TMK 2026]]</f>
        <v>0</v>
      </c>
      <c r="P302" s="3">
        <v>3260</v>
      </c>
      <c r="Q302" s="3">
        <f>+Tabla22[[#This Row],[WA 2026]]</f>
        <v>0</v>
      </c>
      <c r="R302" s="3">
        <v>63746</v>
      </c>
      <c r="S302" s="3">
        <f>+Tabla22[[#This Row],[Ent. en Tienda 2026]]</f>
        <v>0</v>
      </c>
      <c r="T302" s="3">
        <v>549556</v>
      </c>
      <c r="U302" s="3">
        <f>+Tabla22[[#This Row],[Meli Drop 2026]]</f>
        <v>0</v>
      </c>
      <c r="V302" s="3">
        <v>173311</v>
      </c>
      <c r="W302" s="3">
        <f>+Tabla22[[#This Row],[Meli Full 2026]]</f>
        <v>0</v>
      </c>
      <c r="X302" s="3">
        <v>35148</v>
      </c>
      <c r="Y302" s="3">
        <f>+Tabla22[[#This Row],[Amazon Drop 2026]]</f>
        <v>0</v>
      </c>
      <c r="Z302" s="3">
        <v>7879</v>
      </c>
      <c r="AA302" s="3">
        <f>+Tabla22[[#This Row],[Amazon Full 2026]]</f>
        <v>0</v>
      </c>
      <c r="AB302" s="3">
        <v>26773.120689655178</v>
      </c>
      <c r="AC302" s="3">
        <f>+Tabla22[[#This Row],[TikTok 2026]]</f>
        <v>0</v>
      </c>
      <c r="AD302" s="3">
        <v>861.20689655172418</v>
      </c>
      <c r="AE302" s="3">
        <f>+Tabla22[[#This Row],[Shein 2026]]</f>
        <v>0</v>
      </c>
      <c r="AF302" s="5">
        <f t="shared" si="71"/>
        <v>0</v>
      </c>
      <c r="AG302" s="4">
        <f t="shared" si="72"/>
        <v>0</v>
      </c>
      <c r="AH302" s="5">
        <f t="shared" si="73"/>
        <v>-4666636.3107043542</v>
      </c>
      <c r="AI302" s="17">
        <f t="shared" si="66"/>
        <v>-1</v>
      </c>
      <c r="AJ302" s="17">
        <f t="shared" si="67"/>
        <v>0.17410433865774433</v>
      </c>
      <c r="AK302" s="14" t="e">
        <f t="shared" si="68"/>
        <v>#DIV/0!</v>
      </c>
      <c r="AL302" s="14">
        <f t="shared" si="69"/>
        <v>-1</v>
      </c>
    </row>
    <row r="303" spans="1:38" x14ac:dyDescent="0.3">
      <c r="A303" s="7">
        <v>45958</v>
      </c>
      <c r="B303" s="3">
        <v>30046512</v>
      </c>
      <c r="C303" s="3">
        <f t="shared" si="70"/>
        <v>4544797.0603448274</v>
      </c>
      <c r="D303" s="4">
        <f>+Tabla22[[#This Row],[Share diario]]</f>
        <v>3.5094836066139855E-2</v>
      </c>
      <c r="E303" s="3">
        <f>+Tabla22[[#This Row],[Global 2026]]</f>
        <v>0</v>
      </c>
      <c r="F303" s="7">
        <v>46322</v>
      </c>
      <c r="G303" s="3">
        <f>+Tabla2[[#This Row],[Meta Digital]]+Tabla2[[#This Row],[Meta MKPlace]]</f>
        <v>6243894.5929162782</v>
      </c>
      <c r="H303" s="3">
        <f>+D303*Hoja1!$M$38</f>
        <v>5062953.3592906725</v>
      </c>
      <c r="I303" s="3">
        <v>1180941.2336256062</v>
      </c>
      <c r="J303" s="3">
        <v>3810274</v>
      </c>
      <c r="K303" s="3">
        <f>+Tabla22[[#This Row],[Web + APP 2026]]</f>
        <v>0</v>
      </c>
      <c r="L303" s="3">
        <v>28745.689655172406</v>
      </c>
      <c r="M303" s="3">
        <f>+Tabla22[[#This Row],[Afiliados 2026]]</f>
        <v>0</v>
      </c>
      <c r="N303" s="3">
        <v>-671</v>
      </c>
      <c r="O303" s="3">
        <f>+Tabla22[[#This Row],[TMK 2026]]</f>
        <v>0</v>
      </c>
      <c r="P303" s="3">
        <v>2634</v>
      </c>
      <c r="Q303" s="3">
        <f>+Tabla22[[#This Row],[WA 2026]]</f>
        <v>0</v>
      </c>
      <c r="R303" s="3">
        <v>138347</v>
      </c>
      <c r="S303" s="3">
        <f>+Tabla22[[#This Row],[Ent. en Tienda 2026]]</f>
        <v>0</v>
      </c>
      <c r="T303" s="3">
        <v>371112</v>
      </c>
      <c r="U303" s="3">
        <f>+Tabla22[[#This Row],[Meli Drop 2026]]</f>
        <v>0</v>
      </c>
      <c r="V303" s="3">
        <v>145967</v>
      </c>
      <c r="W303" s="3">
        <f>+Tabla22[[#This Row],[Meli Full 2026]]</f>
        <v>0</v>
      </c>
      <c r="X303" s="3">
        <v>36008</v>
      </c>
      <c r="Y303" s="3">
        <f>+Tabla22[[#This Row],[Amazon Drop 2026]]</f>
        <v>0</v>
      </c>
      <c r="Z303" s="3">
        <v>9114</v>
      </c>
      <c r="AA303" s="3">
        <f>+Tabla22[[#This Row],[Amazon Full 2026]]</f>
        <v>0</v>
      </c>
      <c r="AB303" s="3">
        <v>682.75</v>
      </c>
      <c r="AC303" s="3">
        <f>+Tabla22[[#This Row],[TikTok 2026]]</f>
        <v>0</v>
      </c>
      <c r="AD303" s="3">
        <v>2583.6206896551726</v>
      </c>
      <c r="AE303" s="3">
        <f>+Tabla22[[#This Row],[Shein 2026]]</f>
        <v>0</v>
      </c>
      <c r="AF303" s="5">
        <f t="shared" si="71"/>
        <v>0</v>
      </c>
      <c r="AG303" s="4">
        <f t="shared" si="72"/>
        <v>0</v>
      </c>
      <c r="AH303" s="5">
        <f t="shared" si="73"/>
        <v>-6243894.5929162782</v>
      </c>
      <c r="AI303" s="17">
        <f t="shared" si="66"/>
        <v>-1</v>
      </c>
      <c r="AJ303" s="17">
        <f t="shared" si="67"/>
        <v>0.15125872381941796</v>
      </c>
      <c r="AK303" s="14" t="e">
        <f t="shared" si="68"/>
        <v>#DIV/0!</v>
      </c>
      <c r="AL303" s="14">
        <f t="shared" si="69"/>
        <v>-1</v>
      </c>
    </row>
    <row r="304" spans="1:38" x14ac:dyDescent="0.3">
      <c r="A304" s="63">
        <v>45959</v>
      </c>
      <c r="B304" s="3">
        <v>32503062</v>
      </c>
      <c r="C304" s="3">
        <f t="shared" si="70"/>
        <v>4303996.3017241387</v>
      </c>
      <c r="D304" s="4">
        <f>+Tabla22[[#This Row],[Share diario]]</f>
        <v>3.3705951584634943E-2</v>
      </c>
      <c r="E304" s="3">
        <f>+Tabla22[[#This Row],[Global 2026]]</f>
        <v>0</v>
      </c>
      <c r="F304" s="7">
        <v>46323</v>
      </c>
      <c r="G304" s="3">
        <f>+Tabla2[[#This Row],[Meta Digital]]+Tabla2[[#This Row],[Meta MKPlace]]</f>
        <v>5996791.3356760824</v>
      </c>
      <c r="H304" s="3">
        <f>+D304*Hoja1!$M$38</f>
        <v>4862586.0648531169</v>
      </c>
      <c r="I304" s="3">
        <v>1134205.2708229658</v>
      </c>
      <c r="J304" s="3">
        <v>3411835</v>
      </c>
      <c r="K304" s="3">
        <f>+Tabla22[[#This Row],[Web + APP 2026]]</f>
        <v>0</v>
      </c>
      <c r="L304" s="3">
        <v>32697.413793103438</v>
      </c>
      <c r="M304" s="3">
        <f>+Tabla22[[#This Row],[Afiliados 2026]]</f>
        <v>0</v>
      </c>
      <c r="N304" s="3">
        <v>103284</v>
      </c>
      <c r="O304" s="3">
        <f>+Tabla22[[#This Row],[TMK 2026]]</f>
        <v>0</v>
      </c>
      <c r="P304" s="3">
        <v>6626</v>
      </c>
      <c r="Q304" s="3">
        <f>+Tabla22[[#This Row],[WA 2026]]</f>
        <v>0</v>
      </c>
      <c r="R304" s="3">
        <v>99610</v>
      </c>
      <c r="S304" s="3">
        <f>+Tabla22[[#This Row],[Ent. en Tienda 2026]]</f>
        <v>0</v>
      </c>
      <c r="T304" s="3">
        <v>451504</v>
      </c>
      <c r="U304" s="3">
        <f>+Tabla22[[#This Row],[Meli Drop 2026]]</f>
        <v>0</v>
      </c>
      <c r="V304" s="3">
        <v>161597</v>
      </c>
      <c r="W304" s="3">
        <f>+Tabla22[[#This Row],[Meli Full 2026]]</f>
        <v>0</v>
      </c>
      <c r="X304" s="3">
        <v>29605</v>
      </c>
      <c r="Y304" s="3">
        <f>+Tabla22[[#This Row],[Amazon Drop 2026]]</f>
        <v>0</v>
      </c>
      <c r="Z304" s="3">
        <v>6174</v>
      </c>
      <c r="AA304" s="3">
        <f>+Tabla22[[#This Row],[Amazon Full 2026]]</f>
        <v>0</v>
      </c>
      <c r="AB304" s="3">
        <v>1063.8879310344828</v>
      </c>
      <c r="AC304" s="3">
        <f>+Tabla22[[#This Row],[TikTok 2026]]</f>
        <v>0</v>
      </c>
      <c r="AD304" s="3">
        <v>0</v>
      </c>
      <c r="AE304" s="3">
        <f>+Tabla22[[#This Row],[Shein 2026]]</f>
        <v>0</v>
      </c>
      <c r="AF304" s="5">
        <f t="shared" si="71"/>
        <v>0</v>
      </c>
      <c r="AG304" s="4">
        <f t="shared" si="72"/>
        <v>0</v>
      </c>
      <c r="AH304" s="5">
        <f t="shared" si="73"/>
        <v>-5996791.3356760824</v>
      </c>
      <c r="AI304" s="17">
        <f t="shared" si="66"/>
        <v>-1</v>
      </c>
      <c r="AJ304" s="17">
        <f t="shared" si="67"/>
        <v>0.13241817960794397</v>
      </c>
      <c r="AK304" s="14" t="e">
        <f t="shared" si="68"/>
        <v>#DIV/0!</v>
      </c>
      <c r="AL304" s="14">
        <f t="shared" si="69"/>
        <v>-1</v>
      </c>
    </row>
    <row r="305" spans="1:38" x14ac:dyDescent="0.3">
      <c r="A305" s="7">
        <v>45960</v>
      </c>
      <c r="B305" s="3">
        <v>36140823</v>
      </c>
      <c r="C305" s="3">
        <f t="shared" si="70"/>
        <v>3101286.1379310344</v>
      </c>
      <c r="D305" s="4">
        <f>+Tabla22[[#This Row],[Share diario]]</f>
        <v>3.1920081147771805E-2</v>
      </c>
      <c r="E305" s="3">
        <f>+Tabla22[[#This Row],[Global 2026]]</f>
        <v>0</v>
      </c>
      <c r="F305" s="7">
        <v>46324</v>
      </c>
      <c r="G305" s="3">
        <f>+Tabla2[[#This Row],[Meta Digital]]+Tabla2[[#This Row],[Meta MKPlace]]</f>
        <v>5679058.3579991404</v>
      </c>
      <c r="H305" s="3">
        <f>+D305*Hoja1!$M$38</f>
        <v>4604947.6273766188</v>
      </c>
      <c r="I305" s="3">
        <v>1074110.7306225211</v>
      </c>
      <c r="J305" s="3">
        <v>2388298</v>
      </c>
      <c r="K305" s="3">
        <f>+Tabla22[[#This Row],[Web + APP 2026]]</f>
        <v>0</v>
      </c>
      <c r="L305" s="3">
        <v>26326.724137931029</v>
      </c>
      <c r="M305" s="3">
        <f>+Tabla22[[#This Row],[Afiliados 2026]]</f>
        <v>0</v>
      </c>
      <c r="N305" s="3">
        <v>50337</v>
      </c>
      <c r="O305" s="3">
        <f>+Tabla22[[#This Row],[TMK 2026]]</f>
        <v>0</v>
      </c>
      <c r="P305" s="3">
        <v>4122</v>
      </c>
      <c r="Q305" s="3">
        <f>+Tabla22[[#This Row],[WA 2026]]</f>
        <v>0</v>
      </c>
      <c r="R305" s="3">
        <v>122069</v>
      </c>
      <c r="S305" s="3">
        <f>+Tabla22[[#This Row],[Ent. en Tienda 2026]]</f>
        <v>0</v>
      </c>
      <c r="T305" s="3">
        <v>313708</v>
      </c>
      <c r="U305" s="3">
        <f>+Tabla22[[#This Row],[Meli Drop 2026]]</f>
        <v>0</v>
      </c>
      <c r="V305" s="3">
        <v>168402</v>
      </c>
      <c r="W305" s="3">
        <f>+Tabla22[[#This Row],[Meli Full 2026]]</f>
        <v>0</v>
      </c>
      <c r="X305" s="3">
        <v>24166</v>
      </c>
      <c r="Y305" s="3">
        <f>+Tabla22[[#This Row],[Amazon Drop 2026]]</f>
        <v>0</v>
      </c>
      <c r="Z305" s="3">
        <v>3722</v>
      </c>
      <c r="AA305" s="3">
        <f>+Tabla22[[#This Row],[Amazon Full 2026]]</f>
        <v>0</v>
      </c>
      <c r="AB305" s="3">
        <v>135.41379310344826</v>
      </c>
      <c r="AC305" s="3">
        <f>+Tabla22[[#This Row],[TikTok 2026]]</f>
        <v>0</v>
      </c>
      <c r="AD305" s="3">
        <v>0</v>
      </c>
      <c r="AE305" s="3">
        <f>+Tabla22[[#This Row],[Shein 2026]]</f>
        <v>0</v>
      </c>
      <c r="AF305" s="5">
        <f t="shared" si="71"/>
        <v>0</v>
      </c>
      <c r="AG305" s="4">
        <f t="shared" si="72"/>
        <v>0</v>
      </c>
      <c r="AH305" s="5">
        <f t="shared" si="73"/>
        <v>-5679058.3579991404</v>
      </c>
      <c r="AI305" s="17">
        <f t="shared" si="66"/>
        <v>-1</v>
      </c>
      <c r="AJ305" s="17">
        <f t="shared" si="67"/>
        <v>8.5811165338737158E-2</v>
      </c>
      <c r="AK305" s="14" t="e">
        <f t="shared" si="68"/>
        <v>#DIV/0!</v>
      </c>
      <c r="AL305" s="14">
        <f t="shared" si="69"/>
        <v>-1</v>
      </c>
    </row>
    <row r="306" spans="1:38" x14ac:dyDescent="0.3">
      <c r="A306" s="63">
        <v>45961</v>
      </c>
      <c r="B306" s="3">
        <v>37148684</v>
      </c>
      <c r="C306" s="3">
        <f t="shared" si="70"/>
        <v>3448289.0948275863</v>
      </c>
      <c r="D306" s="4">
        <f>+Tabla22[[#This Row],[Share diario]]</f>
        <v>2.3000323012722548E-2</v>
      </c>
      <c r="E306" s="3">
        <f>+Tabla22[[#This Row],[Global 2026]]</f>
        <v>0</v>
      </c>
      <c r="F306" s="7">
        <v>46325</v>
      </c>
      <c r="G306" s="3">
        <f>+Tabla2[[#This Row],[Meta Digital]]+Tabla2[[#This Row],[Meta MKPlace]]</f>
        <v>4092100.3940242161</v>
      </c>
      <c r="H306" s="3">
        <f>+D306*Hoja1!$M$38</f>
        <v>3318139.5246461025</v>
      </c>
      <c r="I306" s="3">
        <v>773960.86937811377</v>
      </c>
      <c r="J306" s="3">
        <v>2518660</v>
      </c>
      <c r="K306" s="3">
        <f>+Tabla22[[#This Row],[Web + APP 2026]]</f>
        <v>0</v>
      </c>
      <c r="L306" s="3">
        <v>25826.724137931025</v>
      </c>
      <c r="M306" s="3">
        <f>+Tabla22[[#This Row],[Afiliados 2026]]</f>
        <v>0</v>
      </c>
      <c r="N306" s="3">
        <v>91252</v>
      </c>
      <c r="O306" s="3">
        <f>+Tabla22[[#This Row],[TMK 2026]]</f>
        <v>0</v>
      </c>
      <c r="P306" s="3">
        <v>2632</v>
      </c>
      <c r="Q306" s="3">
        <f>+Tabla22[[#This Row],[WA 2026]]</f>
        <v>0</v>
      </c>
      <c r="R306" s="3">
        <v>75677</v>
      </c>
      <c r="S306" s="3">
        <f>+Tabla22[[#This Row],[Ent. en Tienda 2026]]</f>
        <v>0</v>
      </c>
      <c r="T306" s="3">
        <v>539551</v>
      </c>
      <c r="U306" s="3">
        <f>+Tabla22[[#This Row],[Meli Drop 2026]]</f>
        <v>0</v>
      </c>
      <c r="V306" s="3">
        <v>143470</v>
      </c>
      <c r="W306" s="3">
        <f>+Tabla22[[#This Row],[Meli Full 2026]]</f>
        <v>0</v>
      </c>
      <c r="X306" s="3">
        <v>48956</v>
      </c>
      <c r="Y306" s="3">
        <f>+Tabla22[[#This Row],[Amazon Drop 2026]]</f>
        <v>0</v>
      </c>
      <c r="Z306" s="3">
        <v>2157</v>
      </c>
      <c r="AA306" s="3">
        <f>+Tabla22[[#This Row],[Amazon Full 2026]]</f>
        <v>0</v>
      </c>
      <c r="AB306" s="3">
        <v>-667.62931034482745</v>
      </c>
      <c r="AC306" s="3">
        <f>+Tabla22[[#This Row],[TikTok 2026]]</f>
        <v>0</v>
      </c>
      <c r="AD306" s="3">
        <v>775</v>
      </c>
      <c r="AE306" s="3">
        <f>+Tabla22[[#This Row],[Shein 2026]]</f>
        <v>0</v>
      </c>
      <c r="AF306" s="5">
        <f t="shared" si="71"/>
        <v>0</v>
      </c>
      <c r="AG306" s="4">
        <f t="shared" si="72"/>
        <v>0</v>
      </c>
      <c r="AH306" s="5">
        <f t="shared" si="73"/>
        <v>-4092100.3940242161</v>
      </c>
      <c r="AI306" s="17">
        <f t="shared" si="66"/>
        <v>-1</v>
      </c>
      <c r="AJ306" s="17">
        <f t="shared" si="67"/>
        <v>9.2823990611015622E-2</v>
      </c>
      <c r="AK306" s="14" t="e">
        <f t="shared" si="68"/>
        <v>#DIV/0!</v>
      </c>
      <c r="AL306" s="14">
        <f t="shared" si="69"/>
        <v>-1</v>
      </c>
    </row>
    <row r="307" spans="1:38" x14ac:dyDescent="0.3">
      <c r="A307" s="7">
        <v>45962</v>
      </c>
      <c r="B307" s="3">
        <v>38306116</v>
      </c>
      <c r="C307" s="3">
        <f t="shared" si="70"/>
        <v>2349410.4827586208</v>
      </c>
      <c r="D307" s="4">
        <f>+Tabla22[[#This Row],[Share diario]]</f>
        <v>2.5573829532283827E-2</v>
      </c>
      <c r="E307" s="3">
        <f>+Tabla22[[#This Row],[Global 2026]]</f>
        <v>0</v>
      </c>
      <c r="F307" s="7">
        <v>46326</v>
      </c>
      <c r="G307" s="3">
        <f>+Tabla2[[#This Row],[Meta Digital]]+Tabla2[[#This Row],[Meta MKPlace]]</f>
        <v>4549965.5743043097</v>
      </c>
      <c r="H307" s="3">
        <f>+D307*Hoja1!$M$38</f>
        <v>3689406.2105429592</v>
      </c>
      <c r="I307" s="3">
        <v>860559.36376135075</v>
      </c>
      <c r="J307" s="3">
        <v>1683835</v>
      </c>
      <c r="K307" s="3">
        <f>+Tabla22[[#This Row],[Web + APP 2026]]</f>
        <v>0</v>
      </c>
      <c r="L307" s="3">
        <v>24736.206896551717</v>
      </c>
      <c r="M307" s="3">
        <f>+Tabla22[[#This Row],[Afiliados 2026]]</f>
        <v>0</v>
      </c>
      <c r="N307" s="3">
        <v>-1342</v>
      </c>
      <c r="O307" s="3">
        <f>+Tabla22[[#This Row],[TMK 2026]]</f>
        <v>0</v>
      </c>
      <c r="P307" s="3">
        <v>3614</v>
      </c>
      <c r="Q307" s="3">
        <f>+Tabla22[[#This Row],[WA 2026]]</f>
        <v>0</v>
      </c>
      <c r="R307" s="3">
        <v>101714</v>
      </c>
      <c r="S307" s="3">
        <f>+Tabla22[[#This Row],[Ent. en Tienda 2026]]</f>
        <v>0</v>
      </c>
      <c r="T307" s="3">
        <v>370351</v>
      </c>
      <c r="U307" s="3">
        <f>+Tabla22[[#This Row],[Meli Drop 2026]]</f>
        <v>0</v>
      </c>
      <c r="V307" s="3">
        <v>133732</v>
      </c>
      <c r="W307" s="3">
        <f>+Tabla22[[#This Row],[Meli Full 2026]]</f>
        <v>0</v>
      </c>
      <c r="X307" s="3">
        <v>24368</v>
      </c>
      <c r="Y307" s="3">
        <f>+Tabla22[[#This Row],[Amazon Drop 2026]]</f>
        <v>0</v>
      </c>
      <c r="Z307" s="3">
        <v>7154</v>
      </c>
      <c r="AA307" s="3">
        <f>+Tabla22[[#This Row],[Amazon Full 2026]]</f>
        <v>0</v>
      </c>
      <c r="AB307" s="3">
        <v>1248.2758620689656</v>
      </c>
      <c r="AC307" s="3">
        <f>+Tabla22[[#This Row],[TikTok 2026]]</f>
        <v>0</v>
      </c>
      <c r="AD307" s="3">
        <v>0</v>
      </c>
      <c r="AE307" s="3">
        <f>+Tabla22[[#This Row],[Shein 2026]]</f>
        <v>0</v>
      </c>
      <c r="AF307" s="5">
        <f t="shared" si="71"/>
        <v>0</v>
      </c>
      <c r="AG307" s="4">
        <f t="shared" si="72"/>
        <v>0</v>
      </c>
      <c r="AH307" s="5">
        <f t="shared" si="73"/>
        <v>-4549965.5743043097</v>
      </c>
      <c r="AI307" s="17">
        <f t="shared" si="66"/>
        <v>-1</v>
      </c>
      <c r="AJ307" s="17">
        <f t="shared" si="67"/>
        <v>6.1332516268645478E-2</v>
      </c>
      <c r="AK307" s="14" t="e">
        <f t="shared" si="68"/>
        <v>#DIV/0!</v>
      </c>
      <c r="AL307" s="14">
        <f t="shared" si="69"/>
        <v>-1</v>
      </c>
    </row>
    <row r="308" spans="1:38" x14ac:dyDescent="0.3">
      <c r="A308" s="63">
        <v>45963</v>
      </c>
      <c r="B308" s="3">
        <v>39057895</v>
      </c>
      <c r="C308" s="3">
        <f t="shared" si="70"/>
        <v>3066697.2413793104</v>
      </c>
      <c r="D308" s="4">
        <f>+Tabla22[[#This Row],[Share diario]]</f>
        <v>1.3946712552076792E-2</v>
      </c>
      <c r="E308" s="3">
        <f>+Tabla22[[#This Row],[Global 2026]]</f>
        <v>0</v>
      </c>
      <c r="F308" s="7">
        <v>46327</v>
      </c>
      <c r="G308" s="3">
        <f>+Tabla2[[#This Row],[Meta Digital]]+Tabla2[[#This Row],[Meta MKPlace]]</f>
        <v>3110764.8606373481</v>
      </c>
      <c r="H308" s="3">
        <v>2347879.6840387476</v>
      </c>
      <c r="I308" s="3">
        <v>762885.17659860058</v>
      </c>
      <c r="J308" s="3">
        <v>2484015</v>
      </c>
      <c r="K308" s="3">
        <f>+Tabla22[[#This Row],[Web + APP 2026]]</f>
        <v>0</v>
      </c>
      <c r="L308" s="3">
        <v>31896.551724137917</v>
      </c>
      <c r="M308" s="3">
        <f>+Tabla22[[#This Row],[Afiliados 2026]]</f>
        <v>0</v>
      </c>
      <c r="N308" s="3">
        <v>5110</v>
      </c>
      <c r="O308" s="3">
        <f>+Tabla22[[#This Row],[TMK 2026]]</f>
        <v>0</v>
      </c>
      <c r="P308" s="3">
        <v>809</v>
      </c>
      <c r="Q308" s="3">
        <f>+Tabla22[[#This Row],[WA 2026]]</f>
        <v>0</v>
      </c>
      <c r="R308" s="3">
        <v>79521</v>
      </c>
      <c r="S308" s="3">
        <f>+Tabla22[[#This Row],[Ent. en Tienda 2026]]</f>
        <v>0</v>
      </c>
      <c r="T308" s="3">
        <v>252270</v>
      </c>
      <c r="U308" s="3">
        <f>+Tabla22[[#This Row],[Meli Drop 2026]]</f>
        <v>0</v>
      </c>
      <c r="V308" s="3">
        <v>160805</v>
      </c>
      <c r="W308" s="3">
        <f>+Tabla22[[#This Row],[Meli Full 2026]]</f>
        <v>0</v>
      </c>
      <c r="X308" s="3">
        <v>44223</v>
      </c>
      <c r="Y308" s="3">
        <f>+Tabla22[[#This Row],[Amazon Drop 2026]]</f>
        <v>0</v>
      </c>
      <c r="Z308" s="3">
        <v>6928</v>
      </c>
      <c r="AA308" s="3">
        <f>+Tabla22[[#This Row],[Amazon Full 2026]]</f>
        <v>0</v>
      </c>
      <c r="AB308" s="3">
        <v>1119.6896551724139</v>
      </c>
      <c r="AC308" s="3">
        <f>+Tabla22[[#This Row],[TikTok 2026]]</f>
        <v>0</v>
      </c>
      <c r="AD308" s="3">
        <v>0</v>
      </c>
      <c r="AE308" s="3">
        <f>+Tabla22[[#This Row],[Shein 2026]]</f>
        <v>0</v>
      </c>
      <c r="AF308" s="5">
        <f t="shared" si="71"/>
        <v>0</v>
      </c>
      <c r="AG308" s="4">
        <f t="shared" si="72"/>
        <v>0</v>
      </c>
      <c r="AH308" s="5">
        <f t="shared" si="73"/>
        <v>-3110764.8606373481</v>
      </c>
      <c r="AI308" s="17">
        <f t="shared" si="66"/>
        <v>-1</v>
      </c>
      <c r="AJ308" s="17">
        <f t="shared" si="67"/>
        <v>7.8516705556695016E-2</v>
      </c>
      <c r="AK308" s="14" t="e">
        <f t="shared" si="68"/>
        <v>#DIV/0!</v>
      </c>
      <c r="AL308" s="14">
        <f t="shared" si="69"/>
        <v>-1</v>
      </c>
    </row>
    <row r="309" spans="1:38" x14ac:dyDescent="0.3">
      <c r="A309" s="7">
        <v>45964</v>
      </c>
      <c r="B309" s="3">
        <v>34119561</v>
      </c>
      <c r="C309" s="3">
        <f t="shared" si="70"/>
        <v>4161735.8965517245</v>
      </c>
      <c r="D309" s="4">
        <f>+Tabla22[[#This Row],[Share diario]]</f>
        <v>1.8204713575443062E-2</v>
      </c>
      <c r="E309" s="3">
        <f>+Tabla22[[#This Row],[Global 2026]]</f>
        <v>0</v>
      </c>
      <c r="F309" s="7">
        <v>46328</v>
      </c>
      <c r="G309" s="3">
        <f>+Tabla2[[#This Row],[Meta Digital]]+Tabla2[[#This Row],[Meta MKPlace]]</f>
        <v>4060496.9147387473</v>
      </c>
      <c r="H309" s="3">
        <v>3064699.0821620119</v>
      </c>
      <c r="I309" s="3">
        <v>995797.83257673553</v>
      </c>
      <c r="J309" s="3">
        <v>3169867</v>
      </c>
      <c r="K309" s="3">
        <f>+Tabla22[[#This Row],[Web + APP 2026]]</f>
        <v>0</v>
      </c>
      <c r="L309" s="3">
        <v>37387.068965517225</v>
      </c>
      <c r="M309" s="3">
        <f>+Tabla22[[#This Row],[Afiliados 2026]]</f>
        <v>0</v>
      </c>
      <c r="N309" s="3">
        <v>28365</v>
      </c>
      <c r="O309" s="3">
        <f>+Tabla22[[#This Row],[TMK 2026]]</f>
        <v>0</v>
      </c>
      <c r="P309" s="3">
        <v>5684</v>
      </c>
      <c r="Q309" s="3">
        <f>+Tabla22[[#This Row],[WA 2026]]</f>
        <v>0</v>
      </c>
      <c r="R309" s="3">
        <v>68529</v>
      </c>
      <c r="S309" s="3">
        <f>+Tabla22[[#This Row],[Ent. en Tienda 2026]]</f>
        <v>0</v>
      </c>
      <c r="T309" s="3">
        <v>675820</v>
      </c>
      <c r="U309" s="3">
        <f>+Tabla22[[#This Row],[Meli Drop 2026]]</f>
        <v>0</v>
      </c>
      <c r="V309" s="3">
        <v>143167</v>
      </c>
      <c r="W309" s="3">
        <f>+Tabla22[[#This Row],[Meli Full 2026]]</f>
        <v>0</v>
      </c>
      <c r="X309" s="3">
        <v>26685</v>
      </c>
      <c r="Y309" s="3">
        <f>+Tabla22[[#This Row],[Amazon Drop 2026]]</f>
        <v>0</v>
      </c>
      <c r="Z309" s="3">
        <v>6387</v>
      </c>
      <c r="AA309" s="3">
        <f>+Tabla22[[#This Row],[Amazon Full 2026]]</f>
        <v>0</v>
      </c>
      <c r="AB309" s="3">
        <v>-155.17241379310337</v>
      </c>
      <c r="AC309" s="3">
        <f>+Tabla22[[#This Row],[TikTok 2026]]</f>
        <v>0</v>
      </c>
      <c r="AD309" s="3">
        <v>0</v>
      </c>
      <c r="AE309" s="3">
        <f>+Tabla22[[#This Row],[Shein 2026]]</f>
        <v>0</v>
      </c>
      <c r="AF309" s="5">
        <f t="shared" si="71"/>
        <v>0</v>
      </c>
      <c r="AG309" s="4">
        <f t="shared" si="72"/>
        <v>0</v>
      </c>
      <c r="AH309" s="5">
        <f t="shared" si="73"/>
        <v>-4060496.9147387473</v>
      </c>
      <c r="AI309" s="17">
        <f t="shared" si="66"/>
        <v>-1</v>
      </c>
      <c r="AJ309" s="17">
        <f t="shared" si="67"/>
        <v>0.12197507161805876</v>
      </c>
      <c r="AK309" s="14" t="e">
        <f t="shared" si="68"/>
        <v>#DIV/0!</v>
      </c>
      <c r="AL309" s="14">
        <f t="shared" si="69"/>
        <v>-1</v>
      </c>
    </row>
    <row r="310" spans="1:38" x14ac:dyDescent="0.3">
      <c r="A310" s="63">
        <v>45965</v>
      </c>
      <c r="B310" s="3">
        <v>36354046</v>
      </c>
      <c r="C310" s="3">
        <f t="shared" si="70"/>
        <v>6443543.4827586198</v>
      </c>
      <c r="D310" s="4">
        <f>+Tabla22[[#This Row],[Share diario]]</f>
        <v>2.4705148245833294E-2</v>
      </c>
      <c r="E310" s="3">
        <f>+Tabla22[[#This Row],[Global 2026]]</f>
        <v>0</v>
      </c>
      <c r="F310" s="7">
        <v>46329</v>
      </c>
      <c r="G310" s="3">
        <f>+Tabla2[[#This Row],[Meta Digital]]+Tabla2[[#This Row],[Meta MKPlace]]</f>
        <v>5510395.8551530261</v>
      </c>
      <c r="H310" s="3">
        <v>4159024.2461059447</v>
      </c>
      <c r="I310" s="3">
        <v>1351371.6090470811</v>
      </c>
      <c r="J310" s="3">
        <v>5275115</v>
      </c>
      <c r="K310" s="3">
        <f>+Tabla22[[#This Row],[Web + APP 2026]]</f>
        <v>0</v>
      </c>
      <c r="L310" s="3">
        <v>48925.862068965485</v>
      </c>
      <c r="M310" s="3">
        <f>+Tabla22[[#This Row],[Afiliados 2026]]</f>
        <v>0</v>
      </c>
      <c r="N310" s="3">
        <v>61590</v>
      </c>
      <c r="O310" s="3">
        <f>+Tabla22[[#This Row],[TMK 2026]]</f>
        <v>0</v>
      </c>
      <c r="P310" s="3">
        <v>4784</v>
      </c>
      <c r="Q310" s="3">
        <f>+Tabla22[[#This Row],[WA 2026]]</f>
        <v>0</v>
      </c>
      <c r="R310" s="3">
        <v>164572</v>
      </c>
      <c r="S310" s="3">
        <f>+Tabla22[[#This Row],[Ent. en Tienda 2026]]</f>
        <v>0</v>
      </c>
      <c r="T310" s="3">
        <v>705965</v>
      </c>
      <c r="U310" s="3">
        <f>+Tabla22[[#This Row],[Meli Drop 2026]]</f>
        <v>0</v>
      </c>
      <c r="V310" s="3">
        <v>121452</v>
      </c>
      <c r="W310" s="3">
        <f>+Tabla22[[#This Row],[Meli Full 2026]]</f>
        <v>0</v>
      </c>
      <c r="X310" s="3">
        <v>50681</v>
      </c>
      <c r="Y310" s="3">
        <f>+Tabla22[[#This Row],[Amazon Drop 2026]]</f>
        <v>0</v>
      </c>
      <c r="Z310" s="3">
        <v>6631</v>
      </c>
      <c r="AA310" s="3">
        <f>+Tabla22[[#This Row],[Amazon Full 2026]]</f>
        <v>0</v>
      </c>
      <c r="AB310" s="3">
        <v>2450.0344827586209</v>
      </c>
      <c r="AC310" s="3">
        <f>+Tabla22[[#This Row],[TikTok 2026]]</f>
        <v>0</v>
      </c>
      <c r="AD310" s="3">
        <v>1377.5862068965519</v>
      </c>
      <c r="AE310" s="3">
        <f>+Tabla22[[#This Row],[Shein 2026]]</f>
        <v>0</v>
      </c>
      <c r="AF310" s="5">
        <f t="shared" si="71"/>
        <v>0</v>
      </c>
      <c r="AG310" s="4">
        <f t="shared" si="72"/>
        <v>0</v>
      </c>
      <c r="AH310" s="5">
        <f t="shared" si="73"/>
        <v>-5510395.8551530261</v>
      </c>
      <c r="AI310" s="17">
        <f t="shared" si="66"/>
        <v>-1</v>
      </c>
      <c r="AJ310" s="17">
        <f t="shared" si="67"/>
        <v>0.17724419127264734</v>
      </c>
      <c r="AK310" s="14" t="e">
        <f t="shared" si="68"/>
        <v>#DIV/0!</v>
      </c>
      <c r="AL310" s="14">
        <f t="shared" si="69"/>
        <v>-1</v>
      </c>
    </row>
    <row r="311" spans="1:38" x14ac:dyDescent="0.3">
      <c r="A311" s="7">
        <v>45966</v>
      </c>
      <c r="B311" s="3">
        <v>40657652</v>
      </c>
      <c r="C311" s="3">
        <f t="shared" si="70"/>
        <v>6030961.8275862075</v>
      </c>
      <c r="D311" s="4">
        <f>+Tabla22[[#This Row],[Share diario]]</f>
        <v>3.8250552396158322E-2</v>
      </c>
      <c r="E311" s="3">
        <f>+Tabla22[[#This Row],[Global 2026]]</f>
        <v>0</v>
      </c>
      <c r="F311" s="7">
        <v>46330</v>
      </c>
      <c r="G311" s="3">
        <f>+Tabla2[[#This Row],[Meta Digital]]+Tabla2[[#This Row],[Meta MKPlace]]</f>
        <v>8531650.297490254</v>
      </c>
      <c r="H311" s="3">
        <v>6439345.0814203937</v>
      </c>
      <c r="I311" s="3">
        <v>2092305.2160698602</v>
      </c>
      <c r="J311" s="3">
        <v>4794794</v>
      </c>
      <c r="K311" s="3">
        <f>+Tabla22[[#This Row],[Web + APP 2026]]</f>
        <v>0</v>
      </c>
      <c r="L311" s="3">
        <v>47206.896551724116</v>
      </c>
      <c r="M311" s="3">
        <f>+Tabla22[[#This Row],[Afiliados 2026]]</f>
        <v>0</v>
      </c>
      <c r="N311" s="3">
        <v>52913</v>
      </c>
      <c r="O311" s="3">
        <f>+Tabla22[[#This Row],[TMK 2026]]</f>
        <v>0</v>
      </c>
      <c r="P311" s="3">
        <v>9080</v>
      </c>
      <c r="Q311" s="3">
        <f>+Tabla22[[#This Row],[WA 2026]]</f>
        <v>0</v>
      </c>
      <c r="R311" s="3">
        <v>121112</v>
      </c>
      <c r="S311" s="3">
        <f>+Tabla22[[#This Row],[Ent. en Tienda 2026]]</f>
        <v>0</v>
      </c>
      <c r="T311" s="3">
        <v>807271</v>
      </c>
      <c r="U311" s="3">
        <f>+Tabla22[[#This Row],[Meli Drop 2026]]</f>
        <v>0</v>
      </c>
      <c r="V311" s="3">
        <v>136768</v>
      </c>
      <c r="W311" s="3">
        <f>+Tabla22[[#This Row],[Meli Full 2026]]</f>
        <v>0</v>
      </c>
      <c r="X311" s="3">
        <v>42494</v>
      </c>
      <c r="Y311" s="3">
        <f>+Tabla22[[#This Row],[Amazon Drop 2026]]</f>
        <v>0</v>
      </c>
      <c r="Z311" s="3">
        <v>12012</v>
      </c>
      <c r="AA311" s="3">
        <f>+Tabla22[[#This Row],[Amazon Full 2026]]</f>
        <v>0</v>
      </c>
      <c r="AB311" s="3">
        <v>7310.9310344827591</v>
      </c>
      <c r="AC311" s="3">
        <f>+Tabla22[[#This Row],[TikTok 2026]]</f>
        <v>0</v>
      </c>
      <c r="AD311" s="3">
        <v>0</v>
      </c>
      <c r="AE311" s="3">
        <f>+Tabla22[[#This Row],[Shein 2026]]</f>
        <v>0</v>
      </c>
      <c r="AF311" s="5">
        <f t="shared" si="71"/>
        <v>0</v>
      </c>
      <c r="AG311" s="4">
        <f t="shared" si="72"/>
        <v>0</v>
      </c>
      <c r="AH311" s="5">
        <f t="shared" si="73"/>
        <v>-8531650.297490254</v>
      </c>
      <c r="AI311" s="17">
        <f t="shared" si="66"/>
        <v>-1</v>
      </c>
      <c r="AJ311" s="17">
        <f t="shared" si="67"/>
        <v>0.14833522180735395</v>
      </c>
      <c r="AK311" s="14" t="e">
        <f t="shared" si="68"/>
        <v>#DIV/0!</v>
      </c>
      <c r="AL311" s="14">
        <f t="shared" si="69"/>
        <v>-1</v>
      </c>
    </row>
    <row r="312" spans="1:38" x14ac:dyDescent="0.3">
      <c r="A312" s="63">
        <v>45967</v>
      </c>
      <c r="B312" s="3">
        <v>45608200</v>
      </c>
      <c r="C312" s="3">
        <f t="shared" si="70"/>
        <v>4806098.6810344821</v>
      </c>
      <c r="D312" s="4">
        <f>+Tabla22[[#This Row],[Share diario]]</f>
        <v>3.5801360230218335E-2</v>
      </c>
      <c r="E312" s="3">
        <f>+Tabla22[[#This Row],[Global 2026]]</f>
        <v>0</v>
      </c>
      <c r="F312" s="7">
        <v>46331</v>
      </c>
      <c r="G312" s="3">
        <f>+Tabla2[[#This Row],[Meta Digital]]+Tabla2[[#This Row],[Meta MKPlace]]</f>
        <v>7985366.6554989479</v>
      </c>
      <c r="H312" s="3">
        <v>6027032.2509060046</v>
      </c>
      <c r="I312" s="3">
        <v>1958334.4045929429</v>
      </c>
      <c r="J312" s="3">
        <v>3788708</v>
      </c>
      <c r="K312" s="3">
        <f>+Tabla22[[#This Row],[Web + APP 2026]]</f>
        <v>0</v>
      </c>
      <c r="L312" s="3">
        <v>42858.620689655145</v>
      </c>
      <c r="M312" s="3">
        <f>+Tabla22[[#This Row],[Afiliados 2026]]</f>
        <v>0</v>
      </c>
      <c r="N312" s="3">
        <v>75396</v>
      </c>
      <c r="O312" s="3">
        <f>+Tabla22[[#This Row],[TMK 2026]]</f>
        <v>0</v>
      </c>
      <c r="P312" s="3">
        <v>1642</v>
      </c>
      <c r="Q312" s="3">
        <f>+Tabla22[[#This Row],[WA 2026]]</f>
        <v>0</v>
      </c>
      <c r="R312" s="3">
        <v>128834</v>
      </c>
      <c r="S312" s="3">
        <f>+Tabla22[[#This Row],[Ent. en Tienda 2026]]</f>
        <v>0</v>
      </c>
      <c r="T312" s="3">
        <v>597718</v>
      </c>
      <c r="U312" s="3">
        <f>+Tabla22[[#This Row],[Meli Drop 2026]]</f>
        <v>0</v>
      </c>
      <c r="V312" s="3">
        <v>113410</v>
      </c>
      <c r="W312" s="3">
        <f>+Tabla22[[#This Row],[Meli Full 2026]]</f>
        <v>0</v>
      </c>
      <c r="X312" s="3">
        <v>31381</v>
      </c>
      <c r="Y312" s="3">
        <f>+Tabla22[[#This Row],[Amazon Drop 2026]]</f>
        <v>0</v>
      </c>
      <c r="Z312" s="3">
        <v>18407</v>
      </c>
      <c r="AA312" s="3">
        <f>+Tabla22[[#This Row],[Amazon Full 2026]]</f>
        <v>0</v>
      </c>
      <c r="AB312" s="3">
        <v>7744.0603448275879</v>
      </c>
      <c r="AC312" s="3">
        <f>+Tabla22[[#This Row],[TikTok 2026]]</f>
        <v>0</v>
      </c>
      <c r="AD312" s="3">
        <v>0</v>
      </c>
      <c r="AE312" s="3">
        <f>+Tabla22[[#This Row],[Shein 2026]]</f>
        <v>0</v>
      </c>
      <c r="AF312" s="5">
        <f t="shared" si="71"/>
        <v>0</v>
      </c>
      <c r="AG312" s="4">
        <f t="shared" si="72"/>
        <v>0</v>
      </c>
      <c r="AH312" s="5">
        <f t="shared" si="73"/>
        <v>-7985366.6554989479</v>
      </c>
      <c r="AI312" s="17">
        <f t="shared" si="66"/>
        <v>-1</v>
      </c>
      <c r="AJ312" s="17">
        <f t="shared" si="67"/>
        <v>0.1053779513559948</v>
      </c>
      <c r="AK312" s="14" t="e">
        <f t="shared" si="68"/>
        <v>#DIV/0!</v>
      </c>
      <c r="AL312" s="14">
        <f t="shared" si="69"/>
        <v>-1</v>
      </c>
    </row>
    <row r="313" spans="1:38" x14ac:dyDescent="0.3">
      <c r="A313" s="7">
        <v>45968</v>
      </c>
      <c r="B313" s="3">
        <v>47127819</v>
      </c>
      <c r="C313" s="3">
        <f t="shared" si="70"/>
        <v>4513015.0086206896</v>
      </c>
      <c r="D313" s="4">
        <f>+Tabla22[[#This Row],[Share diario]]</f>
        <v>2.8530253564970551E-2</v>
      </c>
      <c r="E313" s="3">
        <f>+Tabla22[[#This Row],[Global 2026]]</f>
        <v>0</v>
      </c>
      <c r="F313" s="7">
        <v>46332</v>
      </c>
      <c r="G313" s="3">
        <f>+Tabla2[[#This Row],[Meta Digital]]+Tabla2[[#This Row],[Meta MKPlace]]</f>
        <v>6363572.0549620138</v>
      </c>
      <c r="H313" s="3">
        <v>4802967.1849581245</v>
      </c>
      <c r="I313" s="3">
        <v>1560604.8700038891</v>
      </c>
      <c r="J313" s="3">
        <v>3647018</v>
      </c>
      <c r="K313" s="3">
        <f>+Tabla22[[#This Row],[Web + APP 2026]]</f>
        <v>0</v>
      </c>
      <c r="L313" s="3">
        <v>44673.275862068956</v>
      </c>
      <c r="M313" s="3">
        <f>+Tabla22[[#This Row],[Afiliados 2026]]</f>
        <v>0</v>
      </c>
      <c r="N313" s="3">
        <v>12603</v>
      </c>
      <c r="O313" s="3">
        <f>+Tabla22[[#This Row],[TMK 2026]]</f>
        <v>0</v>
      </c>
      <c r="P313" s="3">
        <v>6822</v>
      </c>
      <c r="Q313" s="3">
        <f>+Tabla22[[#This Row],[WA 2026]]</f>
        <v>0</v>
      </c>
      <c r="R313" s="3">
        <v>111646</v>
      </c>
      <c r="S313" s="3">
        <f>+Tabla22[[#This Row],[Ent. en Tienda 2026]]</f>
        <v>0</v>
      </c>
      <c r="T313" s="3">
        <v>548934</v>
      </c>
      <c r="U313" s="3">
        <f>+Tabla22[[#This Row],[Meli Drop 2026]]</f>
        <v>0</v>
      </c>
      <c r="V313" s="3">
        <v>88083</v>
      </c>
      <c r="W313" s="3">
        <f>+Tabla22[[#This Row],[Meli Full 2026]]</f>
        <v>0</v>
      </c>
      <c r="X313" s="3">
        <v>26380</v>
      </c>
      <c r="Y313" s="3">
        <f>+Tabla22[[#This Row],[Amazon Drop 2026]]</f>
        <v>0</v>
      </c>
      <c r="Z313" s="3">
        <v>13005</v>
      </c>
      <c r="AA313" s="3">
        <f>+Tabla22[[#This Row],[Amazon Full 2026]]</f>
        <v>0</v>
      </c>
      <c r="AB313" s="3">
        <v>13850.732758620694</v>
      </c>
      <c r="AC313" s="3">
        <f>+Tabla22[[#This Row],[TikTok 2026]]</f>
        <v>0</v>
      </c>
      <c r="AD313" s="3">
        <v>0</v>
      </c>
      <c r="AE313" s="3">
        <f>+Tabla22[[#This Row],[Shein 2026]]</f>
        <v>0</v>
      </c>
      <c r="AF313" s="5">
        <f t="shared" si="71"/>
        <v>0</v>
      </c>
      <c r="AG313" s="4">
        <f t="shared" si="72"/>
        <v>0</v>
      </c>
      <c r="AH313" s="5">
        <f t="shared" si="73"/>
        <v>-6363572.0549620138</v>
      </c>
      <c r="AI313" s="17">
        <f t="shared" si="66"/>
        <v>-1</v>
      </c>
      <c r="AJ313" s="17">
        <f t="shared" si="67"/>
        <v>9.5761168337127792E-2</v>
      </c>
      <c r="AK313" s="14" t="e">
        <f t="shared" si="68"/>
        <v>#DIV/0!</v>
      </c>
      <c r="AL313" s="14">
        <f t="shared" si="69"/>
        <v>-1</v>
      </c>
    </row>
    <row r="314" spans="1:38" x14ac:dyDescent="0.3">
      <c r="A314" s="63">
        <v>45969</v>
      </c>
      <c r="B314" s="3">
        <v>65744526</v>
      </c>
      <c r="C314" s="3">
        <f t="shared" si="70"/>
        <v>4226882.1982758623</v>
      </c>
      <c r="D314" s="4">
        <f>+Tabla22[[#This Row],[Share diario]]</f>
        <v>2.6790432549077793E-2</v>
      </c>
      <c r="E314" s="3">
        <f>+Tabla22[[#This Row],[Global 2026]]</f>
        <v>0</v>
      </c>
      <c r="F314" s="7">
        <v>46333</v>
      </c>
      <c r="G314" s="3">
        <f>+Tabla2[[#This Row],[Meta Digital]]+Tabla2[[#This Row],[Meta MKPlace]]</f>
        <v>5975511.1366754575</v>
      </c>
      <c r="H314" s="3">
        <v>4510074.4762409022</v>
      </c>
      <c r="I314" s="3">
        <v>1465436.6604345553</v>
      </c>
      <c r="J314" s="3">
        <v>3186164</v>
      </c>
      <c r="K314" s="3">
        <f>+Tabla22[[#This Row],[Web + APP 2026]]</f>
        <v>0</v>
      </c>
      <c r="L314" s="3">
        <v>55446.551724137913</v>
      </c>
      <c r="M314" s="3">
        <f>+Tabla22[[#This Row],[Afiliados 2026]]</f>
        <v>0</v>
      </c>
      <c r="N314" s="3">
        <v>74700</v>
      </c>
      <c r="O314" s="3">
        <f>+Tabla22[[#This Row],[TMK 2026]]</f>
        <v>0</v>
      </c>
      <c r="P314" s="3">
        <v>1403</v>
      </c>
      <c r="Q314" s="3">
        <f>+Tabla22[[#This Row],[WA 2026]]</f>
        <v>0</v>
      </c>
      <c r="R314" s="3">
        <v>56983</v>
      </c>
      <c r="S314" s="3">
        <f>+Tabla22[[#This Row],[Ent. en Tienda 2026]]</f>
        <v>0</v>
      </c>
      <c r="T314" s="3">
        <v>714555</v>
      </c>
      <c r="U314" s="3">
        <f>+Tabla22[[#This Row],[Meli Drop 2026]]</f>
        <v>0</v>
      </c>
      <c r="V314" s="3">
        <v>94071</v>
      </c>
      <c r="W314" s="3">
        <f>+Tabla22[[#This Row],[Meli Full 2026]]</f>
        <v>0</v>
      </c>
      <c r="X314" s="3">
        <v>34042</v>
      </c>
      <c r="Y314" s="3">
        <f>+Tabla22[[#This Row],[Amazon Drop 2026]]</f>
        <v>0</v>
      </c>
      <c r="Z314" s="3">
        <v>8377</v>
      </c>
      <c r="AA314" s="3">
        <f>+Tabla22[[#This Row],[Amazon Full 2026]]</f>
        <v>0</v>
      </c>
      <c r="AB314" s="3">
        <v>1140.6465517241381</v>
      </c>
      <c r="AC314" s="3">
        <f>+Tabla22[[#This Row],[TikTok 2026]]</f>
        <v>0</v>
      </c>
      <c r="AD314" s="3">
        <v>0</v>
      </c>
      <c r="AE314" s="3">
        <f>+Tabla22[[#This Row],[Shein 2026]]</f>
        <v>0</v>
      </c>
      <c r="AF314" s="5">
        <f t="shared" si="71"/>
        <v>0</v>
      </c>
      <c r="AG314" s="4">
        <f t="shared" si="72"/>
        <v>0</v>
      </c>
      <c r="AH314" s="5">
        <f t="shared" si="73"/>
        <v>-5975511.1366754575</v>
      </c>
      <c r="AI314" s="17">
        <f t="shared" si="66"/>
        <v>-1</v>
      </c>
      <c r="AJ314" s="17">
        <f t="shared" si="67"/>
        <v>6.4292534381886979E-2</v>
      </c>
      <c r="AK314" s="14" t="e">
        <f t="shared" si="68"/>
        <v>#DIV/0!</v>
      </c>
      <c r="AL314" s="14">
        <f t="shared" si="69"/>
        <v>-1</v>
      </c>
    </row>
    <row r="315" spans="1:38" x14ac:dyDescent="0.3">
      <c r="A315" s="7">
        <v>45970</v>
      </c>
      <c r="B315" s="3">
        <v>67492039</v>
      </c>
      <c r="C315" s="3">
        <f t="shared" si="70"/>
        <v>4057240.8448275859</v>
      </c>
      <c r="D315" s="4">
        <f>+Tabla22[[#This Row],[Share diario]]</f>
        <v>2.509187366084489E-2</v>
      </c>
      <c r="E315" s="3">
        <f>+Tabla22[[#This Row],[Global 2026]]</f>
        <v>0</v>
      </c>
      <c r="F315" s="7">
        <v>46334</v>
      </c>
      <c r="G315" s="3">
        <f>+Tabla2[[#This Row],[Meta Digital]]+Tabla2[[#This Row],[Meta MKPlace]]</f>
        <v>5596653.5898873899</v>
      </c>
      <c r="H315" s="3">
        <v>4224128.1006391747</v>
      </c>
      <c r="I315" s="3">
        <v>1372525.4892482155</v>
      </c>
      <c r="J315" s="3">
        <v>2924037</v>
      </c>
      <c r="K315" s="3">
        <f>+Tabla22[[#This Row],[Web + APP 2026]]</f>
        <v>0</v>
      </c>
      <c r="L315" s="3">
        <v>54995.689655172391</v>
      </c>
      <c r="M315" s="3">
        <f>+Tabla22[[#This Row],[Afiliados 2026]]</f>
        <v>0</v>
      </c>
      <c r="N315" s="3">
        <v>1732</v>
      </c>
      <c r="O315" s="3">
        <f>+Tabla22[[#This Row],[TMK 2026]]</f>
        <v>0</v>
      </c>
      <c r="P315" s="3">
        <v>3073</v>
      </c>
      <c r="Q315" s="3">
        <f>+Tabla22[[#This Row],[WA 2026]]</f>
        <v>0</v>
      </c>
      <c r="R315" s="3">
        <v>199350</v>
      </c>
      <c r="S315" s="3">
        <f>+Tabla22[[#This Row],[Ent. en Tienda 2026]]</f>
        <v>0</v>
      </c>
      <c r="T315" s="3">
        <v>711297</v>
      </c>
      <c r="U315" s="3">
        <f>+Tabla22[[#This Row],[Meli Drop 2026]]</f>
        <v>0</v>
      </c>
      <c r="V315" s="3">
        <v>107725</v>
      </c>
      <c r="W315" s="3">
        <f>+Tabla22[[#This Row],[Meli Full 2026]]</f>
        <v>0</v>
      </c>
      <c r="X315" s="3">
        <v>34480</v>
      </c>
      <c r="Y315" s="3">
        <f>+Tabla22[[#This Row],[Amazon Drop 2026]]</f>
        <v>0</v>
      </c>
      <c r="Z315" s="3">
        <v>17056</v>
      </c>
      <c r="AA315" s="3">
        <f>+Tabla22[[#This Row],[Amazon Full 2026]]</f>
        <v>0</v>
      </c>
      <c r="AB315" s="3">
        <v>1686.5344827586209</v>
      </c>
      <c r="AC315" s="3">
        <f>+Tabla22[[#This Row],[TikTok 2026]]</f>
        <v>0</v>
      </c>
      <c r="AD315" s="3">
        <v>1808.6206896551726</v>
      </c>
      <c r="AE315" s="3">
        <f>+Tabla22[[#This Row],[Shein 2026]]</f>
        <v>0</v>
      </c>
      <c r="AF315" s="5">
        <f t="shared" si="71"/>
        <v>0</v>
      </c>
      <c r="AG315" s="4">
        <f t="shared" si="72"/>
        <v>0</v>
      </c>
      <c r="AH315" s="5">
        <f t="shared" si="73"/>
        <v>-5596653.5898873899</v>
      </c>
      <c r="AI315" s="17">
        <f t="shared" si="66"/>
        <v>-1</v>
      </c>
      <c r="AJ315" s="17">
        <f t="shared" si="67"/>
        <v>6.0114361707572443E-2</v>
      </c>
      <c r="AK315" s="14" t="e">
        <f t="shared" si="68"/>
        <v>#DIV/0!</v>
      </c>
      <c r="AL315" s="14">
        <f t="shared" si="69"/>
        <v>-1</v>
      </c>
    </row>
    <row r="316" spans="1:38" x14ac:dyDescent="0.3">
      <c r="A316" s="63">
        <v>45971</v>
      </c>
      <c r="B316" s="3">
        <v>40411989</v>
      </c>
      <c r="C316" s="3">
        <f t="shared" si="70"/>
        <v>7117243.4568965519</v>
      </c>
      <c r="D316" s="4">
        <f>+Tabla22[[#This Row],[Share diario]]</f>
        <v>2.4084838402063567E-2</v>
      </c>
      <c r="E316" s="3">
        <f>+Tabla22[[#This Row],[Global 2026]]</f>
        <v>0</v>
      </c>
      <c r="F316" s="7">
        <v>46335</v>
      </c>
      <c r="G316" s="3">
        <f>+Tabla2[[#This Row],[Meta Digital]]+Tabla2[[#This Row],[Meta MKPlace]]</f>
        <v>5372037.9405189445</v>
      </c>
      <c r="H316" s="3">
        <v>4054597.2799260677</v>
      </c>
      <c r="I316" s="3">
        <v>1317440.6605928771</v>
      </c>
      <c r="J316" s="3">
        <v>5697624</v>
      </c>
      <c r="K316" s="3">
        <f>+Tabla22[[#This Row],[Web + APP 2026]]</f>
        <v>0</v>
      </c>
      <c r="L316" s="3">
        <v>67562.068965517217</v>
      </c>
      <c r="M316" s="3">
        <f>+Tabla22[[#This Row],[Afiliados 2026]]</f>
        <v>0</v>
      </c>
      <c r="N316" s="3">
        <v>81533</v>
      </c>
      <c r="O316" s="3">
        <f>+Tabla22[[#This Row],[TMK 2026]]</f>
        <v>0</v>
      </c>
      <c r="P316" s="3">
        <v>4644</v>
      </c>
      <c r="Q316" s="3">
        <f>+Tabla22[[#This Row],[WA 2026]]</f>
        <v>0</v>
      </c>
      <c r="R316" s="3">
        <v>102759</v>
      </c>
      <c r="S316" s="3">
        <f>+Tabla22[[#This Row],[Ent. en Tienda 2026]]</f>
        <v>0</v>
      </c>
      <c r="T316" s="3">
        <v>901540</v>
      </c>
      <c r="U316" s="3">
        <f>+Tabla22[[#This Row],[Meli Drop 2026]]</f>
        <v>0</v>
      </c>
      <c r="V316" s="3">
        <v>162599</v>
      </c>
      <c r="W316" s="3">
        <f>+Tabla22[[#This Row],[Meli Full 2026]]</f>
        <v>0</v>
      </c>
      <c r="X316" s="3">
        <v>39109</v>
      </c>
      <c r="Y316" s="3">
        <f>+Tabla22[[#This Row],[Amazon Drop 2026]]</f>
        <v>0</v>
      </c>
      <c r="Z316" s="3">
        <v>22528</v>
      </c>
      <c r="AA316" s="3">
        <f>+Tabla22[[#This Row],[Amazon Full 2026]]</f>
        <v>0</v>
      </c>
      <c r="AB316" s="3">
        <v>35709.181034482775</v>
      </c>
      <c r="AC316" s="3">
        <f>+Tabla22[[#This Row],[TikTok 2026]]</f>
        <v>0</v>
      </c>
      <c r="AD316" s="3">
        <v>1636.2068965517242</v>
      </c>
      <c r="AE316" s="3">
        <f>+Tabla22[[#This Row],[Shein 2026]]</f>
        <v>0</v>
      </c>
      <c r="AF316" s="5">
        <f t="shared" si="71"/>
        <v>0</v>
      </c>
      <c r="AG316" s="4">
        <f t="shared" si="72"/>
        <v>0</v>
      </c>
      <c r="AH316" s="5">
        <f t="shared" si="73"/>
        <v>-5372037.9405189445</v>
      </c>
      <c r="AI316" s="17">
        <f t="shared" si="66"/>
        <v>-1</v>
      </c>
      <c r="AJ316" s="17">
        <f t="shared" si="67"/>
        <v>0.17611712843177682</v>
      </c>
      <c r="AK316" s="14" t="e">
        <f t="shared" si="68"/>
        <v>#DIV/0!</v>
      </c>
      <c r="AL316" s="14">
        <f t="shared" si="69"/>
        <v>-1</v>
      </c>
    </row>
    <row r="317" spans="1:38" x14ac:dyDescent="0.3">
      <c r="A317" s="7">
        <v>45972</v>
      </c>
      <c r="B317" s="3">
        <v>45078912</v>
      </c>
      <c r="C317" s="3">
        <f t="shared" si="70"/>
        <v>7188003.7844827585</v>
      </c>
      <c r="D317" s="4">
        <f>+Tabla22[[#This Row],[Share diario]]</f>
        <v>4.2249810914240217E-2</v>
      </c>
      <c r="E317" s="3">
        <f>+Tabla22[[#This Row],[Global 2026]]</f>
        <v>0</v>
      </c>
      <c r="F317" s="7">
        <v>46336</v>
      </c>
      <c r="G317" s="3">
        <f>+Tabla2[[#This Row],[Meta Digital]]+Tabla2[[#This Row],[Meta MKPlace]]</f>
        <v>9423670.7517872937</v>
      </c>
      <c r="H317" s="3">
        <v>7112606.0947783533</v>
      </c>
      <c r="I317" s="3">
        <v>2311064.6570089399</v>
      </c>
      <c r="J317" s="3">
        <v>5483822</v>
      </c>
      <c r="K317" s="3">
        <f>+Tabla22[[#This Row],[Web + APP 2026]]</f>
        <v>0</v>
      </c>
      <c r="L317" s="3">
        <v>68879.310344827551</v>
      </c>
      <c r="M317" s="3">
        <f>+Tabla22[[#This Row],[Afiliados 2026]]</f>
        <v>0</v>
      </c>
      <c r="N317" s="3">
        <v>48671</v>
      </c>
      <c r="O317" s="3">
        <f>+Tabla22[[#This Row],[TMK 2026]]</f>
        <v>0</v>
      </c>
      <c r="P317" s="3">
        <v>3768</v>
      </c>
      <c r="Q317" s="3">
        <f>+Tabla22[[#This Row],[WA 2026]]</f>
        <v>0</v>
      </c>
      <c r="R317" s="3">
        <v>118531</v>
      </c>
      <c r="S317" s="3">
        <f>+Tabla22[[#This Row],[Ent. en Tienda 2026]]</f>
        <v>0</v>
      </c>
      <c r="T317" s="3">
        <v>1226151</v>
      </c>
      <c r="U317" s="3">
        <f>+Tabla22[[#This Row],[Meli Drop 2026]]</f>
        <v>0</v>
      </c>
      <c r="V317" s="3">
        <v>160872</v>
      </c>
      <c r="W317" s="3">
        <f>+Tabla22[[#This Row],[Meli Full 2026]]</f>
        <v>0</v>
      </c>
      <c r="X317" s="3">
        <v>41738</v>
      </c>
      <c r="Y317" s="3">
        <f>+Tabla22[[#This Row],[Amazon Drop 2026]]</f>
        <v>0</v>
      </c>
      <c r="Z317" s="3">
        <v>20120</v>
      </c>
      <c r="AA317" s="3">
        <f>+Tabla22[[#This Row],[Amazon Full 2026]]</f>
        <v>0</v>
      </c>
      <c r="AB317" s="3">
        <v>13470.439655172415</v>
      </c>
      <c r="AC317" s="3">
        <f>+Tabla22[[#This Row],[TikTok 2026]]</f>
        <v>0</v>
      </c>
      <c r="AD317" s="3">
        <v>1981.0344827586209</v>
      </c>
      <c r="AE317" s="3">
        <f>+Tabla22[[#This Row],[Shein 2026]]</f>
        <v>0</v>
      </c>
      <c r="AF317" s="5">
        <f t="shared" si="71"/>
        <v>0</v>
      </c>
      <c r="AG317" s="4">
        <f t="shared" si="72"/>
        <v>0</v>
      </c>
      <c r="AH317" s="5">
        <f t="shared" si="73"/>
        <v>-9423670.7517872937</v>
      </c>
      <c r="AI317" s="17">
        <f t="shared" si="66"/>
        <v>-1</v>
      </c>
      <c r="AJ317" s="17">
        <f t="shared" si="67"/>
        <v>0.15945379925058437</v>
      </c>
      <c r="AK317" s="14" t="e">
        <f t="shared" si="68"/>
        <v>#DIV/0!</v>
      </c>
      <c r="AL317" s="14">
        <f t="shared" si="69"/>
        <v>-1</v>
      </c>
    </row>
    <row r="318" spans="1:38" x14ac:dyDescent="0.3">
      <c r="A318" s="63">
        <v>45973</v>
      </c>
      <c r="B318" s="3">
        <v>48292081</v>
      </c>
      <c r="C318" s="3">
        <f t="shared" si="70"/>
        <v>6274424.7413793104</v>
      </c>
      <c r="D318" s="4">
        <f>+Tabla22[[#This Row],[Share diario]]</f>
        <v>4.2669862648995763E-2</v>
      </c>
      <c r="E318" s="3">
        <f>+Tabla22[[#This Row],[Global 2026]]</f>
        <v>0</v>
      </c>
      <c r="F318" s="7">
        <v>46337</v>
      </c>
      <c r="G318" s="3">
        <f>+Tabla2[[#This Row],[Meta Digital]]+Tabla2[[#This Row],[Meta MKPlace]]</f>
        <v>9517361.8041588236</v>
      </c>
      <c r="H318" s="3">
        <v>7183320.3172587557</v>
      </c>
      <c r="I318" s="3">
        <v>2334041.4869000684</v>
      </c>
      <c r="J318" s="3">
        <v>4822707</v>
      </c>
      <c r="K318" s="3">
        <f>+Tabla22[[#This Row],[Web + APP 2026]]</f>
        <v>0</v>
      </c>
      <c r="L318" s="3">
        <v>67868.10344827584</v>
      </c>
      <c r="M318" s="3">
        <f>+Tabla22[[#This Row],[Afiliados 2026]]</f>
        <v>0</v>
      </c>
      <c r="N318" s="3">
        <v>98985</v>
      </c>
      <c r="O318" s="3">
        <f>+Tabla22[[#This Row],[TMK 2026]]</f>
        <v>0</v>
      </c>
      <c r="P318" s="3">
        <v>4095</v>
      </c>
      <c r="Q318" s="3">
        <f>+Tabla22[[#This Row],[WA 2026]]</f>
        <v>0</v>
      </c>
      <c r="R318" s="3">
        <v>144514</v>
      </c>
      <c r="S318" s="3">
        <f>+Tabla22[[#This Row],[Ent. en Tienda 2026]]</f>
        <v>0</v>
      </c>
      <c r="T318" s="3">
        <v>868042</v>
      </c>
      <c r="U318" s="3">
        <f>+Tabla22[[#This Row],[Meli Drop 2026]]</f>
        <v>0</v>
      </c>
      <c r="V318" s="3">
        <v>187197</v>
      </c>
      <c r="W318" s="3">
        <f>+Tabla22[[#This Row],[Meli Full 2026]]</f>
        <v>0</v>
      </c>
      <c r="X318" s="3">
        <v>46378</v>
      </c>
      <c r="Y318" s="3">
        <f>+Tabla22[[#This Row],[Amazon Drop 2026]]</f>
        <v>0</v>
      </c>
      <c r="Z318" s="3">
        <v>28094</v>
      </c>
      <c r="AA318" s="3">
        <f>+Tabla22[[#This Row],[Amazon Full 2026]]</f>
        <v>0</v>
      </c>
      <c r="AB318" s="3">
        <v>6544.6379310344837</v>
      </c>
      <c r="AC318" s="3">
        <f>+Tabla22[[#This Row],[TikTok 2026]]</f>
        <v>0</v>
      </c>
      <c r="AD318" s="3">
        <v>0</v>
      </c>
      <c r="AE318" s="3">
        <f>+Tabla22[[#This Row],[Shein 2026]]</f>
        <v>0</v>
      </c>
      <c r="AF318" s="5">
        <f t="shared" si="71"/>
        <v>0</v>
      </c>
      <c r="AG318" s="4">
        <f t="shared" si="72"/>
        <v>0</v>
      </c>
      <c r="AH318" s="5">
        <f t="shared" si="73"/>
        <v>-9517361.8041588236</v>
      </c>
      <c r="AI318" s="17">
        <f t="shared" si="66"/>
        <v>-1</v>
      </c>
      <c r="AJ318" s="17">
        <f t="shared" si="67"/>
        <v>0.12992657618915429</v>
      </c>
      <c r="AK318" s="14" t="e">
        <f t="shared" si="68"/>
        <v>#DIV/0!</v>
      </c>
      <c r="AL318" s="14">
        <f t="shared" si="69"/>
        <v>-1</v>
      </c>
    </row>
    <row r="319" spans="1:38" x14ac:dyDescent="0.3">
      <c r="A319" s="7">
        <v>45974</v>
      </c>
      <c r="B319" s="3">
        <v>65809693</v>
      </c>
      <c r="C319" s="3">
        <f t="shared" si="70"/>
        <v>7537029.7844827585</v>
      </c>
      <c r="D319" s="4">
        <f>+Tabla22[[#This Row],[Share diario]]</f>
        <v>3.7246619498737706E-2</v>
      </c>
      <c r="E319" s="3">
        <f>+Tabla22[[#This Row],[Global 2026]]</f>
        <v>0</v>
      </c>
      <c r="F319" s="7">
        <v>46338</v>
      </c>
      <c r="G319" s="3">
        <f>+Tabla2[[#This Row],[Meta Digital]]+Tabla2[[#This Row],[Meta MKPlace]]</f>
        <v>8307726.6188403452</v>
      </c>
      <c r="H319" s="3">
        <v>6270336.5322593926</v>
      </c>
      <c r="I319" s="3">
        <v>2037390.0865809524</v>
      </c>
      <c r="J319" s="3">
        <v>5687818</v>
      </c>
      <c r="K319" s="3">
        <f>+Tabla22[[#This Row],[Web + APP 2026]]</f>
        <v>0</v>
      </c>
      <c r="L319" s="3">
        <v>65544.827586206869</v>
      </c>
      <c r="M319" s="3">
        <f>+Tabla22[[#This Row],[Afiliados 2026]]</f>
        <v>0</v>
      </c>
      <c r="N319" s="3">
        <v>82830</v>
      </c>
      <c r="O319" s="3">
        <f>+Tabla22[[#This Row],[TMK 2026]]</f>
        <v>0</v>
      </c>
      <c r="P319" s="3">
        <v>4235</v>
      </c>
      <c r="Q319" s="3">
        <f>+Tabla22[[#This Row],[WA 2026]]</f>
        <v>0</v>
      </c>
      <c r="R319" s="3">
        <v>151626</v>
      </c>
      <c r="S319" s="3">
        <f>+Tabla22[[#This Row],[Ent. en Tienda 2026]]</f>
        <v>0</v>
      </c>
      <c r="T319" s="3">
        <v>1184601</v>
      </c>
      <c r="U319" s="3">
        <f>+Tabla22[[#This Row],[Meli Drop 2026]]</f>
        <v>0</v>
      </c>
      <c r="V319" s="3">
        <v>265899</v>
      </c>
      <c r="W319" s="3">
        <f>+Tabla22[[#This Row],[Meli Full 2026]]</f>
        <v>0</v>
      </c>
      <c r="X319" s="3">
        <v>62519</v>
      </c>
      <c r="Y319" s="3">
        <f>+Tabla22[[#This Row],[Amazon Drop 2026]]</f>
        <v>0</v>
      </c>
      <c r="Z319" s="3">
        <v>25374</v>
      </c>
      <c r="AA319" s="3">
        <f>+Tabla22[[#This Row],[Amazon Full 2026]]</f>
        <v>0</v>
      </c>
      <c r="AB319" s="3">
        <v>2707.9568965517246</v>
      </c>
      <c r="AC319" s="3">
        <f>+Tabla22[[#This Row],[TikTok 2026]]</f>
        <v>0</v>
      </c>
      <c r="AD319" s="3">
        <v>3875</v>
      </c>
      <c r="AE319" s="3">
        <f>+Tabla22[[#This Row],[Shein 2026]]</f>
        <v>0</v>
      </c>
      <c r="AF319" s="5">
        <f t="shared" si="71"/>
        <v>0</v>
      </c>
      <c r="AG319" s="4">
        <f t="shared" si="72"/>
        <v>0</v>
      </c>
      <c r="AH319" s="5">
        <f t="shared" si="73"/>
        <v>-8307726.6188403452</v>
      </c>
      <c r="AI319" s="17">
        <f t="shared" si="66"/>
        <v>-1</v>
      </c>
      <c r="AJ319" s="17">
        <f t="shared" si="67"/>
        <v>0.11452765452777235</v>
      </c>
      <c r="AK319" s="14" t="e">
        <f t="shared" si="68"/>
        <v>#DIV/0!</v>
      </c>
      <c r="AL319" s="14">
        <f t="shared" si="69"/>
        <v>-1</v>
      </c>
    </row>
    <row r="320" spans="1:38" x14ac:dyDescent="0.3">
      <c r="A320" s="63">
        <v>45975</v>
      </c>
      <c r="B320" s="3">
        <v>75117979</v>
      </c>
      <c r="C320" s="3">
        <f t="shared" si="70"/>
        <v>8011188.0431034481</v>
      </c>
      <c r="D320" s="4">
        <f>+Tabla22[[#This Row],[Share diario]]</f>
        <v>4.4741771892154301E-2</v>
      </c>
      <c r="E320" s="3">
        <f>+Tabla22[[#This Row],[Global 2026]]</f>
        <v>0</v>
      </c>
      <c r="F320" s="7">
        <v>46339</v>
      </c>
      <c r="G320" s="3">
        <f>+Tabla2[[#This Row],[Meta Digital]]+Tabla2[[#This Row],[Meta MKPlace]]</f>
        <v>9979493.8258794229</v>
      </c>
      <c r="H320" s="3">
        <v>7532118.9033785826</v>
      </c>
      <c r="I320" s="3">
        <v>2447374.9225008404</v>
      </c>
      <c r="J320" s="3">
        <v>5897136</v>
      </c>
      <c r="K320" s="3">
        <f>+Tabla22[[#This Row],[Web + APP 2026]]</f>
        <v>0</v>
      </c>
      <c r="L320" s="3">
        <v>73120.689655172377</v>
      </c>
      <c r="M320" s="3">
        <f>+Tabla22[[#This Row],[Afiliados 2026]]</f>
        <v>0</v>
      </c>
      <c r="N320" s="3">
        <v>58945</v>
      </c>
      <c r="O320" s="3">
        <f>+Tabla22[[#This Row],[TMK 2026]]</f>
        <v>0</v>
      </c>
      <c r="P320" s="3">
        <v>7484</v>
      </c>
      <c r="Q320" s="3">
        <f>+Tabla22[[#This Row],[WA 2026]]</f>
        <v>0</v>
      </c>
      <c r="R320" s="3">
        <v>211561</v>
      </c>
      <c r="S320" s="3">
        <f>+Tabla22[[#This Row],[Ent. en Tienda 2026]]</f>
        <v>0</v>
      </c>
      <c r="T320" s="3">
        <v>1342849</v>
      </c>
      <c r="U320" s="3">
        <f>+Tabla22[[#This Row],[Meli Drop 2026]]</f>
        <v>0</v>
      </c>
      <c r="V320" s="3">
        <v>347316</v>
      </c>
      <c r="W320" s="3">
        <f>+Tabla22[[#This Row],[Meli Full 2026]]</f>
        <v>0</v>
      </c>
      <c r="X320" s="3">
        <v>17568</v>
      </c>
      <c r="Y320" s="3">
        <f>+Tabla22[[#This Row],[Amazon Drop 2026]]</f>
        <v>0</v>
      </c>
      <c r="Z320" s="3">
        <v>34059</v>
      </c>
      <c r="AA320" s="3">
        <f>+Tabla22[[#This Row],[Amazon Full 2026]]</f>
        <v>0</v>
      </c>
      <c r="AB320" s="3">
        <v>18479.525862068964</v>
      </c>
      <c r="AC320" s="3">
        <f>+Tabla22[[#This Row],[TikTok 2026]]</f>
        <v>0</v>
      </c>
      <c r="AD320" s="3">
        <v>2669.8275862068967</v>
      </c>
      <c r="AE320" s="3">
        <f>+Tabla22[[#This Row],[Shein 2026]]</f>
        <v>0</v>
      </c>
      <c r="AF320" s="5">
        <f t="shared" si="71"/>
        <v>0</v>
      </c>
      <c r="AG320" s="4">
        <f t="shared" si="72"/>
        <v>0</v>
      </c>
      <c r="AH320" s="5">
        <f t="shared" si="73"/>
        <v>-9979493.8258794229</v>
      </c>
      <c r="AI320" s="17">
        <f t="shared" si="66"/>
        <v>-1</v>
      </c>
      <c r="AJ320" s="17">
        <f t="shared" si="67"/>
        <v>0.10664807746096908</v>
      </c>
      <c r="AK320" s="14" t="e">
        <f t="shared" si="68"/>
        <v>#DIV/0!</v>
      </c>
      <c r="AL320" s="14">
        <f t="shared" si="69"/>
        <v>-1</v>
      </c>
    </row>
    <row r="321" spans="1:38" x14ac:dyDescent="0.3">
      <c r="A321" s="7">
        <v>45976</v>
      </c>
      <c r="B321" s="3">
        <v>87981274</v>
      </c>
      <c r="C321" s="3">
        <f t="shared" si="70"/>
        <v>6250600.9396551726</v>
      </c>
      <c r="D321" s="4">
        <f>+Tabla22[[#This Row],[Share diario]]</f>
        <v>4.7556498814378331E-2</v>
      </c>
      <c r="E321" s="3">
        <f>+Tabla22[[#This Row],[Global 2026]]</f>
        <v>0</v>
      </c>
      <c r="F321" s="7">
        <v>46340</v>
      </c>
      <c r="G321" s="3">
        <f>+Tabla2[[#This Row],[Meta Digital]]+Tabla2[[#This Row],[Meta MKPlace]]</f>
        <v>10607308.701195009</v>
      </c>
      <c r="H321" s="3">
        <v>8005968.2160485154</v>
      </c>
      <c r="I321" s="3">
        <v>2601340.4851464946</v>
      </c>
      <c r="J321" s="3">
        <v>4408030</v>
      </c>
      <c r="K321" s="3">
        <f>+Tabla22[[#This Row],[Web + APP 2026]]</f>
        <v>0</v>
      </c>
      <c r="L321" s="3">
        <v>69456.034482758594</v>
      </c>
      <c r="M321" s="3">
        <f>+Tabla22[[#This Row],[Afiliados 2026]]</f>
        <v>0</v>
      </c>
      <c r="N321" s="3">
        <v>25308</v>
      </c>
      <c r="O321" s="3">
        <f>+Tabla22[[#This Row],[TMK 2026]]</f>
        <v>0</v>
      </c>
      <c r="P321" s="3">
        <v>1153</v>
      </c>
      <c r="Q321" s="3">
        <f>+Tabla22[[#This Row],[WA 2026]]</f>
        <v>0</v>
      </c>
      <c r="R321" s="3">
        <v>256816</v>
      </c>
      <c r="S321" s="3">
        <f>+Tabla22[[#This Row],[Ent. en Tienda 2026]]</f>
        <v>0</v>
      </c>
      <c r="T321" s="3">
        <v>1108972</v>
      </c>
      <c r="U321" s="3">
        <f>+Tabla22[[#This Row],[Meli Drop 2026]]</f>
        <v>0</v>
      </c>
      <c r="V321" s="3">
        <v>362812</v>
      </c>
      <c r="W321" s="3">
        <f>+Tabla22[[#This Row],[Meli Full 2026]]</f>
        <v>0</v>
      </c>
      <c r="X321" s="3">
        <v>-2259</v>
      </c>
      <c r="Y321" s="3">
        <f>+Tabla22[[#This Row],[Amazon Drop 2026]]</f>
        <v>0</v>
      </c>
      <c r="Z321" s="3">
        <v>12703</v>
      </c>
      <c r="AA321" s="3">
        <f>+Tabla22[[#This Row],[Amazon Full 2026]]</f>
        <v>0</v>
      </c>
      <c r="AB321" s="3">
        <v>3562.4913793103451</v>
      </c>
      <c r="AC321" s="3">
        <f>+Tabla22[[#This Row],[TikTok 2026]]</f>
        <v>0</v>
      </c>
      <c r="AD321" s="3">
        <v>4047.4137931034484</v>
      </c>
      <c r="AE321" s="3">
        <f>+Tabla22[[#This Row],[Shein 2026]]</f>
        <v>0</v>
      </c>
      <c r="AF321" s="5">
        <f t="shared" si="71"/>
        <v>0</v>
      </c>
      <c r="AG321" s="4">
        <f t="shared" si="72"/>
        <v>0</v>
      </c>
      <c r="AH321" s="5">
        <f t="shared" si="73"/>
        <v>-10607308.701195009</v>
      </c>
      <c r="AI321" s="17">
        <f t="shared" si="66"/>
        <v>-1</v>
      </c>
      <c r="AJ321" s="17">
        <f t="shared" si="67"/>
        <v>7.1044674116166731E-2</v>
      </c>
      <c r="AK321" s="14" t="e">
        <f t="shared" si="68"/>
        <v>#DIV/0!</v>
      </c>
      <c r="AL321" s="14">
        <f t="shared" si="69"/>
        <v>-1</v>
      </c>
    </row>
    <row r="322" spans="1:38" x14ac:dyDescent="0.3">
      <c r="A322" s="63">
        <v>45977</v>
      </c>
      <c r="B322" s="3">
        <v>90614671</v>
      </c>
      <c r="C322" s="3">
        <f t="shared" si="70"/>
        <v>6187483.2586206906</v>
      </c>
      <c r="D322" s="4">
        <f>+Tabla22[[#This Row],[Share diario]]</f>
        <v>3.7105195206566299E-2</v>
      </c>
      <c r="E322" s="3">
        <f>+Tabla22[[#This Row],[Global 2026]]</f>
        <v>0</v>
      </c>
      <c r="F322" s="7">
        <v>46341</v>
      </c>
      <c r="G322" s="3">
        <f>+Tabla2[[#This Row],[Meta Digital]]+Tabla2[[#This Row],[Meta MKPlace]]</f>
        <v>8276182.431141302</v>
      </c>
      <c r="H322" s="3">
        <v>6246528.2533421256</v>
      </c>
      <c r="I322" s="3">
        <v>2029654.1777991767</v>
      </c>
      <c r="J322" s="3">
        <v>4732740</v>
      </c>
      <c r="K322" s="3">
        <f>+Tabla22[[#This Row],[Web + APP 2026]]</f>
        <v>0</v>
      </c>
      <c r="L322" s="3">
        <v>78706.896551724101</v>
      </c>
      <c r="M322" s="3">
        <f>+Tabla22[[#This Row],[Afiliados 2026]]</f>
        <v>0</v>
      </c>
      <c r="N322" s="3">
        <v>23936</v>
      </c>
      <c r="O322" s="3">
        <f>+Tabla22[[#This Row],[TMK 2026]]</f>
        <v>0</v>
      </c>
      <c r="P322" s="3">
        <v>4170</v>
      </c>
      <c r="Q322" s="3">
        <f>+Tabla22[[#This Row],[WA 2026]]</f>
        <v>0</v>
      </c>
      <c r="R322" s="3">
        <v>281033</v>
      </c>
      <c r="S322" s="3">
        <f>+Tabla22[[#This Row],[Ent. en Tienda 2026]]</f>
        <v>0</v>
      </c>
      <c r="T322" s="3">
        <v>434970</v>
      </c>
      <c r="U322" s="3">
        <f>+Tabla22[[#This Row],[Meli Drop 2026]]</f>
        <v>0</v>
      </c>
      <c r="V322" s="3">
        <v>457126</v>
      </c>
      <c r="W322" s="3">
        <f>+Tabla22[[#This Row],[Meli Full 2026]]</f>
        <v>0</v>
      </c>
      <c r="X322" s="3">
        <v>158214</v>
      </c>
      <c r="Y322" s="3">
        <f>+Tabla22[[#This Row],[Amazon Drop 2026]]</f>
        <v>0</v>
      </c>
      <c r="Z322" s="3">
        <v>13795</v>
      </c>
      <c r="AA322" s="3">
        <f>+Tabla22[[#This Row],[Amazon Full 2026]]</f>
        <v>0</v>
      </c>
      <c r="AB322" s="3">
        <v>1069.9482758620691</v>
      </c>
      <c r="AC322" s="3">
        <f>+Tabla22[[#This Row],[TikTok 2026]]</f>
        <v>0</v>
      </c>
      <c r="AD322" s="3">
        <v>1722.4137931034484</v>
      </c>
      <c r="AE322" s="3">
        <f>+Tabla22[[#This Row],[Shein 2026]]</f>
        <v>0</v>
      </c>
      <c r="AF322" s="5">
        <f t="shared" si="71"/>
        <v>0</v>
      </c>
      <c r="AG322" s="4">
        <f t="shared" si="72"/>
        <v>0</v>
      </c>
      <c r="AH322" s="5">
        <f t="shared" si="73"/>
        <v>-8276182.431141302</v>
      </c>
      <c r="AI322" s="17">
        <f t="shared" si="66"/>
        <v>-1</v>
      </c>
      <c r="AJ322" s="17">
        <f t="shared" si="67"/>
        <v>6.8283459955625625E-2</v>
      </c>
      <c r="AK322" s="14" t="e">
        <f t="shared" si="68"/>
        <v>#DIV/0!</v>
      </c>
      <c r="AL322" s="14">
        <f t="shared" si="69"/>
        <v>-1</v>
      </c>
    </row>
    <row r="323" spans="1:38" x14ac:dyDescent="0.3">
      <c r="A323" s="7">
        <v>45978</v>
      </c>
      <c r="B323" s="3">
        <v>92083785</v>
      </c>
      <c r="C323" s="3">
        <f t="shared" si="70"/>
        <v>9615288.931034483</v>
      </c>
      <c r="D323" s="4">
        <f>+Tabla22[[#This Row],[Share diario]]</f>
        <v>3.6730512212342151E-2</v>
      </c>
      <c r="E323" s="3">
        <f>+Tabla22[[#This Row],[Global 2026]]</f>
        <v>0</v>
      </c>
      <c r="F323" s="7">
        <v>46342</v>
      </c>
      <c r="G323" s="3">
        <f>+Tabla2[[#This Row],[Meta Digital]]+Tabla2[[#This Row],[Meta MKPlace]]</f>
        <v>8192610.7157310415</v>
      </c>
      <c r="H323" s="3">
        <v>6183451.697715926</v>
      </c>
      <c r="I323" s="3">
        <v>2009159.0180151158</v>
      </c>
      <c r="J323" s="3">
        <v>7301102</v>
      </c>
      <c r="K323" s="3">
        <f>+Tabla22[[#This Row],[Web + APP 2026]]</f>
        <v>0</v>
      </c>
      <c r="L323" s="3">
        <v>73426.724137931</v>
      </c>
      <c r="M323" s="3">
        <f>+Tabla22[[#This Row],[Afiliados 2026]]</f>
        <v>0</v>
      </c>
      <c r="N323" s="3">
        <v>16174</v>
      </c>
      <c r="O323" s="3">
        <f>+Tabla22[[#This Row],[TMK 2026]]</f>
        <v>0</v>
      </c>
      <c r="P323" s="3">
        <v>2385</v>
      </c>
      <c r="Q323" s="3">
        <f>+Tabla22[[#This Row],[WA 2026]]</f>
        <v>0</v>
      </c>
      <c r="R323" s="3">
        <v>159658</v>
      </c>
      <c r="S323" s="3">
        <f>+Tabla22[[#This Row],[Ent. en Tienda 2026]]</f>
        <v>0</v>
      </c>
      <c r="T323" s="3">
        <v>1473035</v>
      </c>
      <c r="U323" s="3">
        <f>+Tabla22[[#This Row],[Meli Drop 2026]]</f>
        <v>0</v>
      </c>
      <c r="V323" s="3">
        <v>390070</v>
      </c>
      <c r="W323" s="3">
        <f>+Tabla22[[#This Row],[Meli Full 2026]]</f>
        <v>0</v>
      </c>
      <c r="X323" s="3">
        <v>88451</v>
      </c>
      <c r="Y323" s="3">
        <f>+Tabla22[[#This Row],[Amazon Drop 2026]]</f>
        <v>0</v>
      </c>
      <c r="Z323" s="3">
        <v>106398</v>
      </c>
      <c r="AA323" s="3">
        <f>+Tabla22[[#This Row],[Amazon Full 2026]]</f>
        <v>0</v>
      </c>
      <c r="AB323" s="3">
        <v>886.62068965517255</v>
      </c>
      <c r="AC323" s="3">
        <f>+Tabla22[[#This Row],[TikTok 2026]]</f>
        <v>0</v>
      </c>
      <c r="AD323" s="3">
        <v>3702.5862068965516</v>
      </c>
      <c r="AE323" s="3">
        <f>+Tabla22[[#This Row],[Shein 2026]]</f>
        <v>0</v>
      </c>
      <c r="AF323" s="5">
        <f t="shared" si="71"/>
        <v>0</v>
      </c>
      <c r="AG323" s="4">
        <f t="shared" si="72"/>
        <v>0</v>
      </c>
      <c r="AH323" s="5">
        <f t="shared" si="73"/>
        <v>-8192610.7157310415</v>
      </c>
      <c r="AI323" s="17">
        <f t="shared" si="66"/>
        <v>-1</v>
      </c>
      <c r="AJ323" s="17">
        <f t="shared" si="67"/>
        <v>0.10441891513293554</v>
      </c>
      <c r="AK323" s="14" t="e">
        <f t="shared" si="68"/>
        <v>#DIV/0!</v>
      </c>
      <c r="AL323" s="14">
        <f t="shared" si="69"/>
        <v>-1</v>
      </c>
    </row>
    <row r="324" spans="1:38" x14ac:dyDescent="0.3">
      <c r="A324" s="63">
        <v>45979</v>
      </c>
      <c r="B324" s="3">
        <v>39600628</v>
      </c>
      <c r="C324" s="3">
        <f t="shared" si="70"/>
        <v>6344583.2327586208</v>
      </c>
      <c r="D324" s="4">
        <f>+Tabla22[[#This Row],[Share diario]]</f>
        <v>5.7078859488549114E-2</v>
      </c>
      <c r="E324" s="3">
        <f>+Tabla22[[#This Row],[Global 2026]]</f>
        <v>0</v>
      </c>
      <c r="F324" s="7">
        <v>46343</v>
      </c>
      <c r="G324" s="3">
        <f>+Tabla2[[#This Row],[Meta Digital]]+Tabla2[[#This Row],[Meta MKPlace]]</f>
        <v>12731237.538540589</v>
      </c>
      <c r="H324" s="3">
        <v>9609023.9245169517</v>
      </c>
      <c r="I324" s="3">
        <v>3122213.6140236366</v>
      </c>
      <c r="J324" s="3">
        <v>4720959</v>
      </c>
      <c r="K324" s="3">
        <f>+Tabla22[[#This Row],[Web + APP 2026]]</f>
        <v>0</v>
      </c>
      <c r="L324" s="3">
        <v>47643.965517241362</v>
      </c>
      <c r="M324" s="3">
        <f>+Tabla22[[#This Row],[Afiliados 2026]]</f>
        <v>0</v>
      </c>
      <c r="N324" s="3">
        <v>95259</v>
      </c>
      <c r="O324" s="3">
        <f>+Tabla22[[#This Row],[TMK 2026]]</f>
        <v>0</v>
      </c>
      <c r="P324" s="3">
        <v>-1341</v>
      </c>
      <c r="Q324" s="3">
        <f>+Tabla22[[#This Row],[WA 2026]]</f>
        <v>0</v>
      </c>
      <c r="R324" s="3">
        <v>147773</v>
      </c>
      <c r="S324" s="3">
        <f>+Tabla22[[#This Row],[Ent. en Tienda 2026]]</f>
        <v>0</v>
      </c>
      <c r="T324" s="3">
        <v>932318</v>
      </c>
      <c r="U324" s="3">
        <f>+Tabla22[[#This Row],[Meli Drop 2026]]</f>
        <v>0</v>
      </c>
      <c r="V324" s="3">
        <v>326265</v>
      </c>
      <c r="W324" s="3">
        <f>+Tabla22[[#This Row],[Meli Full 2026]]</f>
        <v>0</v>
      </c>
      <c r="X324" s="3">
        <v>34579</v>
      </c>
      <c r="Y324" s="3">
        <f>+Tabla22[[#This Row],[Amazon Drop 2026]]</f>
        <v>0</v>
      </c>
      <c r="Z324" s="3">
        <v>35129</v>
      </c>
      <c r="AA324" s="3">
        <f>+Tabla22[[#This Row],[Amazon Full 2026]]</f>
        <v>0</v>
      </c>
      <c r="AB324" s="3">
        <v>5998.2672413793098</v>
      </c>
      <c r="AC324" s="3">
        <f>+Tabla22[[#This Row],[TikTok 2026]]</f>
        <v>0</v>
      </c>
      <c r="AD324" s="3">
        <v>0</v>
      </c>
      <c r="AE324" s="3">
        <f>+Tabla22[[#This Row],[Shein 2026]]</f>
        <v>0</v>
      </c>
      <c r="AF324" s="5">
        <f t="shared" si="71"/>
        <v>0</v>
      </c>
      <c r="AG324" s="4">
        <f t="shared" si="72"/>
        <v>0</v>
      </c>
      <c r="AH324" s="5">
        <f t="shared" si="73"/>
        <v>-12731237.538540589</v>
      </c>
      <c r="AI324" s="17">
        <f t="shared" ref="AI324:AI368" si="74">+AF324/C324-1</f>
        <v>-1</v>
      </c>
      <c r="AJ324" s="17">
        <f t="shared" ref="AJ324:AJ368" si="75">+C324/B324</f>
        <v>0.16021420753121948</v>
      </c>
      <c r="AK324" s="14" t="e">
        <f t="shared" ref="AK324:AK368" si="76">+AF324/E324</f>
        <v>#DIV/0!</v>
      </c>
      <c r="AL324" s="14">
        <f t="shared" ref="AL324:AL368" si="77">+E324/B324-1</f>
        <v>-1</v>
      </c>
    </row>
    <row r="325" spans="1:38" x14ac:dyDescent="0.3">
      <c r="A325" s="7">
        <v>45980</v>
      </c>
      <c r="B325" s="3">
        <v>44043429</v>
      </c>
      <c r="C325" s="3">
        <f t="shared" ref="C325:C368" si="78">+J325+L325+N325+P325+R325+T325+V325+X325+Z325+AB325+AD325</f>
        <v>6100331.8534482755</v>
      </c>
      <c r="D325" s="4">
        <f>+Tabla22[[#This Row],[Share diario]]</f>
        <v>3.7663098577015115E-2</v>
      </c>
      <c r="E325" s="3">
        <f>+Tabla22[[#This Row],[Global 2026]]</f>
        <v>0</v>
      </c>
      <c r="F325" s="7">
        <v>46344</v>
      </c>
      <c r="G325" s="3">
        <f>+Tabla2[[#This Row],[Meta Digital]]+Tabla2[[#This Row],[Meta MKPlace]]</f>
        <v>8400620.8028323352</v>
      </c>
      <c r="H325" s="3">
        <v>6340449.3106696075</v>
      </c>
      <c r="I325" s="3">
        <v>2060171.4921627268</v>
      </c>
      <c r="J325" s="3">
        <v>4242519</v>
      </c>
      <c r="K325" s="3">
        <f>+Tabla22[[#This Row],[Web + APP 2026]]</f>
        <v>0</v>
      </c>
      <c r="L325" s="3">
        <v>49587.068965517217</v>
      </c>
      <c r="M325" s="3">
        <f>+Tabla22[[#This Row],[Afiliados 2026]]</f>
        <v>0</v>
      </c>
      <c r="N325" s="3">
        <v>76524</v>
      </c>
      <c r="O325" s="3">
        <f>+Tabla22[[#This Row],[TMK 2026]]</f>
        <v>0</v>
      </c>
      <c r="P325" s="3">
        <v>2601</v>
      </c>
      <c r="Q325" s="3">
        <f>+Tabla22[[#This Row],[WA 2026]]</f>
        <v>0</v>
      </c>
      <c r="R325" s="3">
        <v>240478</v>
      </c>
      <c r="S325" s="3">
        <f>+Tabla22[[#This Row],[Ent. en Tienda 2026]]</f>
        <v>0</v>
      </c>
      <c r="T325" s="3">
        <v>1127916</v>
      </c>
      <c r="U325" s="3">
        <f>+Tabla22[[#This Row],[Meli Drop 2026]]</f>
        <v>0</v>
      </c>
      <c r="V325" s="3">
        <v>278096</v>
      </c>
      <c r="W325" s="3">
        <f>+Tabla22[[#This Row],[Meli Full 2026]]</f>
        <v>0</v>
      </c>
      <c r="X325" s="3">
        <v>37316</v>
      </c>
      <c r="Y325" s="3">
        <f>+Tabla22[[#This Row],[Amazon Drop 2026]]</f>
        <v>0</v>
      </c>
      <c r="Z325" s="3">
        <v>34950</v>
      </c>
      <c r="AA325" s="3">
        <f>+Tabla22[[#This Row],[Amazon Full 2026]]</f>
        <v>0</v>
      </c>
      <c r="AB325" s="3">
        <v>5866.3362068965525</v>
      </c>
      <c r="AC325" s="3">
        <f>+Tabla22[[#This Row],[TikTok 2026]]</f>
        <v>0</v>
      </c>
      <c r="AD325" s="3">
        <v>4478.4482758620688</v>
      </c>
      <c r="AE325" s="3">
        <f>+Tabla22[[#This Row],[Shein 2026]]</f>
        <v>0</v>
      </c>
      <c r="AF325" s="5">
        <f t="shared" si="71"/>
        <v>0</v>
      </c>
      <c r="AG325" s="4">
        <f t="shared" si="72"/>
        <v>0</v>
      </c>
      <c r="AH325" s="5">
        <f t="shared" si="73"/>
        <v>-8400620.8028323352</v>
      </c>
      <c r="AI325" s="17">
        <f t="shared" si="74"/>
        <v>-1</v>
      </c>
      <c r="AJ325" s="17">
        <f t="shared" si="75"/>
        <v>0.13850719600983555</v>
      </c>
      <c r="AK325" s="14" t="e">
        <f t="shared" si="76"/>
        <v>#DIV/0!</v>
      </c>
      <c r="AL325" s="14">
        <f t="shared" si="77"/>
        <v>-1</v>
      </c>
    </row>
    <row r="326" spans="1:38" x14ac:dyDescent="0.3">
      <c r="A326" s="63">
        <v>45981</v>
      </c>
      <c r="B326" s="3">
        <v>45264544</v>
      </c>
      <c r="C326" s="3">
        <f t="shared" si="78"/>
        <v>4223555.3103448283</v>
      </c>
      <c r="D326" s="4">
        <f>+Tabla22[[#This Row],[Share diario]]</f>
        <v>3.6213158771822018E-2</v>
      </c>
      <c r="E326" s="3">
        <f>+Tabla22[[#This Row],[Global 2026]]</f>
        <v>0</v>
      </c>
      <c r="F326" s="7">
        <v>46345</v>
      </c>
      <c r="G326" s="3">
        <f>+Tabla2[[#This Row],[Meta Digital]]+Tabla2[[#This Row],[Meta MKPlace]]</f>
        <v>8077216.8623558804</v>
      </c>
      <c r="H326" s="3">
        <v>6096357.0775372162</v>
      </c>
      <c r="I326" s="3">
        <v>1980859.7848186644</v>
      </c>
      <c r="J326" s="3">
        <v>3180652</v>
      </c>
      <c r="K326" s="3">
        <f>+Tabla22[[#This Row],[Web + APP 2026]]</f>
        <v>0</v>
      </c>
      <c r="L326" s="3">
        <v>40595.689655172406</v>
      </c>
      <c r="M326" s="3">
        <f>+Tabla22[[#This Row],[Afiliados 2026]]</f>
        <v>0</v>
      </c>
      <c r="N326" s="3">
        <v>49953</v>
      </c>
      <c r="O326" s="3">
        <f>+Tabla22[[#This Row],[TMK 2026]]</f>
        <v>0</v>
      </c>
      <c r="P326" s="3">
        <v>6804</v>
      </c>
      <c r="Q326" s="3">
        <f>+Tabla22[[#This Row],[WA 2026]]</f>
        <v>0</v>
      </c>
      <c r="R326" s="3">
        <v>241917</v>
      </c>
      <c r="S326" s="3">
        <f>+Tabla22[[#This Row],[Ent. en Tienda 2026]]</f>
        <v>0</v>
      </c>
      <c r="T326" s="3">
        <v>322746</v>
      </c>
      <c r="U326" s="3">
        <f>+Tabla22[[#This Row],[Meli Drop 2026]]</f>
        <v>0</v>
      </c>
      <c r="V326" s="3">
        <v>305105</v>
      </c>
      <c r="W326" s="3">
        <f>+Tabla22[[#This Row],[Meli Full 2026]]</f>
        <v>0</v>
      </c>
      <c r="X326" s="3">
        <v>24957</v>
      </c>
      <c r="Y326" s="3">
        <f>+Tabla22[[#This Row],[Amazon Drop 2026]]</f>
        <v>0</v>
      </c>
      <c r="Z326" s="3">
        <v>45711</v>
      </c>
      <c r="AA326" s="3">
        <f>+Tabla22[[#This Row],[Amazon Full 2026]]</f>
        <v>0</v>
      </c>
      <c r="AB326" s="3">
        <v>2272.3793103448279</v>
      </c>
      <c r="AC326" s="3">
        <f>+Tabla22[[#This Row],[TikTok 2026]]</f>
        <v>0</v>
      </c>
      <c r="AD326" s="3">
        <v>2842.2413793103451</v>
      </c>
      <c r="AE326" s="3">
        <f>+Tabla22[[#This Row],[Shein 2026]]</f>
        <v>0</v>
      </c>
      <c r="AF326" s="5">
        <f t="shared" si="71"/>
        <v>0</v>
      </c>
      <c r="AG326" s="4">
        <f t="shared" si="72"/>
        <v>0</v>
      </c>
      <c r="AH326" s="5">
        <f t="shared" si="73"/>
        <v>-8077216.8623558804</v>
      </c>
      <c r="AI326" s="17">
        <f t="shared" si="74"/>
        <v>-1</v>
      </c>
      <c r="AJ326" s="17">
        <f t="shared" si="75"/>
        <v>9.3308248291307835E-2</v>
      </c>
      <c r="AK326" s="14" t="e">
        <f t="shared" si="76"/>
        <v>#DIV/0!</v>
      </c>
      <c r="AL326" s="14">
        <f t="shared" si="77"/>
        <v>-1</v>
      </c>
    </row>
    <row r="327" spans="1:38" x14ac:dyDescent="0.3">
      <c r="A327" s="7">
        <v>45982</v>
      </c>
      <c r="B327" s="3">
        <v>48516289</v>
      </c>
      <c r="C327" s="3">
        <f t="shared" si="78"/>
        <v>3825613.4913793104</v>
      </c>
      <c r="D327" s="4">
        <f>+Tabla22[[#This Row],[Share diario]]</f>
        <v>2.5072124387566501E-2</v>
      </c>
      <c r="E327" s="3">
        <f>+Tabla22[[#This Row],[Global 2026]]</f>
        <v>0</v>
      </c>
      <c r="F327" s="7">
        <v>46346</v>
      </c>
      <c r="G327" s="3">
        <f>+Tabla2[[#This Row],[Meta Digital]]+Tabla2[[#This Row],[Meta MKPlace]]</f>
        <v>5592248.5843989532</v>
      </c>
      <c r="H327" s="3">
        <v>4220803.380399066</v>
      </c>
      <c r="I327" s="3">
        <v>1371445.2039998877</v>
      </c>
      <c r="J327" s="3">
        <v>2745907</v>
      </c>
      <c r="K327" s="3">
        <f>+Tabla22[[#This Row],[Web + APP 2026]]</f>
        <v>0</v>
      </c>
      <c r="L327" s="3">
        <v>33519.827586206884</v>
      </c>
      <c r="M327" s="3">
        <f>+Tabla22[[#This Row],[Afiliados 2026]]</f>
        <v>0</v>
      </c>
      <c r="N327" s="3">
        <v>17150</v>
      </c>
      <c r="O327" s="3">
        <f>+Tabla22[[#This Row],[TMK 2026]]</f>
        <v>0</v>
      </c>
      <c r="P327" s="3">
        <v>7339</v>
      </c>
      <c r="Q327" s="3">
        <f>+Tabla22[[#This Row],[WA 2026]]</f>
        <v>0</v>
      </c>
      <c r="R327" s="3">
        <v>206736</v>
      </c>
      <c r="S327" s="3">
        <f>+Tabla22[[#This Row],[Ent. en Tienda 2026]]</f>
        <v>0</v>
      </c>
      <c r="T327" s="3">
        <v>475176</v>
      </c>
      <c r="U327" s="3">
        <f>+Tabla22[[#This Row],[Meli Drop 2026]]</f>
        <v>0</v>
      </c>
      <c r="V327" s="3">
        <v>235742</v>
      </c>
      <c r="W327" s="3">
        <f>+Tabla22[[#This Row],[Meli Full 2026]]</f>
        <v>0</v>
      </c>
      <c r="X327" s="3">
        <v>25815</v>
      </c>
      <c r="Y327" s="3">
        <f>+Tabla22[[#This Row],[Amazon Drop 2026]]</f>
        <v>0</v>
      </c>
      <c r="Z327" s="3">
        <v>62744</v>
      </c>
      <c r="AA327" s="3">
        <f>+Tabla22[[#This Row],[Amazon Full 2026]]</f>
        <v>0</v>
      </c>
      <c r="AB327" s="3">
        <v>14709.663793103451</v>
      </c>
      <c r="AC327" s="3">
        <f>+Tabla22[[#This Row],[TikTok 2026]]</f>
        <v>0</v>
      </c>
      <c r="AD327" s="3">
        <v>775</v>
      </c>
      <c r="AE327" s="3">
        <f>+Tabla22[[#This Row],[Shein 2026]]</f>
        <v>0</v>
      </c>
      <c r="AF327" s="5">
        <f t="shared" si="71"/>
        <v>0</v>
      </c>
      <c r="AG327" s="4">
        <f t="shared" si="72"/>
        <v>0</v>
      </c>
      <c r="AH327" s="5">
        <f t="shared" si="73"/>
        <v>-5592248.5843989532</v>
      </c>
      <c r="AI327" s="17">
        <f t="shared" si="74"/>
        <v>-1</v>
      </c>
      <c r="AJ327" s="17">
        <f t="shared" si="75"/>
        <v>7.8852145747983951E-2</v>
      </c>
      <c r="AK327" s="14" t="e">
        <f t="shared" si="76"/>
        <v>#DIV/0!</v>
      </c>
      <c r="AL327" s="14">
        <f t="shared" si="77"/>
        <v>-1</v>
      </c>
    </row>
    <row r="328" spans="1:38" x14ac:dyDescent="0.3">
      <c r="A328" s="63">
        <v>45983</v>
      </c>
      <c r="B328" s="3">
        <v>62976306</v>
      </c>
      <c r="C328" s="3">
        <f t="shared" si="78"/>
        <v>6091144.3448275859</v>
      </c>
      <c r="D328" s="4">
        <f>+Tabla22[[#This Row],[Share diario]]</f>
        <v>2.2709838102435941E-2</v>
      </c>
      <c r="E328" s="3">
        <f>+Tabla22[[#This Row],[Global 2026]]</f>
        <v>0</v>
      </c>
      <c r="F328" s="7">
        <v>46347</v>
      </c>
      <c r="G328" s="3">
        <f>+Tabla2[[#This Row],[Meta Digital]]+Tabla2[[#This Row],[Meta MKPlace]]</f>
        <v>5065348.9914582921</v>
      </c>
      <c r="H328" s="3">
        <v>3823120.847255046</v>
      </c>
      <c r="I328" s="3">
        <v>1242228.1442032459</v>
      </c>
      <c r="J328" s="3">
        <v>2622616</v>
      </c>
      <c r="K328" s="3">
        <f>+Tabla22[[#This Row],[Web + APP 2026]]</f>
        <v>0</v>
      </c>
      <c r="L328" s="3">
        <v>47146.551724137913</v>
      </c>
      <c r="M328" s="3">
        <f>+Tabla22[[#This Row],[Afiliados 2026]]</f>
        <v>0</v>
      </c>
      <c r="N328" s="3">
        <v>58779</v>
      </c>
      <c r="O328" s="3">
        <f>+Tabla22[[#This Row],[TMK 2026]]</f>
        <v>0</v>
      </c>
      <c r="P328" s="3">
        <v>5619</v>
      </c>
      <c r="Q328" s="3">
        <f>+Tabla22[[#This Row],[WA 2026]]</f>
        <v>0</v>
      </c>
      <c r="R328" s="3">
        <v>218600</v>
      </c>
      <c r="S328" s="3">
        <f>+Tabla22[[#This Row],[Ent. en Tienda 2026]]</f>
        <v>0</v>
      </c>
      <c r="T328" s="3">
        <v>2828747</v>
      </c>
      <c r="U328" s="3">
        <f>+Tabla22[[#This Row],[Meli Drop 2026]]</f>
        <v>0</v>
      </c>
      <c r="V328" s="3">
        <v>232232</v>
      </c>
      <c r="W328" s="3">
        <f>+Tabla22[[#This Row],[Meli Full 2026]]</f>
        <v>0</v>
      </c>
      <c r="X328" s="3">
        <v>32234</v>
      </c>
      <c r="Y328" s="3">
        <f>+Tabla22[[#This Row],[Amazon Drop 2026]]</f>
        <v>0</v>
      </c>
      <c r="Z328" s="3">
        <v>42932</v>
      </c>
      <c r="AA328" s="3">
        <f>+Tabla22[[#This Row],[Amazon Full 2026]]</f>
        <v>0</v>
      </c>
      <c r="AB328" s="3">
        <v>0</v>
      </c>
      <c r="AC328" s="3">
        <f>+Tabla22[[#This Row],[TikTok 2026]]</f>
        <v>0</v>
      </c>
      <c r="AD328" s="3">
        <v>2238.7931034482758</v>
      </c>
      <c r="AE328" s="3">
        <f>+Tabla22[[#This Row],[Shein 2026]]</f>
        <v>0</v>
      </c>
      <c r="AF328" s="5">
        <f t="shared" si="71"/>
        <v>0</v>
      </c>
      <c r="AG328" s="4">
        <f t="shared" si="72"/>
        <v>0</v>
      </c>
      <c r="AH328" s="5">
        <f t="shared" si="73"/>
        <v>-5065348.9914582921</v>
      </c>
      <c r="AI328" s="17">
        <f t="shared" si="74"/>
        <v>-1</v>
      </c>
      <c r="AJ328" s="17">
        <f t="shared" si="75"/>
        <v>9.6721207255750855E-2</v>
      </c>
      <c r="AK328" s="14" t="e">
        <f t="shared" si="76"/>
        <v>#DIV/0!</v>
      </c>
      <c r="AL328" s="14">
        <f t="shared" si="77"/>
        <v>-1</v>
      </c>
    </row>
    <row r="329" spans="1:38" x14ac:dyDescent="0.3">
      <c r="A329" s="7">
        <v>45984</v>
      </c>
      <c r="B329" s="3">
        <v>64339155</v>
      </c>
      <c r="C329" s="3">
        <f t="shared" si="78"/>
        <v>3431368.1982758618</v>
      </c>
      <c r="D329" s="4">
        <f>+Tabla22[[#This Row],[Share diario]]</f>
        <v>3.6158619327675147E-2</v>
      </c>
      <c r="E329" s="3">
        <f>+Tabla22[[#This Row],[Global 2026]]</f>
        <v>0</v>
      </c>
      <c r="F329" s="7">
        <v>46348</v>
      </c>
      <c r="G329" s="3">
        <f>+Tabla2[[#This Row],[Meta Digital]]+Tabla2[[#This Row],[Meta MKPlace]]</f>
        <v>8065052.0324192718</v>
      </c>
      <c r="H329" s="3">
        <v>6087175.5551954415</v>
      </c>
      <c r="I329" s="3">
        <v>1977876.4772238305</v>
      </c>
      <c r="J329" s="3">
        <v>2912051</v>
      </c>
      <c r="K329" s="3">
        <f>+Tabla22[[#This Row],[Web + APP 2026]]</f>
        <v>0</v>
      </c>
      <c r="L329" s="3">
        <v>50568.10344827584</v>
      </c>
      <c r="M329" s="3">
        <f>+Tabla22[[#This Row],[Afiliados 2026]]</f>
        <v>0</v>
      </c>
      <c r="N329" s="3">
        <v>-4265</v>
      </c>
      <c r="O329" s="3">
        <f>+Tabla22[[#This Row],[TMK 2026]]</f>
        <v>0</v>
      </c>
      <c r="P329" s="3">
        <v>1723</v>
      </c>
      <c r="Q329" s="3">
        <f>+Tabla22[[#This Row],[WA 2026]]</f>
        <v>0</v>
      </c>
      <c r="R329" s="3">
        <v>188141</v>
      </c>
      <c r="S329" s="3">
        <f>+Tabla22[[#This Row],[Ent. en Tienda 2026]]</f>
        <v>0</v>
      </c>
      <c r="T329" s="3">
        <v>-35352</v>
      </c>
      <c r="U329" s="3">
        <f>+Tabla22[[#This Row],[Meli Drop 2026]]</f>
        <v>0</v>
      </c>
      <c r="V329" s="3">
        <v>235657</v>
      </c>
      <c r="W329" s="3">
        <f>+Tabla22[[#This Row],[Meli Full 2026]]</f>
        <v>0</v>
      </c>
      <c r="X329" s="3">
        <v>30424</v>
      </c>
      <c r="Y329" s="3">
        <f>+Tabla22[[#This Row],[Amazon Drop 2026]]</f>
        <v>0</v>
      </c>
      <c r="Z329" s="3">
        <v>50063</v>
      </c>
      <c r="AA329" s="3">
        <f>+Tabla22[[#This Row],[Amazon Full 2026]]</f>
        <v>0</v>
      </c>
      <c r="AB329" s="3">
        <v>635.68103448275861</v>
      </c>
      <c r="AC329" s="3">
        <f>+Tabla22[[#This Row],[TikTok 2026]]</f>
        <v>0</v>
      </c>
      <c r="AD329" s="3">
        <v>1722.4137931034484</v>
      </c>
      <c r="AE329" s="3">
        <f>+Tabla22[[#This Row],[Shein 2026]]</f>
        <v>0</v>
      </c>
      <c r="AF329" s="5">
        <f t="shared" si="71"/>
        <v>0</v>
      </c>
      <c r="AG329" s="4">
        <f t="shared" si="72"/>
        <v>0</v>
      </c>
      <c r="AH329" s="5">
        <f t="shared" si="73"/>
        <v>-8065052.0324192718</v>
      </c>
      <c r="AI329" s="17">
        <f t="shared" si="74"/>
        <v>-1</v>
      </c>
      <c r="AJ329" s="17">
        <f t="shared" si="75"/>
        <v>5.3332503329828654E-2</v>
      </c>
      <c r="AK329" s="14" t="e">
        <f t="shared" si="76"/>
        <v>#DIV/0!</v>
      </c>
      <c r="AL329" s="14">
        <f t="shared" si="77"/>
        <v>-1</v>
      </c>
    </row>
    <row r="330" spans="1:38" x14ac:dyDescent="0.3">
      <c r="A330" s="63">
        <v>45985</v>
      </c>
      <c r="B330" s="3">
        <v>34296937</v>
      </c>
      <c r="C330" s="3">
        <f t="shared" si="78"/>
        <v>6135911.8620689651</v>
      </c>
      <c r="D330" s="4">
        <f>+Tabla22[[#This Row],[Share diario]]</f>
        <v>2.0369495357618127E-2</v>
      </c>
      <c r="E330" s="3">
        <f>+Tabla22[[#This Row],[Global 2026]]</f>
        <v>0</v>
      </c>
      <c r="F330" s="7">
        <v>46349</v>
      </c>
      <c r="G330" s="3">
        <f>+Tabla2[[#This Row],[Meta Digital]]+Tabla2[[#This Row],[Meta MKPlace]]</f>
        <v>4543343.8274999429</v>
      </c>
      <c r="H330" s="3">
        <v>3429132.4314382309</v>
      </c>
      <c r="I330" s="3">
        <v>1114211.3960617115</v>
      </c>
      <c r="J330" s="3">
        <v>4329304</v>
      </c>
      <c r="K330" s="3">
        <f>+Tabla22[[#This Row],[Web + APP 2026]]</f>
        <v>0</v>
      </c>
      <c r="L330" s="3">
        <v>41142.241379310333</v>
      </c>
      <c r="M330" s="3">
        <f>+Tabla22[[#This Row],[Afiliados 2026]]</f>
        <v>0</v>
      </c>
      <c r="N330" s="3">
        <v>88047</v>
      </c>
      <c r="O330" s="3">
        <f>+Tabla22[[#This Row],[TMK 2026]]</f>
        <v>0</v>
      </c>
      <c r="P330" s="3">
        <v>6720</v>
      </c>
      <c r="Q330" s="3">
        <f>+Tabla22[[#This Row],[WA 2026]]</f>
        <v>0</v>
      </c>
      <c r="R330" s="3">
        <v>71904</v>
      </c>
      <c r="S330" s="3">
        <f>+Tabla22[[#This Row],[Ent. en Tienda 2026]]</f>
        <v>0</v>
      </c>
      <c r="T330" s="3">
        <v>1270753</v>
      </c>
      <c r="U330" s="3">
        <f>+Tabla22[[#This Row],[Meli Drop 2026]]</f>
        <v>0</v>
      </c>
      <c r="V330" s="3">
        <v>227520</v>
      </c>
      <c r="W330" s="3">
        <f>+Tabla22[[#This Row],[Meli Full 2026]]</f>
        <v>0</v>
      </c>
      <c r="X330" s="3">
        <v>42479</v>
      </c>
      <c r="Y330" s="3">
        <f>+Tabla22[[#This Row],[Amazon Drop 2026]]</f>
        <v>0</v>
      </c>
      <c r="Z330" s="3">
        <v>30741</v>
      </c>
      <c r="AA330" s="3">
        <f>+Tabla22[[#This Row],[Amazon Full 2026]]</f>
        <v>0</v>
      </c>
      <c r="AB330" s="3">
        <v>26526.620689655178</v>
      </c>
      <c r="AC330" s="3">
        <f>+Tabla22[[#This Row],[TikTok 2026]]</f>
        <v>0</v>
      </c>
      <c r="AD330" s="3">
        <v>775</v>
      </c>
      <c r="AE330" s="3">
        <f>+Tabla22[[#This Row],[Shein 2026]]</f>
        <v>0</v>
      </c>
      <c r="AF330" s="5">
        <f t="shared" si="71"/>
        <v>0</v>
      </c>
      <c r="AG330" s="4">
        <f t="shared" si="72"/>
        <v>0</v>
      </c>
      <c r="AH330" s="5">
        <f t="shared" si="73"/>
        <v>-4543343.8274999429</v>
      </c>
      <c r="AI330" s="17">
        <f t="shared" si="74"/>
        <v>-1</v>
      </c>
      <c r="AJ330" s="17">
        <f t="shared" si="75"/>
        <v>0.1789055349773353</v>
      </c>
      <c r="AK330" s="14" t="e">
        <f t="shared" si="76"/>
        <v>#DIV/0!</v>
      </c>
      <c r="AL330" s="14">
        <f t="shared" si="77"/>
        <v>-1</v>
      </c>
    </row>
    <row r="331" spans="1:38" x14ac:dyDescent="0.3">
      <c r="A331" s="7">
        <v>45986</v>
      </c>
      <c r="B331" s="3">
        <v>41221018</v>
      </c>
      <c r="C331" s="3">
        <f t="shared" si="78"/>
        <v>5937682.7672413802</v>
      </c>
      <c r="D331" s="4">
        <f>+Tabla22[[#This Row],[Share diario]]</f>
        <v>3.6424370970147835E-2</v>
      </c>
      <c r="E331" s="3">
        <f>+Tabla22[[#This Row],[Global 2026]]</f>
        <v>0</v>
      </c>
      <c r="F331" s="7">
        <v>46350</v>
      </c>
      <c r="G331" s="3">
        <f>+Tabla2[[#This Row],[Meta Digital]]+Tabla2[[#This Row],[Meta MKPlace]]</f>
        <v>8124326.9954597633</v>
      </c>
      <c r="H331" s="3">
        <v>6131913.9033926763</v>
      </c>
      <c r="I331" s="3">
        <v>1992413.0920670866</v>
      </c>
      <c r="J331" s="3">
        <v>4166212</v>
      </c>
      <c r="K331" s="3">
        <f>+Tabla22[[#This Row],[Web + APP 2026]]</f>
        <v>0</v>
      </c>
      <c r="L331" s="3">
        <v>42426.724137931014</v>
      </c>
      <c r="M331" s="3">
        <f>+Tabla22[[#This Row],[Afiliados 2026]]</f>
        <v>0</v>
      </c>
      <c r="N331" s="3">
        <v>58241</v>
      </c>
      <c r="O331" s="3">
        <f>+Tabla22[[#This Row],[TMK 2026]]</f>
        <v>0</v>
      </c>
      <c r="P331" s="3">
        <v>1526</v>
      </c>
      <c r="Q331" s="3">
        <f>+Tabla22[[#This Row],[WA 2026]]</f>
        <v>0</v>
      </c>
      <c r="R331" s="3">
        <v>150921</v>
      </c>
      <c r="S331" s="3">
        <f>+Tabla22[[#This Row],[Ent. en Tienda 2026]]</f>
        <v>0</v>
      </c>
      <c r="T331" s="3">
        <v>1227377</v>
      </c>
      <c r="U331" s="3">
        <f>+Tabla22[[#This Row],[Meli Drop 2026]]</f>
        <v>0</v>
      </c>
      <c r="V331" s="3">
        <v>207275</v>
      </c>
      <c r="W331" s="3">
        <f>+Tabla22[[#This Row],[Meli Full 2026]]</f>
        <v>0</v>
      </c>
      <c r="X331" s="3">
        <v>45350</v>
      </c>
      <c r="Y331" s="3">
        <f>+Tabla22[[#This Row],[Amazon Drop 2026]]</f>
        <v>0</v>
      </c>
      <c r="Z331" s="3">
        <v>31920</v>
      </c>
      <c r="AA331" s="3">
        <f>+Tabla22[[#This Row],[Amazon Full 2026]]</f>
        <v>0</v>
      </c>
      <c r="AB331" s="3">
        <v>5486.6293103448288</v>
      </c>
      <c r="AC331" s="3">
        <f>+Tabla22[[#This Row],[TikTok 2026]]</f>
        <v>0</v>
      </c>
      <c r="AD331" s="3">
        <v>947.41379310344837</v>
      </c>
      <c r="AE331" s="3">
        <f>+Tabla22[[#This Row],[Shein 2026]]</f>
        <v>0</v>
      </c>
      <c r="AF331" s="5">
        <f t="shared" si="71"/>
        <v>0</v>
      </c>
      <c r="AG331" s="4">
        <f t="shared" si="72"/>
        <v>0</v>
      </c>
      <c r="AH331" s="5">
        <f t="shared" si="73"/>
        <v>-8124326.9954597633</v>
      </c>
      <c r="AI331" s="17">
        <f t="shared" si="74"/>
        <v>-1</v>
      </c>
      <c r="AJ331" s="17">
        <f t="shared" si="75"/>
        <v>0.14404502982535219</v>
      </c>
      <c r="AK331" s="14" t="e">
        <f t="shared" si="76"/>
        <v>#DIV/0!</v>
      </c>
      <c r="AL331" s="14">
        <f t="shared" si="77"/>
        <v>-1</v>
      </c>
    </row>
    <row r="332" spans="1:38" x14ac:dyDescent="0.3">
      <c r="A332" s="63">
        <v>45987</v>
      </c>
      <c r="B332" s="3">
        <v>45570391</v>
      </c>
      <c r="C332" s="3">
        <f t="shared" si="78"/>
        <v>6070530.0344827594</v>
      </c>
      <c r="D332" s="4">
        <f>+Tabla22[[#This Row],[Share diario]]</f>
        <v>3.5247631432588383E-2</v>
      </c>
      <c r="E332" s="3">
        <f>+Tabla22[[#This Row],[Global 2026]]</f>
        <v>0</v>
      </c>
      <c r="F332" s="7">
        <v>46351</v>
      </c>
      <c r="G332" s="3">
        <f>+Tabla2[[#This Row],[Meta Digital]]+Tabla2[[#This Row],[Meta MKPlace]]</f>
        <v>7861859.4074963545</v>
      </c>
      <c r="H332" s="3">
        <v>5933813.9681337699</v>
      </c>
      <c r="I332" s="3">
        <v>1928045.4393625846</v>
      </c>
      <c r="J332" s="3">
        <v>4117696</v>
      </c>
      <c r="K332" s="3">
        <f>+Tabla22[[#This Row],[Web + APP 2026]]</f>
        <v>0</v>
      </c>
      <c r="L332" s="3">
        <v>37900.862068965507</v>
      </c>
      <c r="M332" s="3">
        <f>+Tabla22[[#This Row],[Afiliados 2026]]</f>
        <v>0</v>
      </c>
      <c r="N332" s="3">
        <v>90470</v>
      </c>
      <c r="O332" s="3">
        <f>+Tabla22[[#This Row],[TMK 2026]]</f>
        <v>0</v>
      </c>
      <c r="P332" s="3">
        <v>6491</v>
      </c>
      <c r="Q332" s="3">
        <f>+Tabla22[[#This Row],[WA 2026]]</f>
        <v>0</v>
      </c>
      <c r="R332" s="3">
        <v>216552</v>
      </c>
      <c r="S332" s="3">
        <f>+Tabla22[[#This Row],[Ent. en Tienda 2026]]</f>
        <v>0</v>
      </c>
      <c r="T332" s="3">
        <v>1254318</v>
      </c>
      <c r="U332" s="3">
        <f>+Tabla22[[#This Row],[Meli Drop 2026]]</f>
        <v>0</v>
      </c>
      <c r="V332" s="3">
        <v>277281</v>
      </c>
      <c r="W332" s="3">
        <f>+Tabla22[[#This Row],[Meli Full 2026]]</f>
        <v>0</v>
      </c>
      <c r="X332" s="3">
        <v>43933</v>
      </c>
      <c r="Y332" s="3">
        <f>+Tabla22[[#This Row],[Amazon Drop 2026]]</f>
        <v>0</v>
      </c>
      <c r="Z332" s="3">
        <v>18743</v>
      </c>
      <c r="AA332" s="3">
        <f>+Tabla22[[#This Row],[Amazon Full 2026]]</f>
        <v>0</v>
      </c>
      <c r="AB332" s="3">
        <v>6197.7586206896558</v>
      </c>
      <c r="AC332" s="3">
        <f>+Tabla22[[#This Row],[TikTok 2026]]</f>
        <v>0</v>
      </c>
      <c r="AD332" s="3">
        <v>947.41379310344837</v>
      </c>
      <c r="AE332" s="3">
        <f>+Tabla22[[#This Row],[Shein 2026]]</f>
        <v>0</v>
      </c>
      <c r="AF332" s="5">
        <f t="shared" si="71"/>
        <v>0</v>
      </c>
      <c r="AG332" s="4">
        <f t="shared" si="72"/>
        <v>0</v>
      </c>
      <c r="AH332" s="5">
        <f t="shared" si="73"/>
        <v>-7861859.4074963545</v>
      </c>
      <c r="AI332" s="17">
        <f t="shared" si="74"/>
        <v>-1</v>
      </c>
      <c r="AJ332" s="17">
        <f t="shared" si="75"/>
        <v>0.13321215599143663</v>
      </c>
      <c r="AK332" s="14" t="e">
        <f t="shared" si="76"/>
        <v>#DIV/0!</v>
      </c>
      <c r="AL332" s="14">
        <f t="shared" si="77"/>
        <v>-1</v>
      </c>
    </row>
    <row r="333" spans="1:38" x14ac:dyDescent="0.3">
      <c r="A333" s="7">
        <v>45988</v>
      </c>
      <c r="B333" s="3">
        <v>50030169</v>
      </c>
      <c r="C333" s="3">
        <f t="shared" si="78"/>
        <v>5132523.2672413792</v>
      </c>
      <c r="D333" s="4">
        <f>+Tabla22[[#This Row],[Share diario]]</f>
        <v>3.6036247412274042E-2</v>
      </c>
      <c r="E333" s="3">
        <f>+Tabla22[[#This Row],[Global 2026]]</f>
        <v>0</v>
      </c>
      <c r="F333" s="7">
        <v>46352</v>
      </c>
      <c r="G333" s="3">
        <f>+Tabla2[[#This Row],[Meta Digital]]+Tabla2[[#This Row],[Meta MKPlace]]</f>
        <v>8037757.4099096861</v>
      </c>
      <c r="H333" s="3">
        <v>6066574.6764582954</v>
      </c>
      <c r="I333" s="3">
        <v>1971182.7334513902</v>
      </c>
      <c r="J333" s="3">
        <v>3604392</v>
      </c>
      <c r="K333" s="3">
        <f>+Tabla22[[#This Row],[Web + APP 2026]]</f>
        <v>0</v>
      </c>
      <c r="L333" s="3">
        <v>43066.379310344812</v>
      </c>
      <c r="M333" s="3">
        <f>+Tabla22[[#This Row],[Afiliados 2026]]</f>
        <v>0</v>
      </c>
      <c r="N333" s="3">
        <v>49493</v>
      </c>
      <c r="O333" s="3">
        <f>+Tabla22[[#This Row],[TMK 2026]]</f>
        <v>0</v>
      </c>
      <c r="P333" s="3">
        <v>2376</v>
      </c>
      <c r="Q333" s="3">
        <f>+Tabla22[[#This Row],[WA 2026]]</f>
        <v>0</v>
      </c>
      <c r="R333" s="3">
        <v>89383</v>
      </c>
      <c r="S333" s="3">
        <f>+Tabla22[[#This Row],[Ent. en Tienda 2026]]</f>
        <v>0</v>
      </c>
      <c r="T333" s="3">
        <v>885777</v>
      </c>
      <c r="U333" s="3">
        <f>+Tabla22[[#This Row],[Meli Drop 2026]]</f>
        <v>0</v>
      </c>
      <c r="V333" s="3">
        <v>367182</v>
      </c>
      <c r="W333" s="3">
        <f>+Tabla22[[#This Row],[Meli Full 2026]]</f>
        <v>0</v>
      </c>
      <c r="X333" s="3">
        <v>52085</v>
      </c>
      <c r="Y333" s="3">
        <f>+Tabla22[[#This Row],[Amazon Drop 2026]]</f>
        <v>0</v>
      </c>
      <c r="Z333" s="3">
        <v>32521</v>
      </c>
      <c r="AA333" s="3">
        <f>+Tabla22[[#This Row],[Amazon Full 2026]]</f>
        <v>0</v>
      </c>
      <c r="AB333" s="3">
        <v>7195.3017241379321</v>
      </c>
      <c r="AC333" s="3">
        <f>+Tabla22[[#This Row],[TikTok 2026]]</f>
        <v>0</v>
      </c>
      <c r="AD333" s="3">
        <v>-947.41379310344837</v>
      </c>
      <c r="AE333" s="3">
        <f>+Tabla22[[#This Row],[Shein 2026]]</f>
        <v>0</v>
      </c>
      <c r="AF333" s="5">
        <f t="shared" si="71"/>
        <v>0</v>
      </c>
      <c r="AG333" s="4">
        <f t="shared" si="72"/>
        <v>0</v>
      </c>
      <c r="AH333" s="5">
        <f t="shared" si="73"/>
        <v>-8037757.4099096861</v>
      </c>
      <c r="AI333" s="17">
        <f t="shared" si="74"/>
        <v>-1</v>
      </c>
      <c r="AJ333" s="17">
        <f t="shared" si="75"/>
        <v>0.10258856545620262</v>
      </c>
      <c r="AK333" s="14" t="e">
        <f t="shared" si="76"/>
        <v>#DIV/0!</v>
      </c>
      <c r="AL333" s="14">
        <f t="shared" si="77"/>
        <v>-1</v>
      </c>
    </row>
    <row r="334" spans="1:38" x14ac:dyDescent="0.3">
      <c r="A334" s="63">
        <v>45989</v>
      </c>
      <c r="B334" s="3">
        <v>61473070</v>
      </c>
      <c r="C334" s="3">
        <f t="shared" si="78"/>
        <v>6969101.0862068962</v>
      </c>
      <c r="D334" s="4">
        <f>+Tabla22[[#This Row],[Share diario]]</f>
        <v>3.0467994929098931E-2</v>
      </c>
      <c r="E334" s="3">
        <f>+Tabla22[[#This Row],[Global 2026]]</f>
        <v>0</v>
      </c>
      <c r="F334" s="7">
        <v>46353</v>
      </c>
      <c r="G334" s="3">
        <f>+Tabla2[[#This Row],[Meta Digital]]+Tabla2[[#This Row],[Meta MKPlace]]</f>
        <v>6795778.4062455958</v>
      </c>
      <c r="H334" s="3">
        <v>5129179.0836238842</v>
      </c>
      <c r="I334" s="3">
        <v>1666599.3226217115</v>
      </c>
      <c r="J334" s="3">
        <v>4096929</v>
      </c>
      <c r="K334" s="3">
        <f>+Tabla22[[#This Row],[Web + APP 2026]]</f>
        <v>0</v>
      </c>
      <c r="L334" s="3">
        <v>54208.620689655159</v>
      </c>
      <c r="M334" s="3">
        <f>+Tabla22[[#This Row],[Afiliados 2026]]</f>
        <v>0</v>
      </c>
      <c r="N334" s="3">
        <v>68087</v>
      </c>
      <c r="O334" s="3">
        <f>+Tabla22[[#This Row],[TMK 2026]]</f>
        <v>0</v>
      </c>
      <c r="P334" s="3">
        <v>4812</v>
      </c>
      <c r="Q334" s="3">
        <f>+Tabla22[[#This Row],[WA 2026]]</f>
        <v>0</v>
      </c>
      <c r="R334" s="3">
        <v>144358</v>
      </c>
      <c r="S334" s="3">
        <f>+Tabla22[[#This Row],[Ent. en Tienda 2026]]</f>
        <v>0</v>
      </c>
      <c r="T334" s="3">
        <v>1726586</v>
      </c>
      <c r="U334" s="3">
        <f>+Tabla22[[#This Row],[Meli Drop 2026]]</f>
        <v>0</v>
      </c>
      <c r="V334" s="3">
        <v>740810</v>
      </c>
      <c r="W334" s="3">
        <f>+Tabla22[[#This Row],[Meli Full 2026]]</f>
        <v>0</v>
      </c>
      <c r="X334" s="3">
        <v>72416</v>
      </c>
      <c r="Y334" s="3">
        <f>+Tabla22[[#This Row],[Amazon Drop 2026]]</f>
        <v>0</v>
      </c>
      <c r="Z334" s="3">
        <v>40806</v>
      </c>
      <c r="AA334" s="3">
        <f>+Tabla22[[#This Row],[Amazon Full 2026]]</f>
        <v>0</v>
      </c>
      <c r="AB334" s="3">
        <v>18624.672413793101</v>
      </c>
      <c r="AC334" s="3">
        <f>+Tabla22[[#This Row],[TikTok 2026]]</f>
        <v>0</v>
      </c>
      <c r="AD334" s="3">
        <v>1463.7931034482758</v>
      </c>
      <c r="AE334" s="3">
        <f>+Tabla22[[#This Row],[Shein 2026]]</f>
        <v>0</v>
      </c>
      <c r="AF334" s="5">
        <f t="shared" si="71"/>
        <v>0</v>
      </c>
      <c r="AG334" s="4">
        <f t="shared" si="72"/>
        <v>0</v>
      </c>
      <c r="AH334" s="5">
        <f t="shared" si="73"/>
        <v>-6795778.4062455958</v>
      </c>
      <c r="AI334" s="17">
        <f t="shared" si="74"/>
        <v>-1</v>
      </c>
      <c r="AJ334" s="17">
        <f t="shared" si="75"/>
        <v>0.11336835928654444</v>
      </c>
      <c r="AK334" s="14" t="e">
        <f t="shared" si="76"/>
        <v>#DIV/0!</v>
      </c>
      <c r="AL334" s="14">
        <f t="shared" si="77"/>
        <v>-1</v>
      </c>
    </row>
    <row r="335" spans="1:38" x14ac:dyDescent="0.3">
      <c r="A335" s="7">
        <v>45990</v>
      </c>
      <c r="B335" s="3">
        <v>71412130</v>
      </c>
      <c r="C335" s="3">
        <f t="shared" si="78"/>
        <v>4932270.6379310349</v>
      </c>
      <c r="D335" s="4">
        <f>+Tabla22[[#This Row],[Share diario]]</f>
        <v>4.1370399216729671E-2</v>
      </c>
      <c r="E335" s="3">
        <f>+Tabla22[[#This Row],[Global 2026]]</f>
        <v>0</v>
      </c>
      <c r="F335" s="7">
        <v>46354</v>
      </c>
      <c r="G335" s="3">
        <f>+Tabla2[[#This Row],[Meta Digital]]+Tabla2[[#This Row],[Meta MKPlace]]</f>
        <v>9227521.085947806</v>
      </c>
      <c r="H335" s="3">
        <v>6964560.248792693</v>
      </c>
      <c r="I335" s="3">
        <v>2262960.837155113</v>
      </c>
      <c r="J335" s="3">
        <v>2657112</v>
      </c>
      <c r="K335" s="3">
        <f>+Tabla22[[#This Row],[Web + APP 2026]]</f>
        <v>0</v>
      </c>
      <c r="L335" s="3">
        <v>46651.724137931007</v>
      </c>
      <c r="M335" s="3">
        <f>+Tabla22[[#This Row],[Afiliados 2026]]</f>
        <v>0</v>
      </c>
      <c r="N335" s="3">
        <v>33620</v>
      </c>
      <c r="O335" s="3">
        <f>+Tabla22[[#This Row],[TMK 2026]]</f>
        <v>0</v>
      </c>
      <c r="P335" s="3">
        <v>-301</v>
      </c>
      <c r="Q335" s="3">
        <f>+Tabla22[[#This Row],[WA 2026]]</f>
        <v>0</v>
      </c>
      <c r="R335" s="3">
        <v>121072</v>
      </c>
      <c r="S335" s="3">
        <f>+Tabla22[[#This Row],[Ent. en Tienda 2026]]</f>
        <v>0</v>
      </c>
      <c r="T335" s="3">
        <v>1566964</v>
      </c>
      <c r="U335" s="3">
        <f>+Tabla22[[#This Row],[Meli Drop 2026]]</f>
        <v>0</v>
      </c>
      <c r="V335" s="3">
        <v>376748</v>
      </c>
      <c r="W335" s="3">
        <f>+Tabla22[[#This Row],[Meli Full 2026]]</f>
        <v>0</v>
      </c>
      <c r="X335" s="3">
        <v>87941</v>
      </c>
      <c r="Y335" s="3">
        <f>+Tabla22[[#This Row],[Amazon Drop 2026]]</f>
        <v>0</v>
      </c>
      <c r="Z335" s="3">
        <v>21084</v>
      </c>
      <c r="AA335" s="3">
        <f>+Tabla22[[#This Row],[Amazon Full 2026]]</f>
        <v>0</v>
      </c>
      <c r="AB335" s="3">
        <v>21378.913793103449</v>
      </c>
      <c r="AC335" s="3">
        <f>+Tabla22[[#This Row],[TikTok 2026]]</f>
        <v>0</v>
      </c>
      <c r="AD335" s="3">
        <v>0</v>
      </c>
      <c r="AE335" s="3">
        <f>+Tabla22[[#This Row],[Shein 2026]]</f>
        <v>0</v>
      </c>
      <c r="AF335" s="5">
        <f t="shared" si="71"/>
        <v>0</v>
      </c>
      <c r="AG335" s="4">
        <f t="shared" si="72"/>
        <v>0</v>
      </c>
      <c r="AH335" s="5">
        <f t="shared" si="73"/>
        <v>-9227521.085947806</v>
      </c>
      <c r="AI335" s="17">
        <f t="shared" si="74"/>
        <v>-1</v>
      </c>
      <c r="AJ335" s="17">
        <f t="shared" si="75"/>
        <v>6.9067686931212319E-2</v>
      </c>
      <c r="AK335" s="14" t="e">
        <f t="shared" si="76"/>
        <v>#DIV/0!</v>
      </c>
      <c r="AL335" s="14">
        <f t="shared" si="77"/>
        <v>-1</v>
      </c>
    </row>
    <row r="336" spans="1:38" x14ac:dyDescent="0.3">
      <c r="A336" s="63">
        <v>45991</v>
      </c>
      <c r="B336" s="3">
        <v>76776183</v>
      </c>
      <c r="C336" s="3">
        <f t="shared" si="78"/>
        <v>5424755.6551724132</v>
      </c>
      <c r="D336" s="4">
        <f>+Tabla22[[#This Row],[Share diario]]</f>
        <v>2.9279243163800921E-2</v>
      </c>
      <c r="E336" s="3">
        <f>+Tabla22[[#This Row],[Global 2026]]</f>
        <v>0</v>
      </c>
      <c r="F336" s="7">
        <v>46355</v>
      </c>
      <c r="G336" s="3">
        <f>+Tabla2[[#This Row],[Meta Digital]]+Tabla2[[#This Row],[Meta MKPlace]]</f>
        <v>6530631.5334107485</v>
      </c>
      <c r="H336" s="3">
        <v>4929056.9323508386</v>
      </c>
      <c r="I336" s="3">
        <v>1601574.6010599104</v>
      </c>
      <c r="J336" s="3">
        <v>3541686</v>
      </c>
      <c r="K336" s="3">
        <f>+Tabla22[[#This Row],[Web + APP 2026]]</f>
        <v>0</v>
      </c>
      <c r="L336" s="3">
        <v>50855.172413793087</v>
      </c>
      <c r="M336" s="3">
        <f>+Tabla22[[#This Row],[Afiliados 2026]]</f>
        <v>0</v>
      </c>
      <c r="N336" s="3">
        <v>-6179</v>
      </c>
      <c r="O336" s="3">
        <f>+Tabla22[[#This Row],[TMK 2026]]</f>
        <v>0</v>
      </c>
      <c r="P336" s="3">
        <v>2597</v>
      </c>
      <c r="Q336" s="3">
        <f>+Tabla22[[#This Row],[WA 2026]]</f>
        <v>0</v>
      </c>
      <c r="R336" s="3">
        <v>192231</v>
      </c>
      <c r="S336" s="3">
        <f>+Tabla22[[#This Row],[Ent. en Tienda 2026]]</f>
        <v>0</v>
      </c>
      <c r="T336" s="3">
        <v>1294466</v>
      </c>
      <c r="U336" s="3">
        <f>+Tabla22[[#This Row],[Meli Drop 2026]]</f>
        <v>0</v>
      </c>
      <c r="V336" s="3">
        <v>250269</v>
      </c>
      <c r="W336" s="3">
        <f>+Tabla22[[#This Row],[Meli Full 2026]]</f>
        <v>0</v>
      </c>
      <c r="X336" s="3">
        <v>68872</v>
      </c>
      <c r="Y336" s="3">
        <f>+Tabla22[[#This Row],[Amazon Drop 2026]]</f>
        <v>0</v>
      </c>
      <c r="Z336" s="3">
        <v>26453</v>
      </c>
      <c r="AA336" s="3">
        <f>+Tabla22[[#This Row],[Amazon Full 2026]]</f>
        <v>0</v>
      </c>
      <c r="AB336" s="3">
        <v>2816.6896551724139</v>
      </c>
      <c r="AC336" s="3">
        <f>+Tabla22[[#This Row],[TikTok 2026]]</f>
        <v>0</v>
      </c>
      <c r="AD336" s="3">
        <v>688.79310344827593</v>
      </c>
      <c r="AE336" s="3">
        <f>+Tabla22[[#This Row],[Shein 2026]]</f>
        <v>0</v>
      </c>
      <c r="AF336" s="5">
        <f t="shared" si="71"/>
        <v>0</v>
      </c>
      <c r="AG336" s="4">
        <f t="shared" si="72"/>
        <v>0</v>
      </c>
      <c r="AH336" s="5">
        <f t="shared" si="73"/>
        <v>-6530631.5334107485</v>
      </c>
      <c r="AI336" s="17">
        <f t="shared" si="74"/>
        <v>-1</v>
      </c>
      <c r="AJ336" s="17">
        <f t="shared" si="75"/>
        <v>7.0656751132996715E-2</v>
      </c>
      <c r="AK336" s="14" t="e">
        <f t="shared" si="76"/>
        <v>#DIV/0!</v>
      </c>
      <c r="AL336" s="14">
        <f t="shared" si="77"/>
        <v>-1</v>
      </c>
    </row>
    <row r="337" spans="1:38" x14ac:dyDescent="0.3">
      <c r="A337" s="7">
        <v>45992</v>
      </c>
      <c r="B337" s="3">
        <v>44076818</v>
      </c>
      <c r="C337" s="3">
        <f t="shared" si="78"/>
        <v>6986951.4482758623</v>
      </c>
      <c r="D337" s="4">
        <f>+Tabla22[[#This Row],[Share diario]]</f>
        <v>3.2202762498576856E-2</v>
      </c>
      <c r="E337" s="3">
        <f>+Tabla22[[#This Row],[Global 2026]]</f>
        <v>0</v>
      </c>
      <c r="F337" s="7">
        <v>46356</v>
      </c>
      <c r="G337" s="3">
        <f>+Tabla2[[#This Row],[Meta Digital]]+Tabla2[[#This Row],[Meta MKPlace]]</f>
        <v>7182712.1711995173</v>
      </c>
      <c r="H337" s="3">
        <v>5421221.0625273632</v>
      </c>
      <c r="I337" s="3">
        <v>1761491.1086721541</v>
      </c>
      <c r="J337" s="3">
        <v>4957610</v>
      </c>
      <c r="K337" s="3">
        <f>+Tabla22[[#This Row],[Web + APP 2026]]</f>
        <v>0</v>
      </c>
      <c r="L337" s="3">
        <v>38026.724137931029</v>
      </c>
      <c r="M337" s="3">
        <f>+Tabla22[[#This Row],[Afiliados 2026]]</f>
        <v>0</v>
      </c>
      <c r="N337" s="3">
        <v>2176</v>
      </c>
      <c r="O337" s="3">
        <f>+Tabla22[[#This Row],[TMK 2026]]</f>
        <v>0</v>
      </c>
      <c r="P337" s="3">
        <v>2708</v>
      </c>
      <c r="Q337" s="3">
        <f>+Tabla22[[#This Row],[WA 2026]]</f>
        <v>0</v>
      </c>
      <c r="R337" s="3">
        <v>131176</v>
      </c>
      <c r="S337" s="3">
        <f>+Tabla22[[#This Row],[Ent. en Tienda 2026]]</f>
        <v>0</v>
      </c>
      <c r="T337" s="3">
        <v>1425540</v>
      </c>
      <c r="U337" s="3">
        <f>+Tabla22[[#This Row],[Meli Drop 2026]]</f>
        <v>0</v>
      </c>
      <c r="V337" s="3">
        <v>251615</v>
      </c>
      <c r="W337" s="3">
        <f>+Tabla22[[#This Row],[Meli Full 2026]]</f>
        <v>0</v>
      </c>
      <c r="X337" s="3">
        <v>71926</v>
      </c>
      <c r="Y337" s="3">
        <f>+Tabla22[[#This Row],[Amazon Drop 2026]]</f>
        <v>0</v>
      </c>
      <c r="Z337" s="3">
        <v>87429</v>
      </c>
      <c r="AA337" s="3">
        <f>+Tabla22[[#This Row],[Amazon Full 2026]]</f>
        <v>0</v>
      </c>
      <c r="AB337" s="3">
        <v>17280.931034482761</v>
      </c>
      <c r="AC337" s="3">
        <f>+Tabla22[[#This Row],[TikTok 2026]]</f>
        <v>0</v>
      </c>
      <c r="AD337" s="3">
        <v>1463.7931034482758</v>
      </c>
      <c r="AE337" s="3">
        <f>+Tabla22[[#This Row],[Shein 2026]]</f>
        <v>0</v>
      </c>
      <c r="AF337" s="5">
        <f t="shared" si="71"/>
        <v>0</v>
      </c>
      <c r="AG337" s="4">
        <f t="shared" si="72"/>
        <v>0</v>
      </c>
      <c r="AH337" s="5">
        <f t="shared" si="73"/>
        <v>-7182712.1711995173</v>
      </c>
      <c r="AI337" s="17">
        <f t="shared" si="74"/>
        <v>-1</v>
      </c>
      <c r="AJ337" s="17">
        <f t="shared" si="75"/>
        <v>0.15851760098190079</v>
      </c>
      <c r="AK337" s="14" t="e">
        <f t="shared" si="76"/>
        <v>#DIV/0!</v>
      </c>
      <c r="AL337" s="14">
        <f t="shared" si="77"/>
        <v>-1</v>
      </c>
    </row>
    <row r="338" spans="1:38" x14ac:dyDescent="0.3">
      <c r="A338" s="63">
        <v>45993</v>
      </c>
      <c r="B338" s="3">
        <v>48777721</v>
      </c>
      <c r="C338" s="3">
        <f t="shared" si="78"/>
        <v>7691066.6724137934</v>
      </c>
      <c r="D338" s="4">
        <f>+Tabla22[[#This Row],[Share diario]]</f>
        <v>3.718505903657026E-2</v>
      </c>
      <c r="E338" s="3">
        <f>+Tabla22[[#This Row],[Global 2026]]</f>
        <v>0</v>
      </c>
      <c r="F338" s="7">
        <v>46357</v>
      </c>
      <c r="G338" s="3">
        <f>+Tabla2[[#This Row],[Meta Digital]]+Tabla2[[#This Row],[Meta MKPlace]]</f>
        <v>9113382.5833056383</v>
      </c>
      <c r="H338" s="3">
        <v>6250133.0374897271</v>
      </c>
      <c r="I338" s="3">
        <v>2863249.5458159102</v>
      </c>
      <c r="J338" s="3">
        <v>5378786</v>
      </c>
      <c r="K338" s="3">
        <f>+Tabla22[[#This Row],[Web + APP 2026]]</f>
        <v>0</v>
      </c>
      <c r="L338" s="3">
        <v>44301.724137931029</v>
      </c>
      <c r="M338" s="3">
        <f>+Tabla22[[#This Row],[Afiliados 2026]]</f>
        <v>0</v>
      </c>
      <c r="N338" s="3">
        <v>199752</v>
      </c>
      <c r="O338" s="3">
        <f>+Tabla22[[#This Row],[TMK 2026]]</f>
        <v>0</v>
      </c>
      <c r="P338" s="3">
        <v>8853</v>
      </c>
      <c r="Q338" s="3">
        <f>+Tabla22[[#This Row],[WA 2026]]</f>
        <v>0</v>
      </c>
      <c r="R338" s="3">
        <v>141161</v>
      </c>
      <c r="S338" s="3">
        <f>+Tabla22[[#This Row],[Ent. en Tienda 2026]]</f>
        <v>0</v>
      </c>
      <c r="T338" s="3">
        <v>1473812</v>
      </c>
      <c r="U338" s="3">
        <f>+Tabla22[[#This Row],[Meli Drop 2026]]</f>
        <v>0</v>
      </c>
      <c r="V338" s="3">
        <v>201559</v>
      </c>
      <c r="W338" s="3">
        <f>+Tabla22[[#This Row],[Meli Full 2026]]</f>
        <v>0</v>
      </c>
      <c r="X338" s="3">
        <v>90442</v>
      </c>
      <c r="Y338" s="3">
        <f>+Tabla22[[#This Row],[Amazon Drop 2026]]</f>
        <v>0</v>
      </c>
      <c r="Z338" s="3">
        <v>143542</v>
      </c>
      <c r="AA338" s="3">
        <f>+Tabla22[[#This Row],[Amazon Full 2026]]</f>
        <v>0</v>
      </c>
      <c r="AB338" s="3">
        <v>7307.9482758620707</v>
      </c>
      <c r="AC338" s="3">
        <f>+Tabla22[[#This Row],[TikTok 2026]]</f>
        <v>0</v>
      </c>
      <c r="AD338" s="3">
        <v>1550</v>
      </c>
      <c r="AE338" s="3">
        <f>+Tabla22[[#This Row],[Shein 2026]]</f>
        <v>0</v>
      </c>
      <c r="AF338" s="5">
        <f t="shared" si="71"/>
        <v>0</v>
      </c>
      <c r="AG338" s="4">
        <f t="shared" si="72"/>
        <v>0</v>
      </c>
      <c r="AH338" s="5">
        <f t="shared" si="73"/>
        <v>-9113382.5833056383</v>
      </c>
      <c r="AI338" s="17">
        <f t="shared" si="74"/>
        <v>-1</v>
      </c>
      <c r="AJ338" s="17">
        <f t="shared" si="75"/>
        <v>0.15767581007759246</v>
      </c>
      <c r="AK338" s="14" t="e">
        <f t="shared" si="76"/>
        <v>#DIV/0!</v>
      </c>
      <c r="AL338" s="14">
        <f t="shared" si="77"/>
        <v>-1</v>
      </c>
    </row>
    <row r="339" spans="1:38" x14ac:dyDescent="0.3">
      <c r="A339" s="7">
        <v>45994</v>
      </c>
      <c r="B339" s="3">
        <v>53214752</v>
      </c>
      <c r="C339" s="3">
        <f t="shared" si="78"/>
        <v>6583308.387931034</v>
      </c>
      <c r="D339" s="4">
        <f>+Tabla22[[#This Row],[Share diario]]</f>
        <v>4.0932410992848389E-2</v>
      </c>
      <c r="E339" s="3">
        <f>+Tabla22[[#This Row],[Global 2026]]</f>
        <v>0</v>
      </c>
      <c r="F339" s="7">
        <v>46358</v>
      </c>
      <c r="G339" s="3">
        <f>+Tabla2[[#This Row],[Meta Digital]]+Tabla2[[#This Row],[Meta MKPlace]]</f>
        <v>10031790.485207178</v>
      </c>
      <c r="H339" s="3">
        <v>6879994.8387578521</v>
      </c>
      <c r="I339" s="3">
        <v>3151795.6464493261</v>
      </c>
      <c r="J339" s="3">
        <v>4538987</v>
      </c>
      <c r="K339" s="3">
        <f>+Tabla22[[#This Row],[Web + APP 2026]]</f>
        <v>0</v>
      </c>
      <c r="L339" s="3">
        <v>41768.103448275855</v>
      </c>
      <c r="M339" s="3">
        <f>+Tabla22[[#This Row],[Afiliados 2026]]</f>
        <v>0</v>
      </c>
      <c r="N339" s="3">
        <v>-1295</v>
      </c>
      <c r="O339" s="3">
        <f>+Tabla22[[#This Row],[TMK 2026]]</f>
        <v>0</v>
      </c>
      <c r="P339" s="3">
        <v>7445</v>
      </c>
      <c r="Q339" s="3">
        <f>+Tabla22[[#This Row],[WA 2026]]</f>
        <v>0</v>
      </c>
      <c r="R339" s="3">
        <v>198198</v>
      </c>
      <c r="S339" s="3">
        <f>+Tabla22[[#This Row],[Ent. en Tienda 2026]]</f>
        <v>0</v>
      </c>
      <c r="T339" s="3">
        <v>1463021</v>
      </c>
      <c r="U339" s="3">
        <f>+Tabla22[[#This Row],[Meli Drop 2026]]</f>
        <v>0</v>
      </c>
      <c r="V339" s="3">
        <v>179885</v>
      </c>
      <c r="W339" s="3">
        <f>+Tabla22[[#This Row],[Meli Full 2026]]</f>
        <v>0</v>
      </c>
      <c r="X339" s="3">
        <v>54687</v>
      </c>
      <c r="Y339" s="3">
        <f>+Tabla22[[#This Row],[Amazon Drop 2026]]</f>
        <v>0</v>
      </c>
      <c r="Z339" s="3">
        <v>79303</v>
      </c>
      <c r="AA339" s="3">
        <f>+Tabla22[[#This Row],[Amazon Full 2026]]</f>
        <v>0</v>
      </c>
      <c r="AB339" s="3">
        <v>19759.284482758623</v>
      </c>
      <c r="AC339" s="3">
        <f>+Tabla22[[#This Row],[TikTok 2026]]</f>
        <v>0</v>
      </c>
      <c r="AD339" s="3">
        <v>1550</v>
      </c>
      <c r="AE339" s="3">
        <f>+Tabla22[[#This Row],[Shein 2026]]</f>
        <v>0</v>
      </c>
      <c r="AF339" s="5">
        <f t="shared" si="71"/>
        <v>0</v>
      </c>
      <c r="AG339" s="4">
        <f t="shared" si="72"/>
        <v>0</v>
      </c>
      <c r="AH339" s="5">
        <f t="shared" si="73"/>
        <v>-10031790.485207178</v>
      </c>
      <c r="AI339" s="17">
        <f t="shared" si="74"/>
        <v>-1</v>
      </c>
      <c r="AJ339" s="17">
        <f t="shared" si="75"/>
        <v>0.12371209374293493</v>
      </c>
      <c r="AK339" s="14" t="e">
        <f t="shared" si="76"/>
        <v>#DIV/0!</v>
      </c>
      <c r="AL339" s="14">
        <f t="shared" si="77"/>
        <v>-1</v>
      </c>
    </row>
    <row r="340" spans="1:38" x14ac:dyDescent="0.3">
      <c r="A340" s="63">
        <v>45995</v>
      </c>
      <c r="B340" s="3">
        <v>60436653</v>
      </c>
      <c r="C340" s="3">
        <f t="shared" si="78"/>
        <v>6681693.3591954028</v>
      </c>
      <c r="D340" s="4">
        <f>+Tabla22[[#This Row],[Share diario]]</f>
        <v>3.5036841585835268E-2</v>
      </c>
      <c r="E340" s="3">
        <f>+Tabla22[[#This Row],[Global 2026]]</f>
        <v>0</v>
      </c>
      <c r="F340" s="7">
        <v>46359</v>
      </c>
      <c r="G340" s="3">
        <f>+Tabla2[[#This Row],[Meta Digital]]+Tabla2[[#This Row],[Meta MKPlace]]</f>
        <v>8586893.5038765129</v>
      </c>
      <c r="H340" s="3">
        <v>5889056.7017671978</v>
      </c>
      <c r="I340" s="3">
        <v>2697836.8021093155</v>
      </c>
      <c r="J340" s="3">
        <v>3922857</v>
      </c>
      <c r="K340" s="3">
        <f>+Tabla22[[#This Row],[Web + APP 2026]]</f>
        <v>0</v>
      </c>
      <c r="L340" s="3">
        <v>43610.057471264357</v>
      </c>
      <c r="M340" s="3">
        <f>+Tabla22[[#This Row],[Afiliados 2026]]</f>
        <v>0</v>
      </c>
      <c r="N340" s="3">
        <v>173906</v>
      </c>
      <c r="O340" s="3">
        <f>+Tabla22[[#This Row],[TMK 2026]]</f>
        <v>0</v>
      </c>
      <c r="P340" s="3">
        <v>5606</v>
      </c>
      <c r="Q340" s="3">
        <f>+Tabla22[[#This Row],[WA 2026]]</f>
        <v>0</v>
      </c>
      <c r="R340" s="3">
        <v>210399</v>
      </c>
      <c r="S340" s="3">
        <f>+Tabla22[[#This Row],[Ent. en Tienda 2026]]</f>
        <v>0</v>
      </c>
      <c r="T340" s="3">
        <v>1926958</v>
      </c>
      <c r="U340" s="3">
        <f>+Tabla22[[#This Row],[Meli Drop 2026]]</f>
        <v>0</v>
      </c>
      <c r="V340" s="3">
        <v>174968</v>
      </c>
      <c r="W340" s="3">
        <f>+Tabla22[[#This Row],[Meli Full 2026]]</f>
        <v>0</v>
      </c>
      <c r="X340" s="3">
        <v>92776</v>
      </c>
      <c r="Y340" s="3">
        <f>+Tabla22[[#This Row],[Amazon Drop 2026]]</f>
        <v>0</v>
      </c>
      <c r="Z340" s="3">
        <v>116168</v>
      </c>
      <c r="AA340" s="3">
        <f>+Tabla22[[#This Row],[Amazon Full 2026]]</f>
        <v>0</v>
      </c>
      <c r="AB340" s="3">
        <v>13497.887931034484</v>
      </c>
      <c r="AC340" s="3">
        <f>+Tabla22[[#This Row],[TikTok 2026]]</f>
        <v>0</v>
      </c>
      <c r="AD340" s="3">
        <v>947.41379310344837</v>
      </c>
      <c r="AE340" s="3">
        <f>+Tabla22[[#This Row],[Shein 2026]]</f>
        <v>0</v>
      </c>
      <c r="AF340" s="5">
        <f t="shared" si="71"/>
        <v>0</v>
      </c>
      <c r="AG340" s="4">
        <f t="shared" si="72"/>
        <v>0</v>
      </c>
      <c r="AH340" s="5">
        <f t="shared" si="73"/>
        <v>-8586893.5038765129</v>
      </c>
      <c r="AI340" s="17">
        <f t="shared" si="74"/>
        <v>-1</v>
      </c>
      <c r="AJ340" s="17">
        <f t="shared" si="75"/>
        <v>0.110556972094325</v>
      </c>
      <c r="AK340" s="14" t="e">
        <f t="shared" si="76"/>
        <v>#DIV/0!</v>
      </c>
      <c r="AL340" s="14">
        <f t="shared" si="77"/>
        <v>-1</v>
      </c>
    </row>
    <row r="341" spans="1:38" x14ac:dyDescent="0.3">
      <c r="A341" s="7">
        <v>45996</v>
      </c>
      <c r="B341" s="3">
        <v>60693345</v>
      </c>
      <c r="C341" s="3">
        <f t="shared" si="78"/>
        <v>5547011.2139208177</v>
      </c>
      <c r="D341" s="4">
        <f>+Tabla22[[#This Row],[Share diario]]</f>
        <v>3.5560453491808884E-2</v>
      </c>
      <c r="E341" s="3">
        <f>+Tabla22[[#This Row],[Global 2026]]</f>
        <v>0</v>
      </c>
      <c r="F341" s="7">
        <v>46360</v>
      </c>
      <c r="G341" s="3">
        <f>+Tabla2[[#This Row],[Meta Digital]]+Tabla2[[#This Row],[Meta MKPlace]]</f>
        <v>8715221.2717474326</v>
      </c>
      <c r="H341" s="3">
        <v>5977066.3528781487</v>
      </c>
      <c r="I341" s="3">
        <v>2738154.918869284</v>
      </c>
      <c r="J341" s="3">
        <v>3411915</v>
      </c>
      <c r="K341" s="3">
        <f>+Tabla22[[#This Row],[Web + APP 2026]]</f>
        <v>0</v>
      </c>
      <c r="L341" s="3">
        <v>50703.575989782868</v>
      </c>
      <c r="M341" s="3">
        <f>+Tabla22[[#This Row],[Afiliados 2026]]</f>
        <v>0</v>
      </c>
      <c r="N341" s="3">
        <v>-24113</v>
      </c>
      <c r="O341" s="3">
        <f>+Tabla22[[#This Row],[TMK 2026]]</f>
        <v>0</v>
      </c>
      <c r="P341" s="3">
        <v>-438</v>
      </c>
      <c r="Q341" s="3">
        <f>+Tabla22[[#This Row],[WA 2026]]</f>
        <v>0</v>
      </c>
      <c r="R341" s="3">
        <v>159911</v>
      </c>
      <c r="S341" s="3">
        <f>+Tabla22[[#This Row],[Ent. en Tienda 2026]]</f>
        <v>0</v>
      </c>
      <c r="T341" s="3">
        <v>1631283</v>
      </c>
      <c r="U341" s="3">
        <f>+Tabla22[[#This Row],[Meli Drop 2026]]</f>
        <v>0</v>
      </c>
      <c r="V341" s="3">
        <v>157380</v>
      </c>
      <c r="W341" s="3">
        <f>+Tabla22[[#This Row],[Meli Full 2026]]</f>
        <v>0</v>
      </c>
      <c r="X341" s="3">
        <v>62080</v>
      </c>
      <c r="Y341" s="3">
        <f>+Tabla22[[#This Row],[Amazon Drop 2026]]</f>
        <v>0</v>
      </c>
      <c r="Z341" s="3">
        <v>82359</v>
      </c>
      <c r="AA341" s="3">
        <f>+Tabla22[[#This Row],[Amazon Full 2026]]</f>
        <v>0</v>
      </c>
      <c r="AB341" s="3">
        <v>14983.224137931036</v>
      </c>
      <c r="AC341" s="3">
        <f>+Tabla22[[#This Row],[TikTok 2026]]</f>
        <v>0</v>
      </c>
      <c r="AD341" s="3">
        <v>947.41379310344837</v>
      </c>
      <c r="AE341" s="3">
        <f>+Tabla22[[#This Row],[Shein 2026]]</f>
        <v>0</v>
      </c>
      <c r="AF341" s="5">
        <f t="shared" si="71"/>
        <v>0</v>
      </c>
      <c r="AG341" s="4">
        <f t="shared" si="72"/>
        <v>0</v>
      </c>
      <c r="AH341" s="5">
        <f t="shared" si="73"/>
        <v>-8715221.2717474326</v>
      </c>
      <c r="AI341" s="17">
        <f t="shared" si="74"/>
        <v>-1</v>
      </c>
      <c r="AJ341" s="17">
        <f t="shared" si="75"/>
        <v>9.1394059989951412E-2</v>
      </c>
      <c r="AK341" s="14" t="e">
        <f t="shared" si="76"/>
        <v>#DIV/0!</v>
      </c>
      <c r="AL341" s="14">
        <f t="shared" si="77"/>
        <v>-1</v>
      </c>
    </row>
    <row r="342" spans="1:38" x14ac:dyDescent="0.3">
      <c r="A342" s="63">
        <v>45997</v>
      </c>
      <c r="B342" s="3">
        <v>79744108</v>
      </c>
      <c r="C342" s="3">
        <f t="shared" si="78"/>
        <v>5261798.5242656451</v>
      </c>
      <c r="D342" s="4">
        <f>+Tabla22[[#This Row],[Share diario]]</f>
        <v>2.95215933577243E-2</v>
      </c>
      <c r="E342" s="3">
        <f>+Tabla22[[#This Row],[Global 2026]]</f>
        <v>0</v>
      </c>
      <c r="F342" s="7">
        <v>46361</v>
      </c>
      <c r="G342" s="3">
        <f>+Tabla2[[#This Row],[Meta Digital]]+Tabla2[[#This Row],[Meta MKPlace]]</f>
        <v>7235206.3357791808</v>
      </c>
      <c r="H342" s="3">
        <v>4962043.64723441</v>
      </c>
      <c r="I342" s="3">
        <v>2273162.6885447712</v>
      </c>
      <c r="J342" s="3">
        <v>3024346</v>
      </c>
      <c r="K342" s="3">
        <f>+Tabla22[[#This Row],[Web + APP 2026]]</f>
        <v>0</v>
      </c>
      <c r="L342" s="3">
        <v>56625.127713920796</v>
      </c>
      <c r="M342" s="3">
        <f>+Tabla22[[#This Row],[Afiliados 2026]]</f>
        <v>0</v>
      </c>
      <c r="N342" s="3">
        <v>72012</v>
      </c>
      <c r="O342" s="3">
        <f>+Tabla22[[#This Row],[TMK 2026]]</f>
        <v>0</v>
      </c>
      <c r="P342" s="3">
        <v>2160</v>
      </c>
      <c r="Q342" s="3">
        <f>+Tabla22[[#This Row],[WA 2026]]</f>
        <v>0</v>
      </c>
      <c r="R342" s="3">
        <v>96469</v>
      </c>
      <c r="S342" s="3">
        <f>+Tabla22[[#This Row],[Ent. en Tienda 2026]]</f>
        <v>0</v>
      </c>
      <c r="T342" s="3">
        <v>1700937</v>
      </c>
      <c r="U342" s="3">
        <f>+Tabla22[[#This Row],[Meli Drop 2026]]</f>
        <v>0</v>
      </c>
      <c r="V342" s="3">
        <v>135278</v>
      </c>
      <c r="W342" s="3">
        <f>+Tabla22[[#This Row],[Meli Full 2026]]</f>
        <v>0</v>
      </c>
      <c r="X342" s="3">
        <v>74970</v>
      </c>
      <c r="Y342" s="3">
        <f>+Tabla22[[#This Row],[Amazon Drop 2026]]</f>
        <v>0</v>
      </c>
      <c r="Z342" s="3">
        <v>95661</v>
      </c>
      <c r="AA342" s="3">
        <f>+Tabla22[[#This Row],[Amazon Full 2026]]</f>
        <v>0</v>
      </c>
      <c r="AB342" s="3">
        <v>3340.3965517241381</v>
      </c>
      <c r="AC342" s="3">
        <f>+Tabla22[[#This Row],[TikTok 2026]]</f>
        <v>0</v>
      </c>
      <c r="AD342" s="3">
        <v>0</v>
      </c>
      <c r="AE342" s="3">
        <f>+Tabla22[[#This Row],[Shein 2026]]</f>
        <v>0</v>
      </c>
      <c r="AF342" s="5">
        <f t="shared" ref="AF342:AF368" si="79">+AE342+AC342+AA342+Y342+W342+U342+S342+Q342+O342+M342+K342</f>
        <v>0</v>
      </c>
      <c r="AG342" s="4">
        <f t="shared" ref="AG342:AG368" si="80">+AF342/G342</f>
        <v>0</v>
      </c>
      <c r="AH342" s="5">
        <f t="shared" ref="AH342:AH368" si="81">+AF342-G342</f>
        <v>-7235206.3357791808</v>
      </c>
      <c r="AI342" s="17">
        <f t="shared" si="74"/>
        <v>-1</v>
      </c>
      <c r="AJ342" s="17">
        <f t="shared" si="75"/>
        <v>6.5983539802911148E-2</v>
      </c>
      <c r="AK342" s="14" t="e">
        <f t="shared" si="76"/>
        <v>#DIV/0!</v>
      </c>
      <c r="AL342" s="14">
        <f t="shared" si="77"/>
        <v>-1</v>
      </c>
    </row>
    <row r="343" spans="1:38" x14ac:dyDescent="0.3">
      <c r="A343" s="7">
        <v>45998</v>
      </c>
      <c r="B343" s="3">
        <v>90362378</v>
      </c>
      <c r="C343" s="3">
        <f t="shared" si="78"/>
        <v>6326126.180076628</v>
      </c>
      <c r="D343" s="4">
        <f>+Tabla22[[#This Row],[Share diario]]</f>
        <v>2.800367087302982E-2</v>
      </c>
      <c r="E343" s="3">
        <f>+Tabla22[[#This Row],[Global 2026]]</f>
        <v>0</v>
      </c>
      <c r="F343" s="7">
        <v>46362</v>
      </c>
      <c r="G343" s="3">
        <f>+Tabla2[[#This Row],[Meta Digital]]+Tabla2[[#This Row],[Meta MKPlace]]</f>
        <v>6863191.1045752186</v>
      </c>
      <c r="H343" s="3">
        <v>4706908.4473519223</v>
      </c>
      <c r="I343" s="3">
        <v>2156282.6572232964</v>
      </c>
      <c r="J343" s="3">
        <v>3620613</v>
      </c>
      <c r="K343" s="3">
        <f>+Tabla22[[#This Row],[Web + APP 2026]]</f>
        <v>0</v>
      </c>
      <c r="L343" s="3">
        <v>54843.007662835225</v>
      </c>
      <c r="M343" s="3">
        <f>+Tabla22[[#This Row],[Afiliados 2026]]</f>
        <v>0</v>
      </c>
      <c r="N343" s="3">
        <v>85835</v>
      </c>
      <c r="O343" s="3">
        <f>+Tabla22[[#This Row],[TMK 2026]]</f>
        <v>0</v>
      </c>
      <c r="P343" s="3">
        <v>2936</v>
      </c>
      <c r="Q343" s="3">
        <f>+Tabla22[[#This Row],[WA 2026]]</f>
        <v>0</v>
      </c>
      <c r="R343" s="3">
        <v>185798</v>
      </c>
      <c r="S343" s="3">
        <f>+Tabla22[[#This Row],[Ent. en Tienda 2026]]</f>
        <v>0</v>
      </c>
      <c r="T343" s="3">
        <v>1934319</v>
      </c>
      <c r="U343" s="3">
        <f>+Tabla22[[#This Row],[Meli Drop 2026]]</f>
        <v>0</v>
      </c>
      <c r="V343" s="3">
        <v>233864</v>
      </c>
      <c r="W343" s="3">
        <f>+Tabla22[[#This Row],[Meli Full 2026]]</f>
        <v>0</v>
      </c>
      <c r="X343" s="3">
        <v>92460</v>
      </c>
      <c r="Y343" s="3">
        <f>+Tabla22[[#This Row],[Amazon Drop 2026]]</f>
        <v>0</v>
      </c>
      <c r="Z343" s="3">
        <v>115028</v>
      </c>
      <c r="AA343" s="3">
        <f>+Tabla22[[#This Row],[Amazon Full 2026]]</f>
        <v>0</v>
      </c>
      <c r="AB343" s="3">
        <v>430.17241379310349</v>
      </c>
      <c r="AC343" s="3">
        <f>+Tabla22[[#This Row],[TikTok 2026]]</f>
        <v>0</v>
      </c>
      <c r="AD343" s="3">
        <v>0</v>
      </c>
      <c r="AE343" s="3">
        <f>+Tabla22[[#This Row],[Shein 2026]]</f>
        <v>0</v>
      </c>
      <c r="AF343" s="5">
        <f t="shared" si="79"/>
        <v>0</v>
      </c>
      <c r="AG343" s="4">
        <f t="shared" si="80"/>
        <v>0</v>
      </c>
      <c r="AH343" s="5">
        <f t="shared" si="81"/>
        <v>-6863191.1045752186</v>
      </c>
      <c r="AI343" s="17">
        <f t="shared" si="74"/>
        <v>-1</v>
      </c>
      <c r="AJ343" s="17">
        <f t="shared" si="75"/>
        <v>7.0008407482111942E-2</v>
      </c>
      <c r="AK343" s="14" t="e">
        <f t="shared" si="76"/>
        <v>#DIV/0!</v>
      </c>
      <c r="AL343" s="14">
        <f t="shared" si="77"/>
        <v>-1</v>
      </c>
    </row>
    <row r="344" spans="1:38" x14ac:dyDescent="0.3">
      <c r="A344" s="63">
        <v>45999</v>
      </c>
      <c r="B344" s="3">
        <v>51770672</v>
      </c>
      <c r="C344" s="3">
        <f t="shared" si="78"/>
        <v>8476254.6551724151</v>
      </c>
      <c r="D344" s="4">
        <f>+Tabla22[[#This Row],[Share diario]]</f>
        <v>3.3668099344956882E-2</v>
      </c>
      <c r="E344" s="3">
        <f>+Tabla22[[#This Row],[Global 2026]]</f>
        <v>0</v>
      </c>
      <c r="F344" s="7">
        <v>46363</v>
      </c>
      <c r="G344" s="3">
        <f>+Tabla2[[#This Row],[Meta Digital]]+Tabla2[[#This Row],[Meta MKPlace]]</f>
        <v>8251439.6408938523</v>
      </c>
      <c r="H344" s="3">
        <v>5658995.9913321724</v>
      </c>
      <c r="I344" s="3">
        <v>2592443.6495616799</v>
      </c>
      <c r="J344" s="3">
        <v>5946618</v>
      </c>
      <c r="K344" s="3">
        <f>+Tabla22[[#This Row],[Web + APP 2026]]</f>
        <v>0</v>
      </c>
      <c r="L344" s="3">
        <v>48381.896551724116</v>
      </c>
      <c r="M344" s="3">
        <f>+Tabla22[[#This Row],[Afiliados 2026]]</f>
        <v>0</v>
      </c>
      <c r="N344" s="3">
        <v>16084</v>
      </c>
      <c r="O344" s="3">
        <f>+Tabla22[[#This Row],[TMK 2026]]</f>
        <v>0</v>
      </c>
      <c r="P344" s="3">
        <v>8369</v>
      </c>
      <c r="Q344" s="3">
        <f>+Tabla22[[#This Row],[WA 2026]]</f>
        <v>0</v>
      </c>
      <c r="R344" s="3">
        <v>168071</v>
      </c>
      <c r="S344" s="3">
        <f>+Tabla22[[#This Row],[Ent. en Tienda 2026]]</f>
        <v>0</v>
      </c>
      <c r="T344" s="3">
        <v>1704520</v>
      </c>
      <c r="U344" s="3">
        <f>+Tabla22[[#This Row],[Meli Drop 2026]]</f>
        <v>0</v>
      </c>
      <c r="V344" s="3">
        <v>319874</v>
      </c>
      <c r="W344" s="3">
        <f>+Tabla22[[#This Row],[Meli Full 2026]]</f>
        <v>0</v>
      </c>
      <c r="X344" s="3">
        <v>110203</v>
      </c>
      <c r="Y344" s="3">
        <f>+Tabla22[[#This Row],[Amazon Drop 2026]]</f>
        <v>0</v>
      </c>
      <c r="Z344" s="3">
        <v>125518</v>
      </c>
      <c r="AA344" s="3">
        <f>+Tabla22[[#This Row],[Amazon Full 2026]]</f>
        <v>0</v>
      </c>
      <c r="AB344" s="3">
        <v>27668.344827586217</v>
      </c>
      <c r="AC344" s="3">
        <f>+Tabla22[[#This Row],[TikTok 2026]]</f>
        <v>0</v>
      </c>
      <c r="AD344" s="3">
        <v>947.41379310344837</v>
      </c>
      <c r="AE344" s="3">
        <f>+Tabla22[[#This Row],[Shein 2026]]</f>
        <v>0</v>
      </c>
      <c r="AF344" s="5">
        <f t="shared" si="79"/>
        <v>0</v>
      </c>
      <c r="AG344" s="4">
        <f t="shared" si="80"/>
        <v>0</v>
      </c>
      <c r="AH344" s="5">
        <f t="shared" si="81"/>
        <v>-8251439.6408938523</v>
      </c>
      <c r="AI344" s="17">
        <f t="shared" si="74"/>
        <v>-1</v>
      </c>
      <c r="AJ344" s="17">
        <f t="shared" si="75"/>
        <v>0.1637269582896744</v>
      </c>
      <c r="AK344" s="14" t="e">
        <f t="shared" si="76"/>
        <v>#DIV/0!</v>
      </c>
      <c r="AL344" s="14">
        <f t="shared" si="77"/>
        <v>-1</v>
      </c>
    </row>
    <row r="345" spans="1:38" x14ac:dyDescent="0.3">
      <c r="A345" s="7">
        <v>46000</v>
      </c>
      <c r="B345" s="3">
        <v>58970219</v>
      </c>
      <c r="C345" s="3">
        <f t="shared" si="78"/>
        <v>8649664.7327586208</v>
      </c>
      <c r="D345" s="4">
        <f>+Tabla22[[#This Row],[Share diario]]</f>
        <v>4.5111238012018495E-2</v>
      </c>
      <c r="E345" s="3">
        <f>+Tabla22[[#This Row],[Global 2026]]</f>
        <v>0</v>
      </c>
      <c r="F345" s="7">
        <v>46364</v>
      </c>
      <c r="G345" s="3">
        <f>+Tabla2[[#This Row],[Meta Digital]]+Tabla2[[#This Row],[Meta MKPlace]]</f>
        <v>11055945.088207761</v>
      </c>
      <c r="H345" s="3">
        <v>7582379.7612823369</v>
      </c>
      <c r="I345" s="3">
        <v>3473565.3269254239</v>
      </c>
      <c r="J345" s="3">
        <v>6085695</v>
      </c>
      <c r="K345" s="3">
        <f>+Tabla22[[#This Row],[Web + APP 2026]]</f>
        <v>0</v>
      </c>
      <c r="L345" s="3">
        <v>46312.931034482739</v>
      </c>
      <c r="M345" s="3">
        <f>+Tabla22[[#This Row],[Afiliados 2026]]</f>
        <v>0</v>
      </c>
      <c r="N345" s="3">
        <v>50291</v>
      </c>
      <c r="O345" s="3">
        <f>+Tabla22[[#This Row],[TMK 2026]]</f>
        <v>0</v>
      </c>
      <c r="P345" s="3">
        <v>6649</v>
      </c>
      <c r="Q345" s="3">
        <f>+Tabla22[[#This Row],[WA 2026]]</f>
        <v>0</v>
      </c>
      <c r="R345" s="3">
        <v>148217</v>
      </c>
      <c r="S345" s="3">
        <f>+Tabla22[[#This Row],[Ent. en Tienda 2026]]</f>
        <v>0</v>
      </c>
      <c r="T345" s="3">
        <v>1686373</v>
      </c>
      <c r="U345" s="3">
        <f>+Tabla22[[#This Row],[Meli Drop 2026]]</f>
        <v>0</v>
      </c>
      <c r="V345" s="3">
        <v>385223</v>
      </c>
      <c r="W345" s="3">
        <f>+Tabla22[[#This Row],[Meli Full 2026]]</f>
        <v>0</v>
      </c>
      <c r="X345" s="3">
        <v>96804</v>
      </c>
      <c r="Y345" s="3">
        <f>+Tabla22[[#This Row],[Amazon Drop 2026]]</f>
        <v>0</v>
      </c>
      <c r="Z345" s="3">
        <v>119084</v>
      </c>
      <c r="AA345" s="3">
        <f>+Tabla22[[#This Row],[Amazon Full 2026]]</f>
        <v>0</v>
      </c>
      <c r="AB345" s="3">
        <v>25015.801724137931</v>
      </c>
      <c r="AC345" s="3">
        <f>+Tabla22[[#This Row],[TikTok 2026]]</f>
        <v>0</v>
      </c>
      <c r="AD345" s="3">
        <v>0</v>
      </c>
      <c r="AE345" s="3">
        <f>+Tabla22[[#This Row],[Shein 2026]]</f>
        <v>0</v>
      </c>
      <c r="AF345" s="5">
        <f t="shared" si="79"/>
        <v>0</v>
      </c>
      <c r="AG345" s="4">
        <f t="shared" si="80"/>
        <v>0</v>
      </c>
      <c r="AH345" s="5">
        <f t="shared" si="81"/>
        <v>-11055945.088207761</v>
      </c>
      <c r="AI345" s="17">
        <f t="shared" si="74"/>
        <v>-1</v>
      </c>
      <c r="AJ345" s="17">
        <f t="shared" si="75"/>
        <v>0.14667852484588231</v>
      </c>
      <c r="AK345" s="14" t="e">
        <f t="shared" si="76"/>
        <v>#DIV/0!</v>
      </c>
      <c r="AL345" s="14">
        <f t="shared" si="77"/>
        <v>-1</v>
      </c>
    </row>
    <row r="346" spans="1:38" x14ac:dyDescent="0.3">
      <c r="A346" s="63">
        <v>46001</v>
      </c>
      <c r="B346" s="3">
        <v>66302976</v>
      </c>
      <c r="C346" s="3">
        <f t="shared" si="78"/>
        <v>8095145.4137931038</v>
      </c>
      <c r="D346" s="4">
        <f>+Tabla22[[#This Row],[Share diario]]</f>
        <v>4.6034138939599796E-2</v>
      </c>
      <c r="E346" s="3">
        <f>+Tabla22[[#This Row],[Global 2026]]</f>
        <v>0</v>
      </c>
      <c r="F346" s="7">
        <v>46365</v>
      </c>
      <c r="G346" s="3">
        <f>+Tabla2[[#This Row],[Meta Digital]]+Tabla2[[#This Row],[Meta MKPlace]]</f>
        <v>11282131.343049103</v>
      </c>
      <c r="H346" s="3">
        <v>7737502.644699919</v>
      </c>
      <c r="I346" s="3">
        <v>3544628.6983491844</v>
      </c>
      <c r="J346" s="3">
        <v>5484191</v>
      </c>
      <c r="K346" s="3">
        <f>+Tabla22[[#This Row],[Web + APP 2026]]</f>
        <v>0</v>
      </c>
      <c r="L346" s="3">
        <v>52041.379310344812</v>
      </c>
      <c r="M346" s="3">
        <f>+Tabla22[[#This Row],[Afiliados 2026]]</f>
        <v>0</v>
      </c>
      <c r="N346" s="3">
        <v>112954</v>
      </c>
      <c r="O346" s="3">
        <f>+Tabla22[[#This Row],[TMK 2026]]</f>
        <v>0</v>
      </c>
      <c r="P346" s="3">
        <v>4560</v>
      </c>
      <c r="Q346" s="3">
        <f>+Tabla22[[#This Row],[WA 2026]]</f>
        <v>0</v>
      </c>
      <c r="R346" s="3">
        <v>107965</v>
      </c>
      <c r="S346" s="3">
        <f>+Tabla22[[#This Row],[Ent. en Tienda 2026]]</f>
        <v>0</v>
      </c>
      <c r="T346" s="3">
        <v>1680477</v>
      </c>
      <c r="U346" s="3">
        <f>+Tabla22[[#This Row],[Meli Drop 2026]]</f>
        <v>0</v>
      </c>
      <c r="V346" s="3">
        <v>410059</v>
      </c>
      <c r="W346" s="3">
        <f>+Tabla22[[#This Row],[Meli Full 2026]]</f>
        <v>0</v>
      </c>
      <c r="X346" s="3">
        <v>100505</v>
      </c>
      <c r="Y346" s="3">
        <f>+Tabla22[[#This Row],[Amazon Drop 2026]]</f>
        <v>0</v>
      </c>
      <c r="Z346" s="3">
        <v>119493</v>
      </c>
      <c r="AA346" s="3">
        <f>+Tabla22[[#This Row],[Amazon Full 2026]]</f>
        <v>0</v>
      </c>
      <c r="AB346" s="3">
        <v>22211.241379310348</v>
      </c>
      <c r="AC346" s="3">
        <f>+Tabla22[[#This Row],[TikTok 2026]]</f>
        <v>0</v>
      </c>
      <c r="AD346" s="3">
        <v>688.79310344827593</v>
      </c>
      <c r="AE346" s="3">
        <f>+Tabla22[[#This Row],[Shein 2026]]</f>
        <v>0</v>
      </c>
      <c r="AF346" s="5">
        <f t="shared" si="79"/>
        <v>0</v>
      </c>
      <c r="AG346" s="4">
        <f t="shared" si="80"/>
        <v>0</v>
      </c>
      <c r="AH346" s="5">
        <f t="shared" si="81"/>
        <v>-11282131.343049103</v>
      </c>
      <c r="AI346" s="17">
        <f t="shared" si="74"/>
        <v>-1</v>
      </c>
      <c r="AJ346" s="17">
        <f t="shared" si="75"/>
        <v>0.12209324380542291</v>
      </c>
      <c r="AK346" s="14" t="e">
        <f t="shared" si="76"/>
        <v>#DIV/0!</v>
      </c>
      <c r="AL346" s="14">
        <f t="shared" si="77"/>
        <v>-1</v>
      </c>
    </row>
    <row r="347" spans="1:38" x14ac:dyDescent="0.3">
      <c r="A347" s="7">
        <v>46002</v>
      </c>
      <c r="B347" s="3">
        <v>68556369</v>
      </c>
      <c r="C347" s="3">
        <f t="shared" si="78"/>
        <v>8794815.8620689642</v>
      </c>
      <c r="D347" s="4">
        <f>+Tabla22[[#This Row],[Share diario]]</f>
        <v>4.3082947169440902E-2</v>
      </c>
      <c r="E347" s="3">
        <f>+Tabla22[[#This Row],[Global 2026]]</f>
        <v>0</v>
      </c>
      <c r="F347" s="7">
        <v>46366</v>
      </c>
      <c r="G347" s="3">
        <f>+Tabla2[[#This Row],[Meta Digital]]+Tabla2[[#This Row],[Meta MKPlace]]</f>
        <v>10558847.842229316</v>
      </c>
      <c r="H347" s="3">
        <v>7241460.9101823671</v>
      </c>
      <c r="I347" s="3">
        <v>3317386.9320469494</v>
      </c>
      <c r="J347" s="3">
        <v>6211860</v>
      </c>
      <c r="K347" s="3">
        <f>+Tabla22[[#This Row],[Web + APP 2026]]</f>
        <v>0</v>
      </c>
      <c r="L347" s="3">
        <v>49136.206896551703</v>
      </c>
      <c r="M347" s="3">
        <f>+Tabla22[[#This Row],[Afiliados 2026]]</f>
        <v>0</v>
      </c>
      <c r="N347" s="3">
        <v>53115</v>
      </c>
      <c r="O347" s="3">
        <f>+Tabla22[[#This Row],[TMK 2026]]</f>
        <v>0</v>
      </c>
      <c r="P347" s="3">
        <v>4450</v>
      </c>
      <c r="Q347" s="3">
        <f>+Tabla22[[#This Row],[WA 2026]]</f>
        <v>0</v>
      </c>
      <c r="R347" s="3">
        <v>207485</v>
      </c>
      <c r="S347" s="3">
        <f>+Tabla22[[#This Row],[Ent. en Tienda 2026]]</f>
        <v>0</v>
      </c>
      <c r="T347" s="3">
        <v>1665235</v>
      </c>
      <c r="U347" s="3">
        <f>+Tabla22[[#This Row],[Meli Drop 2026]]</f>
        <v>0</v>
      </c>
      <c r="V347" s="3">
        <v>400482</v>
      </c>
      <c r="W347" s="3">
        <f>+Tabla22[[#This Row],[Meli Full 2026]]</f>
        <v>0</v>
      </c>
      <c r="X347" s="3">
        <v>84857</v>
      </c>
      <c r="Y347" s="3">
        <f>+Tabla22[[#This Row],[Amazon Drop 2026]]</f>
        <v>0</v>
      </c>
      <c r="Z347" s="3">
        <v>100371</v>
      </c>
      <c r="AA347" s="3">
        <f>+Tabla22[[#This Row],[Amazon Full 2026]]</f>
        <v>0</v>
      </c>
      <c r="AB347" s="3">
        <v>17824.655172413793</v>
      </c>
      <c r="AC347" s="3">
        <f>+Tabla22[[#This Row],[TikTok 2026]]</f>
        <v>0</v>
      </c>
      <c r="AD347" s="3">
        <v>0</v>
      </c>
      <c r="AE347" s="3">
        <f>+Tabla22[[#This Row],[Shein 2026]]</f>
        <v>0</v>
      </c>
      <c r="AF347" s="5">
        <f t="shared" si="79"/>
        <v>0</v>
      </c>
      <c r="AG347" s="4">
        <f t="shared" si="80"/>
        <v>0</v>
      </c>
      <c r="AH347" s="5">
        <f t="shared" si="81"/>
        <v>-10558847.842229316</v>
      </c>
      <c r="AI347" s="17">
        <f t="shared" si="74"/>
        <v>-1</v>
      </c>
      <c r="AJ347" s="17">
        <f t="shared" si="75"/>
        <v>0.12828590531200632</v>
      </c>
      <c r="AK347" s="14" t="e">
        <f t="shared" si="76"/>
        <v>#DIV/0!</v>
      </c>
      <c r="AL347" s="14">
        <f t="shared" si="77"/>
        <v>-1</v>
      </c>
    </row>
    <row r="348" spans="1:38" x14ac:dyDescent="0.3">
      <c r="A348" s="63">
        <v>46003</v>
      </c>
      <c r="B348" s="3">
        <v>77482550</v>
      </c>
      <c r="C348" s="3">
        <f t="shared" si="78"/>
        <v>6467029.7758620689</v>
      </c>
      <c r="D348" s="4">
        <f>+Tabla22[[#This Row],[Share diario]]</f>
        <v>4.6806643708322909E-2</v>
      </c>
      <c r="E348" s="3">
        <f>+Tabla22[[#This Row],[Global 2026]]</f>
        <v>0</v>
      </c>
      <c r="F348" s="7">
        <v>46367</v>
      </c>
      <c r="G348" s="3">
        <f>+Tabla2[[#This Row],[Meta Digital]]+Tabla2[[#This Row],[Meta MKPlace]]</f>
        <v>11471458.230976807</v>
      </c>
      <c r="H348" s="3">
        <v>7867346.6654359428</v>
      </c>
      <c r="I348" s="3">
        <v>3604111.5655408641</v>
      </c>
      <c r="J348" s="3">
        <v>3784370</v>
      </c>
      <c r="K348" s="3">
        <f>+Tabla22[[#This Row],[Web + APP 2026]]</f>
        <v>0</v>
      </c>
      <c r="L348" s="3">
        <v>54965.517241379297</v>
      </c>
      <c r="M348" s="3">
        <f>+Tabla22[[#This Row],[Afiliados 2026]]</f>
        <v>0</v>
      </c>
      <c r="N348" s="3">
        <v>67282</v>
      </c>
      <c r="O348" s="3">
        <f>+Tabla22[[#This Row],[TMK 2026]]</f>
        <v>0</v>
      </c>
      <c r="P348" s="3">
        <v>3570</v>
      </c>
      <c r="Q348" s="3">
        <f>+Tabla22[[#This Row],[WA 2026]]</f>
        <v>0</v>
      </c>
      <c r="R348" s="3">
        <v>221780</v>
      </c>
      <c r="S348" s="3">
        <f>+Tabla22[[#This Row],[Ent. en Tienda 2026]]</f>
        <v>0</v>
      </c>
      <c r="T348" s="3">
        <v>1763567</v>
      </c>
      <c r="U348" s="3">
        <f>+Tabla22[[#This Row],[Meli Drop 2026]]</f>
        <v>0</v>
      </c>
      <c r="V348" s="3">
        <v>363270</v>
      </c>
      <c r="W348" s="3">
        <f>+Tabla22[[#This Row],[Meli Full 2026]]</f>
        <v>0</v>
      </c>
      <c r="X348" s="3">
        <v>90425</v>
      </c>
      <c r="Y348" s="3">
        <f>+Tabla22[[#This Row],[Amazon Drop 2026]]</f>
        <v>0</v>
      </c>
      <c r="Z348" s="3">
        <v>114050</v>
      </c>
      <c r="AA348" s="3">
        <f>+Tabla22[[#This Row],[Amazon Full 2026]]</f>
        <v>0</v>
      </c>
      <c r="AB348" s="3">
        <v>3750.2586206896549</v>
      </c>
      <c r="AC348" s="3">
        <f>+Tabla22[[#This Row],[TikTok 2026]]</f>
        <v>0</v>
      </c>
      <c r="AD348" s="3">
        <v>0</v>
      </c>
      <c r="AE348" s="3">
        <f>+Tabla22[[#This Row],[Shein 2026]]</f>
        <v>0</v>
      </c>
      <c r="AF348" s="5">
        <f t="shared" si="79"/>
        <v>0</v>
      </c>
      <c r="AG348" s="4">
        <f t="shared" si="80"/>
        <v>0</v>
      </c>
      <c r="AH348" s="5">
        <f t="shared" si="81"/>
        <v>-11471458.230976807</v>
      </c>
      <c r="AI348" s="17">
        <f t="shared" si="74"/>
        <v>-1</v>
      </c>
      <c r="AJ348" s="17">
        <f t="shared" si="75"/>
        <v>8.346433843313196E-2</v>
      </c>
      <c r="AK348" s="14" t="e">
        <f t="shared" si="76"/>
        <v>#DIV/0!</v>
      </c>
      <c r="AL348" s="14">
        <f t="shared" si="77"/>
        <v>-1</v>
      </c>
    </row>
    <row r="349" spans="1:38" x14ac:dyDescent="0.3">
      <c r="A349" s="7">
        <v>46004</v>
      </c>
      <c r="B349" s="3">
        <v>92327737</v>
      </c>
      <c r="C349" s="3">
        <f t="shared" si="78"/>
        <v>5138073.1293103453</v>
      </c>
      <c r="D349" s="4">
        <f>+Tabla22[[#This Row],[Share diario]]</f>
        <v>3.4417998434214128E-2</v>
      </c>
      <c r="E349" s="3">
        <f>+Tabla22[[#This Row],[Global 2026]]</f>
        <v>0</v>
      </c>
      <c r="F349" s="7">
        <v>46368</v>
      </c>
      <c r="G349" s="3">
        <f>+Tabla2[[#This Row],[Meta Digital]]+Tabla2[[#This Row],[Meta MKPlace]]</f>
        <v>8435226.2873679809</v>
      </c>
      <c r="H349" s="3">
        <v>5785040.4079334931</v>
      </c>
      <c r="I349" s="3">
        <v>2650185.8794344878</v>
      </c>
      <c r="J349" s="3">
        <v>3236267</v>
      </c>
      <c r="K349" s="3">
        <f>+Tabla22[[#This Row],[Web + APP 2026]]</f>
        <v>0</v>
      </c>
      <c r="L349" s="3">
        <v>59461.206896551696</v>
      </c>
      <c r="M349" s="3">
        <f>+Tabla22[[#This Row],[Afiliados 2026]]</f>
        <v>0</v>
      </c>
      <c r="N349" s="3">
        <v>-5517</v>
      </c>
      <c r="O349" s="3">
        <f>+Tabla22[[#This Row],[TMK 2026]]</f>
        <v>0</v>
      </c>
      <c r="P349" s="3">
        <v>1235</v>
      </c>
      <c r="Q349" s="3">
        <f>+Tabla22[[#This Row],[WA 2026]]</f>
        <v>0</v>
      </c>
      <c r="R349" s="3">
        <v>131578</v>
      </c>
      <c r="S349" s="3">
        <f>+Tabla22[[#This Row],[Ent. en Tienda 2026]]</f>
        <v>0</v>
      </c>
      <c r="T349" s="3">
        <v>1165862</v>
      </c>
      <c r="U349" s="3">
        <f>+Tabla22[[#This Row],[Meli Drop 2026]]</f>
        <v>0</v>
      </c>
      <c r="V349" s="3">
        <v>332613</v>
      </c>
      <c r="W349" s="3">
        <f>+Tabla22[[#This Row],[Meli Full 2026]]</f>
        <v>0</v>
      </c>
      <c r="X349" s="3">
        <v>91573</v>
      </c>
      <c r="Y349" s="3">
        <f>+Tabla22[[#This Row],[Amazon Drop 2026]]</f>
        <v>0</v>
      </c>
      <c r="Z349" s="3">
        <v>125582</v>
      </c>
      <c r="AA349" s="3">
        <f>+Tabla22[[#This Row],[Amazon Full 2026]]</f>
        <v>0</v>
      </c>
      <c r="AB349" s="3">
        <v>-581.07758620689651</v>
      </c>
      <c r="AC349" s="3">
        <f>+Tabla22[[#This Row],[TikTok 2026]]</f>
        <v>0</v>
      </c>
      <c r="AD349" s="3">
        <v>0</v>
      </c>
      <c r="AE349" s="3">
        <f>+Tabla22[[#This Row],[Shein 2026]]</f>
        <v>0</v>
      </c>
      <c r="AF349" s="5">
        <f t="shared" si="79"/>
        <v>0</v>
      </c>
      <c r="AG349" s="4">
        <f t="shared" si="80"/>
        <v>0</v>
      </c>
      <c r="AH349" s="5">
        <f t="shared" si="81"/>
        <v>-8435226.2873679809</v>
      </c>
      <c r="AI349" s="17">
        <f t="shared" si="74"/>
        <v>-1</v>
      </c>
      <c r="AJ349" s="17">
        <f t="shared" si="75"/>
        <v>5.5650374375691078E-2</v>
      </c>
      <c r="AK349" s="14" t="e">
        <f t="shared" si="76"/>
        <v>#DIV/0!</v>
      </c>
      <c r="AL349" s="14">
        <f t="shared" si="77"/>
        <v>-1</v>
      </c>
    </row>
    <row r="350" spans="1:38" x14ac:dyDescent="0.3">
      <c r="A350" s="63">
        <v>46005</v>
      </c>
      <c r="B350" s="3">
        <v>104292228</v>
      </c>
      <c r="C350" s="3">
        <f t="shared" si="78"/>
        <v>5068053.5603448274</v>
      </c>
      <c r="D350" s="4">
        <f>+Tabla22[[#This Row],[Share diario]]</f>
        <v>2.7345195406326656E-2</v>
      </c>
      <c r="E350" s="3">
        <f>+Tabla22[[#This Row],[Global 2026]]</f>
        <v>0</v>
      </c>
      <c r="F350" s="7">
        <v>46369</v>
      </c>
      <c r="G350" s="3">
        <f>+Tabla2[[#This Row],[Meta Digital]]+Tabla2[[#This Row],[Meta MKPlace]]</f>
        <v>6701810.7274757773</v>
      </c>
      <c r="H350" s="3">
        <v>4596230.6811886253</v>
      </c>
      <c r="I350" s="3">
        <v>2105580.0462871525</v>
      </c>
      <c r="J350" s="3">
        <v>4186498</v>
      </c>
      <c r="K350" s="3">
        <f>+Tabla22[[#This Row],[Web + APP 2026]]</f>
        <v>0</v>
      </c>
      <c r="L350" s="3">
        <v>63377.586206896522</v>
      </c>
      <c r="M350" s="3">
        <f>+Tabla22[[#This Row],[Afiliados 2026]]</f>
        <v>0</v>
      </c>
      <c r="N350" s="3">
        <v>-2176</v>
      </c>
      <c r="O350" s="3">
        <f>+Tabla22[[#This Row],[TMK 2026]]</f>
        <v>0</v>
      </c>
      <c r="P350" s="3">
        <v>4620</v>
      </c>
      <c r="Q350" s="3">
        <f>+Tabla22[[#This Row],[WA 2026]]</f>
        <v>0</v>
      </c>
      <c r="R350" s="3">
        <v>163689</v>
      </c>
      <c r="S350" s="3">
        <f>+Tabla22[[#This Row],[Ent. en Tienda 2026]]</f>
        <v>0</v>
      </c>
      <c r="T350" s="3">
        <v>3655</v>
      </c>
      <c r="U350" s="3">
        <f>+Tabla22[[#This Row],[Meli Drop 2026]]</f>
        <v>0</v>
      </c>
      <c r="V350" s="3">
        <v>400332</v>
      </c>
      <c r="W350" s="3">
        <f>+Tabla22[[#This Row],[Meli Full 2026]]</f>
        <v>0</v>
      </c>
      <c r="X350" s="3">
        <v>101596</v>
      </c>
      <c r="Y350" s="3">
        <f>+Tabla22[[#This Row],[Amazon Drop 2026]]</f>
        <v>0</v>
      </c>
      <c r="Z350" s="3">
        <v>147093</v>
      </c>
      <c r="AA350" s="3">
        <f>+Tabla22[[#This Row],[Amazon Full 2026]]</f>
        <v>0</v>
      </c>
      <c r="AB350" s="3">
        <v>-631.02586206896558</v>
      </c>
      <c r="AC350" s="3">
        <f>+Tabla22[[#This Row],[TikTok 2026]]</f>
        <v>0</v>
      </c>
      <c r="AD350" s="3">
        <v>0</v>
      </c>
      <c r="AE350" s="3">
        <f>+Tabla22[[#This Row],[Shein 2026]]</f>
        <v>0</v>
      </c>
      <c r="AF350" s="5">
        <f t="shared" si="79"/>
        <v>0</v>
      </c>
      <c r="AG350" s="4">
        <f t="shared" si="80"/>
        <v>0</v>
      </c>
      <c r="AH350" s="5">
        <f t="shared" si="81"/>
        <v>-6701810.7274757773</v>
      </c>
      <c r="AI350" s="17">
        <f t="shared" si="74"/>
        <v>-1</v>
      </c>
      <c r="AJ350" s="17">
        <f t="shared" si="75"/>
        <v>4.8594738625632079E-2</v>
      </c>
      <c r="AK350" s="14" t="e">
        <f t="shared" si="76"/>
        <v>#DIV/0!</v>
      </c>
      <c r="AL350" s="14">
        <f t="shared" si="77"/>
        <v>-1</v>
      </c>
    </row>
    <row r="351" spans="1:38" x14ac:dyDescent="0.3">
      <c r="A351" s="7">
        <v>46006</v>
      </c>
      <c r="B351" s="3">
        <v>65616616</v>
      </c>
      <c r="C351" s="3">
        <f t="shared" si="78"/>
        <v>9475136.7758620698</v>
      </c>
      <c r="D351" s="4">
        <f>+Tabla22[[#This Row],[Share diario]]</f>
        <v>2.6972546215191875E-2</v>
      </c>
      <c r="E351" s="3">
        <f>+Tabla22[[#This Row],[Global 2026]]</f>
        <v>0</v>
      </c>
      <c r="F351" s="7">
        <v>46370</v>
      </c>
      <c r="G351" s="3">
        <f>+Tabla2[[#This Row],[Meta Digital]]+Tabla2[[#This Row],[Meta MKPlace]]</f>
        <v>6610481.1790990839</v>
      </c>
      <c r="H351" s="3">
        <v>4533595.1205293098</v>
      </c>
      <c r="I351" s="3">
        <v>2076886.0585697743</v>
      </c>
      <c r="J351" s="3">
        <v>5911164</v>
      </c>
      <c r="K351" s="3">
        <f>+Tabla22[[#This Row],[Web + APP 2026]]</f>
        <v>0</v>
      </c>
      <c r="L351" s="3">
        <v>55170.689655172406</v>
      </c>
      <c r="M351" s="3">
        <f>+Tabla22[[#This Row],[Afiliados 2026]]</f>
        <v>0</v>
      </c>
      <c r="N351" s="3">
        <v>96597</v>
      </c>
      <c r="O351" s="3">
        <f>+Tabla22[[#This Row],[TMK 2026]]</f>
        <v>0</v>
      </c>
      <c r="P351" s="3">
        <v>5578</v>
      </c>
      <c r="Q351" s="3">
        <f>+Tabla22[[#This Row],[WA 2026]]</f>
        <v>0</v>
      </c>
      <c r="R351" s="3">
        <v>174915</v>
      </c>
      <c r="S351" s="3">
        <f>+Tabla22[[#This Row],[Ent. en Tienda 2026]]</f>
        <v>0</v>
      </c>
      <c r="T351" s="3">
        <v>2393939</v>
      </c>
      <c r="U351" s="3">
        <f>+Tabla22[[#This Row],[Meli Drop 2026]]</f>
        <v>0</v>
      </c>
      <c r="V351" s="3">
        <v>492432</v>
      </c>
      <c r="W351" s="3">
        <f>+Tabla22[[#This Row],[Meli Full 2026]]</f>
        <v>0</v>
      </c>
      <c r="X351" s="3">
        <v>136733</v>
      </c>
      <c r="Y351" s="3">
        <f>+Tabla22[[#This Row],[Amazon Drop 2026]]</f>
        <v>0</v>
      </c>
      <c r="Z351" s="3">
        <v>186165</v>
      </c>
      <c r="AA351" s="3">
        <f>+Tabla22[[#This Row],[Amazon Full 2026]]</f>
        <v>0</v>
      </c>
      <c r="AB351" s="3">
        <v>22443.086206896551</v>
      </c>
      <c r="AC351" s="3">
        <f>+Tabla22[[#This Row],[TikTok 2026]]</f>
        <v>0</v>
      </c>
      <c r="AD351" s="3">
        <v>0</v>
      </c>
      <c r="AE351" s="3">
        <f>+Tabla22[[#This Row],[Shein 2026]]</f>
        <v>0</v>
      </c>
      <c r="AF351" s="5">
        <f t="shared" si="79"/>
        <v>0</v>
      </c>
      <c r="AG351" s="4">
        <f t="shared" si="80"/>
        <v>0</v>
      </c>
      <c r="AH351" s="5">
        <f t="shared" si="81"/>
        <v>-6610481.1790990839</v>
      </c>
      <c r="AI351" s="17">
        <f t="shared" si="74"/>
        <v>-1</v>
      </c>
      <c r="AJ351" s="17">
        <f t="shared" si="75"/>
        <v>0.14440148476815795</v>
      </c>
      <c r="AK351" s="14" t="e">
        <f t="shared" si="76"/>
        <v>#DIV/0!</v>
      </c>
      <c r="AL351" s="14">
        <f t="shared" si="77"/>
        <v>-1</v>
      </c>
    </row>
    <row r="352" spans="1:38" x14ac:dyDescent="0.3">
      <c r="A352" s="63">
        <v>46007</v>
      </c>
      <c r="B352" s="3">
        <v>77580854</v>
      </c>
      <c r="C352" s="3">
        <f t="shared" si="78"/>
        <v>12618273.603448274</v>
      </c>
      <c r="D352" s="4">
        <f>+Tabla22[[#This Row],[Share diario]]</f>
        <v>5.0427360630501128E-2</v>
      </c>
      <c r="E352" s="3">
        <f>+Tabla22[[#This Row],[Global 2026]]</f>
        <v>0</v>
      </c>
      <c r="F352" s="7">
        <v>46371</v>
      </c>
      <c r="G352" s="3">
        <f>+Tabla2[[#This Row],[Meta Digital]]+Tabla2[[#This Row],[Meta MKPlace]]</f>
        <v>12358830.186073277</v>
      </c>
      <c r="H352" s="3">
        <v>8475923.4175246898</v>
      </c>
      <c r="I352" s="3">
        <v>3882906.7685485869</v>
      </c>
      <c r="J352" s="3">
        <v>6852617</v>
      </c>
      <c r="K352" s="3">
        <f>+Tabla22[[#This Row],[Web + APP 2026]]</f>
        <v>0</v>
      </c>
      <c r="L352" s="3">
        <v>56310.344827586188</v>
      </c>
      <c r="M352" s="3">
        <f>+Tabla22[[#This Row],[Afiliados 2026]]</f>
        <v>0</v>
      </c>
      <c r="N352" s="3">
        <v>109047</v>
      </c>
      <c r="O352" s="3">
        <f>+Tabla22[[#This Row],[TMK 2026]]</f>
        <v>0</v>
      </c>
      <c r="P352" s="3">
        <v>2019</v>
      </c>
      <c r="Q352" s="3">
        <f>+Tabla22[[#This Row],[WA 2026]]</f>
        <v>0</v>
      </c>
      <c r="R352" s="3">
        <v>138436</v>
      </c>
      <c r="S352" s="3">
        <f>+Tabla22[[#This Row],[Ent. en Tienda 2026]]</f>
        <v>0</v>
      </c>
      <c r="T352" s="3">
        <v>4615472</v>
      </c>
      <c r="U352" s="3">
        <f>+Tabla22[[#This Row],[Meli Drop 2026]]</f>
        <v>0</v>
      </c>
      <c r="V352" s="3">
        <v>570628</v>
      </c>
      <c r="W352" s="3">
        <f>+Tabla22[[#This Row],[Meli Full 2026]]</f>
        <v>0</v>
      </c>
      <c r="X352" s="3">
        <v>102615</v>
      </c>
      <c r="Y352" s="3">
        <f>+Tabla22[[#This Row],[Amazon Drop 2026]]</f>
        <v>0</v>
      </c>
      <c r="Z352" s="3">
        <v>148024</v>
      </c>
      <c r="AA352" s="3">
        <f>+Tabla22[[#This Row],[Amazon Full 2026]]</f>
        <v>0</v>
      </c>
      <c r="AB352" s="3">
        <v>22071.637931034486</v>
      </c>
      <c r="AC352" s="3">
        <f>+Tabla22[[#This Row],[TikTok 2026]]</f>
        <v>0</v>
      </c>
      <c r="AD352" s="3">
        <v>1033.6206896551726</v>
      </c>
      <c r="AE352" s="3">
        <f>+Tabla22[[#This Row],[Shein 2026]]</f>
        <v>0</v>
      </c>
      <c r="AF352" s="5">
        <f t="shared" si="79"/>
        <v>0</v>
      </c>
      <c r="AG352" s="4">
        <f t="shared" si="80"/>
        <v>0</v>
      </c>
      <c r="AH352" s="5">
        <f t="shared" si="81"/>
        <v>-12358830.186073277</v>
      </c>
      <c r="AI352" s="17">
        <f t="shared" si="74"/>
        <v>-1</v>
      </c>
      <c r="AJ352" s="17">
        <f t="shared" si="75"/>
        <v>0.16264674791345135</v>
      </c>
      <c r="AK352" s="14" t="e">
        <f t="shared" si="76"/>
        <v>#DIV/0!</v>
      </c>
      <c r="AL352" s="14">
        <f t="shared" si="77"/>
        <v>-1</v>
      </c>
    </row>
    <row r="353" spans="1:38" x14ac:dyDescent="0.3">
      <c r="A353" s="7">
        <v>46008</v>
      </c>
      <c r="B353" s="3">
        <v>80887423</v>
      </c>
      <c r="C353" s="3">
        <f t="shared" si="78"/>
        <v>9298281.6896551717</v>
      </c>
      <c r="D353" s="4">
        <f>+Tabla22[[#This Row],[Share diario]]</f>
        <v>6.7155361298468066E-2</v>
      </c>
      <c r="E353" s="3">
        <f>+Tabla22[[#This Row],[Global 2026]]</f>
        <v>0</v>
      </c>
      <c r="F353" s="7">
        <v>46372</v>
      </c>
      <c r="G353" s="3">
        <f>+Tabla2[[#This Row],[Meta Digital]]+Tabla2[[#This Row],[Meta MKPlace]]</f>
        <v>16458559.321666332</v>
      </c>
      <c r="H353" s="3">
        <v>11287596.501684291</v>
      </c>
      <c r="I353" s="3">
        <v>5170962.8199820407</v>
      </c>
      <c r="J353" s="3">
        <v>5512521</v>
      </c>
      <c r="K353" s="3">
        <f>+Tabla22[[#This Row],[Web + APP 2026]]</f>
        <v>0</v>
      </c>
      <c r="L353" s="3">
        <v>51579.310344827572</v>
      </c>
      <c r="M353" s="3">
        <f>+Tabla22[[#This Row],[Afiliados 2026]]</f>
        <v>0</v>
      </c>
      <c r="N353" s="3">
        <v>78025</v>
      </c>
      <c r="O353" s="3">
        <f>+Tabla22[[#This Row],[TMK 2026]]</f>
        <v>0</v>
      </c>
      <c r="P353" s="3">
        <v>134</v>
      </c>
      <c r="Q353" s="3">
        <f>+Tabla22[[#This Row],[WA 2026]]</f>
        <v>0</v>
      </c>
      <c r="R353" s="3">
        <v>184118</v>
      </c>
      <c r="S353" s="3">
        <f>+Tabla22[[#This Row],[Ent. en Tienda 2026]]</f>
        <v>0</v>
      </c>
      <c r="T353" s="3">
        <v>2496155</v>
      </c>
      <c r="U353" s="3">
        <f>+Tabla22[[#This Row],[Meli Drop 2026]]</f>
        <v>0</v>
      </c>
      <c r="V353" s="3">
        <v>626379</v>
      </c>
      <c r="W353" s="3">
        <f>+Tabla22[[#This Row],[Meli Full 2026]]</f>
        <v>0</v>
      </c>
      <c r="X353" s="3">
        <v>144053</v>
      </c>
      <c r="Y353" s="3">
        <f>+Tabla22[[#This Row],[Amazon Drop 2026]]</f>
        <v>0</v>
      </c>
      <c r="Z353" s="3">
        <v>183327</v>
      </c>
      <c r="AA353" s="3">
        <f>+Tabla22[[#This Row],[Amazon Full 2026]]</f>
        <v>0</v>
      </c>
      <c r="AB353" s="3">
        <v>21990.379310344833</v>
      </c>
      <c r="AC353" s="3">
        <f>+Tabla22[[#This Row],[TikTok 2026]]</f>
        <v>0</v>
      </c>
      <c r="AD353" s="3">
        <v>0</v>
      </c>
      <c r="AE353" s="3">
        <f>+Tabla22[[#This Row],[Shein 2026]]</f>
        <v>0</v>
      </c>
      <c r="AF353" s="5">
        <f t="shared" si="79"/>
        <v>0</v>
      </c>
      <c r="AG353" s="4">
        <f t="shared" si="80"/>
        <v>0</v>
      </c>
      <c r="AH353" s="5">
        <f t="shared" si="81"/>
        <v>-16458559.321666332</v>
      </c>
      <c r="AI353" s="17">
        <f t="shared" si="74"/>
        <v>-1</v>
      </c>
      <c r="AJ353" s="17">
        <f t="shared" si="75"/>
        <v>0.11495336783884401</v>
      </c>
      <c r="AK353" s="14" t="e">
        <f t="shared" si="76"/>
        <v>#DIV/0!</v>
      </c>
      <c r="AL353" s="14">
        <f t="shared" si="77"/>
        <v>-1</v>
      </c>
    </row>
    <row r="354" spans="1:38" x14ac:dyDescent="0.3">
      <c r="A354" s="63">
        <v>46009</v>
      </c>
      <c r="B354" s="3">
        <v>89154537</v>
      </c>
      <c r="C354" s="3">
        <f t="shared" si="78"/>
        <v>7470799.1551724132</v>
      </c>
      <c r="D354" s="4">
        <f>+Tabla22[[#This Row],[Share diario]]</f>
        <v>4.9486125118818267E-2</v>
      </c>
      <c r="E354" s="3">
        <f>+Tabla22[[#This Row],[Global 2026]]</f>
        <v>0</v>
      </c>
      <c r="F354" s="7">
        <v>46373</v>
      </c>
      <c r="G354" s="3">
        <f>+Tabla2[[#This Row],[Meta Digital]]+Tabla2[[#This Row],[Meta MKPlace]]</f>
        <v>12128150.457676897</v>
      </c>
      <c r="H354" s="3">
        <v>8317718.8235278903</v>
      </c>
      <c r="I354" s="3">
        <v>3810431.6341490066</v>
      </c>
      <c r="J354" s="3">
        <v>4907692</v>
      </c>
      <c r="K354" s="3">
        <f>+Tabla22[[#This Row],[Web + APP 2026]]</f>
        <v>0</v>
      </c>
      <c r="L354" s="3">
        <v>57534.482758620667</v>
      </c>
      <c r="M354" s="3">
        <f>+Tabla22[[#This Row],[Afiliados 2026]]</f>
        <v>0</v>
      </c>
      <c r="N354" s="3">
        <v>25079</v>
      </c>
      <c r="O354" s="3">
        <f>+Tabla22[[#This Row],[TMK 2026]]</f>
        <v>0</v>
      </c>
      <c r="P354" s="3">
        <v>0</v>
      </c>
      <c r="Q354" s="3">
        <f>+Tabla22[[#This Row],[WA 2026]]</f>
        <v>0</v>
      </c>
      <c r="R354" s="3">
        <v>195871</v>
      </c>
      <c r="S354" s="3">
        <f>+Tabla22[[#This Row],[Ent. en Tienda 2026]]</f>
        <v>0</v>
      </c>
      <c r="T354" s="3">
        <v>1595724</v>
      </c>
      <c r="U354" s="3">
        <f>+Tabla22[[#This Row],[Meli Drop 2026]]</f>
        <v>0</v>
      </c>
      <c r="V354" s="3">
        <v>465815</v>
      </c>
      <c r="W354" s="3">
        <f>+Tabla22[[#This Row],[Meli Full 2026]]</f>
        <v>0</v>
      </c>
      <c r="X354" s="3">
        <v>88159</v>
      </c>
      <c r="Y354" s="3">
        <f>+Tabla22[[#This Row],[Amazon Drop 2026]]</f>
        <v>0</v>
      </c>
      <c r="Z354" s="3">
        <v>123030</v>
      </c>
      <c r="AA354" s="3">
        <f>+Tabla22[[#This Row],[Amazon Full 2026]]</f>
        <v>0</v>
      </c>
      <c r="AB354" s="3">
        <v>12842.086206896549</v>
      </c>
      <c r="AC354" s="3">
        <f>+Tabla22[[#This Row],[TikTok 2026]]</f>
        <v>0</v>
      </c>
      <c r="AD354" s="3">
        <v>-947.41379310344837</v>
      </c>
      <c r="AE354" s="3">
        <f>+Tabla22[[#This Row],[Shein 2026]]</f>
        <v>0</v>
      </c>
      <c r="AF354" s="5">
        <f t="shared" si="79"/>
        <v>0</v>
      </c>
      <c r="AG354" s="4">
        <f t="shared" si="80"/>
        <v>0</v>
      </c>
      <c r="AH354" s="5">
        <f t="shared" si="81"/>
        <v>-12128150.457676897</v>
      </c>
      <c r="AI354" s="17">
        <f t="shared" si="74"/>
        <v>-1</v>
      </c>
      <c r="AJ354" s="17">
        <f t="shared" si="75"/>
        <v>8.3796062506301991E-2</v>
      </c>
      <c r="AK354" s="14" t="e">
        <f t="shared" si="76"/>
        <v>#DIV/0!</v>
      </c>
      <c r="AL354" s="14">
        <f t="shared" si="77"/>
        <v>-1</v>
      </c>
    </row>
    <row r="355" spans="1:38" x14ac:dyDescent="0.3">
      <c r="A355" s="7">
        <v>46010</v>
      </c>
      <c r="B355" s="3">
        <v>93901132</v>
      </c>
      <c r="C355" s="3">
        <f t="shared" si="78"/>
        <v>6049900.5086206896</v>
      </c>
      <c r="D355" s="4">
        <f>+Tabla22[[#This Row],[Share diario]]</f>
        <v>3.9760131395216343E-2</v>
      </c>
      <c r="E355" s="3">
        <f>+Tabla22[[#This Row],[Global 2026]]</f>
        <v>0</v>
      </c>
      <c r="F355" s="7">
        <v>46374</v>
      </c>
      <c r="G355" s="3">
        <f>+Tabla2[[#This Row],[Meta Digital]]+Tabla2[[#This Row],[Meta MKPlace]]</f>
        <v>9744486.0477631595</v>
      </c>
      <c r="H355" s="3">
        <v>6682955.9303315012</v>
      </c>
      <c r="I355" s="3">
        <v>3061530.1174316583</v>
      </c>
      <c r="J355" s="3">
        <v>4233630</v>
      </c>
      <c r="K355" s="3">
        <f>+Tabla22[[#This Row],[Web + APP 2026]]</f>
        <v>0</v>
      </c>
      <c r="L355" s="3">
        <v>55192.241379310333</v>
      </c>
      <c r="M355" s="3">
        <f>+Tabla22[[#This Row],[Afiliados 2026]]</f>
        <v>0</v>
      </c>
      <c r="N355" s="3">
        <v>61571</v>
      </c>
      <c r="O355" s="3">
        <f>+Tabla22[[#This Row],[TMK 2026]]</f>
        <v>0</v>
      </c>
      <c r="P355" s="3">
        <v>1807</v>
      </c>
      <c r="Q355" s="3">
        <f>+Tabla22[[#This Row],[WA 2026]]</f>
        <v>0</v>
      </c>
      <c r="R355" s="3">
        <v>260142</v>
      </c>
      <c r="S355" s="3">
        <f>+Tabla22[[#This Row],[Ent. en Tienda 2026]]</f>
        <v>0</v>
      </c>
      <c r="T355" s="3">
        <v>910724</v>
      </c>
      <c r="U355" s="3">
        <f>+Tabla22[[#This Row],[Meli Drop 2026]]</f>
        <v>0</v>
      </c>
      <c r="V355" s="3">
        <v>311790</v>
      </c>
      <c r="W355" s="3">
        <f>+Tabla22[[#This Row],[Meli Full 2026]]</f>
        <v>0</v>
      </c>
      <c r="X355" s="3">
        <v>88213</v>
      </c>
      <c r="Y355" s="3">
        <f>+Tabla22[[#This Row],[Amazon Drop 2026]]</f>
        <v>0</v>
      </c>
      <c r="Z355" s="3">
        <v>121448</v>
      </c>
      <c r="AA355" s="3">
        <f>+Tabla22[[#This Row],[Amazon Full 2026]]</f>
        <v>0</v>
      </c>
      <c r="AB355" s="3">
        <v>5383.2672413793107</v>
      </c>
      <c r="AC355" s="3">
        <f>+Tabla22[[#This Row],[TikTok 2026]]</f>
        <v>0</v>
      </c>
      <c r="AD355" s="3">
        <v>0</v>
      </c>
      <c r="AE355" s="3">
        <f>+Tabla22[[#This Row],[Shein 2026]]</f>
        <v>0</v>
      </c>
      <c r="AF355" s="5">
        <f t="shared" si="79"/>
        <v>0</v>
      </c>
      <c r="AG355" s="4">
        <f t="shared" si="80"/>
        <v>0</v>
      </c>
      <c r="AH355" s="5">
        <f t="shared" si="81"/>
        <v>-9744486.0477631595</v>
      </c>
      <c r="AI355" s="17">
        <f t="shared" si="74"/>
        <v>-1</v>
      </c>
      <c r="AJ355" s="17">
        <f t="shared" si="75"/>
        <v>6.442840868649688E-2</v>
      </c>
      <c r="AK355" s="14" t="e">
        <f t="shared" si="76"/>
        <v>#DIV/0!</v>
      </c>
      <c r="AL355" s="14">
        <f t="shared" si="77"/>
        <v>-1</v>
      </c>
    </row>
    <row r="356" spans="1:38" x14ac:dyDescent="0.3">
      <c r="A356" s="63">
        <v>46011</v>
      </c>
      <c r="B356" s="3">
        <v>109415421</v>
      </c>
      <c r="C356" s="3">
        <f t="shared" si="78"/>
        <v>5251245.3103448274</v>
      </c>
      <c r="D356" s="4">
        <f>+Tabla22[[#This Row],[Share diario]]</f>
        <v>3.2198006418657825E-2</v>
      </c>
      <c r="E356" s="3">
        <f>+Tabla22[[#This Row],[Global 2026]]</f>
        <v>0</v>
      </c>
      <c r="F356" s="7">
        <v>46375</v>
      </c>
      <c r="G356" s="3">
        <f>+Tabla2[[#This Row],[Meta Digital]]+Tabla2[[#This Row],[Meta MKPlace]]</f>
        <v>7891146.5657316307</v>
      </c>
      <c r="H356" s="3">
        <v>5411900.0714949779</v>
      </c>
      <c r="I356" s="3">
        <v>2479246.4942366527</v>
      </c>
      <c r="J356" s="3">
        <v>3162185</v>
      </c>
      <c r="K356" s="3">
        <f>+Tabla22[[#This Row],[Web + APP 2026]]</f>
        <v>0</v>
      </c>
      <c r="L356" s="3">
        <v>56364.655172413783</v>
      </c>
      <c r="M356" s="3">
        <f>+Tabla22[[#This Row],[Afiliados 2026]]</f>
        <v>0</v>
      </c>
      <c r="N356" s="3">
        <v>11112</v>
      </c>
      <c r="O356" s="3">
        <f>+Tabla22[[#This Row],[TMK 2026]]</f>
        <v>0</v>
      </c>
      <c r="P356" s="3">
        <v>6379</v>
      </c>
      <c r="Q356" s="3">
        <f>+Tabla22[[#This Row],[WA 2026]]</f>
        <v>0</v>
      </c>
      <c r="R356" s="3">
        <v>167453</v>
      </c>
      <c r="S356" s="3">
        <f>+Tabla22[[#This Row],[Ent. en Tienda 2026]]</f>
        <v>0</v>
      </c>
      <c r="T356" s="3">
        <v>1460290</v>
      </c>
      <c r="U356" s="3">
        <f>+Tabla22[[#This Row],[Meli Drop 2026]]</f>
        <v>0</v>
      </c>
      <c r="V356" s="3">
        <v>236261</v>
      </c>
      <c r="W356" s="3">
        <f>+Tabla22[[#This Row],[Meli Full 2026]]</f>
        <v>0</v>
      </c>
      <c r="X356" s="3">
        <v>60838</v>
      </c>
      <c r="Y356" s="3">
        <f>+Tabla22[[#This Row],[Amazon Drop 2026]]</f>
        <v>0</v>
      </c>
      <c r="Z356" s="3">
        <v>88123</v>
      </c>
      <c r="AA356" s="3">
        <f>+Tabla22[[#This Row],[Amazon Full 2026]]</f>
        <v>0</v>
      </c>
      <c r="AB356" s="3">
        <v>2239.6551724137935</v>
      </c>
      <c r="AC356" s="3">
        <f>+Tabla22[[#This Row],[TikTok 2026]]</f>
        <v>0</v>
      </c>
      <c r="AD356" s="3">
        <v>0</v>
      </c>
      <c r="AE356" s="3">
        <f>+Tabla22[[#This Row],[Shein 2026]]</f>
        <v>0</v>
      </c>
      <c r="AF356" s="5">
        <f t="shared" si="79"/>
        <v>0</v>
      </c>
      <c r="AG356" s="4">
        <f t="shared" si="80"/>
        <v>0</v>
      </c>
      <c r="AH356" s="5">
        <f t="shared" si="81"/>
        <v>-7891146.5657316307</v>
      </c>
      <c r="AI356" s="17">
        <f t="shared" si="74"/>
        <v>-1</v>
      </c>
      <c r="AJ356" s="17">
        <f t="shared" si="75"/>
        <v>4.7993648997108257E-2</v>
      </c>
      <c r="AK356" s="14" t="e">
        <f t="shared" si="76"/>
        <v>#DIV/0!</v>
      </c>
      <c r="AL356" s="14">
        <f t="shared" si="77"/>
        <v>-1</v>
      </c>
    </row>
    <row r="357" spans="1:38" x14ac:dyDescent="0.3">
      <c r="A357" s="7">
        <v>46012</v>
      </c>
      <c r="B357" s="3">
        <v>127581576</v>
      </c>
      <c r="C357" s="3">
        <f t="shared" si="78"/>
        <v>4687263.7499999991</v>
      </c>
      <c r="D357" s="4">
        <f>+Tabla22[[#This Row],[Share diario]]</f>
        <v>2.7947505908155475E-2</v>
      </c>
      <c r="E357" s="3">
        <f>+Tabla22[[#This Row],[Global 2026]]</f>
        <v>0</v>
      </c>
      <c r="F357" s="7">
        <v>46376</v>
      </c>
      <c r="G357" s="3">
        <f>+Tabla2[[#This Row],[Meta Digital]]+Tabla2[[#This Row],[Meta MKPlace]]</f>
        <v>6849426.0918002101</v>
      </c>
      <c r="H357" s="3">
        <v>4697468.1368722385</v>
      </c>
      <c r="I357" s="3">
        <v>2151957.9549279716</v>
      </c>
      <c r="J357" s="3">
        <v>3267153</v>
      </c>
      <c r="K357" s="3">
        <f>+Tabla22[[#This Row],[Web + APP 2026]]</f>
        <v>0</v>
      </c>
      <c r="L357" s="3">
        <v>67824.137931034464</v>
      </c>
      <c r="M357" s="3">
        <f>+Tabla22[[#This Row],[Afiliados 2026]]</f>
        <v>0</v>
      </c>
      <c r="N357" s="3">
        <v>8034</v>
      </c>
      <c r="O357" s="3">
        <f>+Tabla22[[#This Row],[TMK 2026]]</f>
        <v>0</v>
      </c>
      <c r="P357" s="3">
        <v>4687</v>
      </c>
      <c r="Q357" s="3">
        <f>+Tabla22[[#This Row],[WA 2026]]</f>
        <v>0</v>
      </c>
      <c r="R357" s="3">
        <v>221631</v>
      </c>
      <c r="S357" s="3">
        <f>+Tabla22[[#This Row],[Ent. en Tienda 2026]]</f>
        <v>0</v>
      </c>
      <c r="T357" s="3">
        <v>682525</v>
      </c>
      <c r="U357" s="3">
        <f>+Tabla22[[#This Row],[Meli Drop 2026]]</f>
        <v>0</v>
      </c>
      <c r="V357" s="3">
        <v>246073</v>
      </c>
      <c r="W357" s="3">
        <f>+Tabla22[[#This Row],[Meli Full 2026]]</f>
        <v>0</v>
      </c>
      <c r="X357" s="3">
        <v>84110</v>
      </c>
      <c r="Y357" s="3">
        <f>+Tabla22[[#This Row],[Amazon Drop 2026]]</f>
        <v>0</v>
      </c>
      <c r="Z357" s="3">
        <v>101881</v>
      </c>
      <c r="AA357" s="3">
        <f>+Tabla22[[#This Row],[Amazon Full 2026]]</f>
        <v>0</v>
      </c>
      <c r="AB357" s="3">
        <v>2570.6120689655172</v>
      </c>
      <c r="AC357" s="3">
        <f>+Tabla22[[#This Row],[TikTok 2026]]</f>
        <v>0</v>
      </c>
      <c r="AD357" s="3">
        <v>775</v>
      </c>
      <c r="AE357" s="3">
        <f>+Tabla22[[#This Row],[Shein 2026]]</f>
        <v>0</v>
      </c>
      <c r="AF357" s="5">
        <f t="shared" si="79"/>
        <v>0</v>
      </c>
      <c r="AG357" s="4">
        <f t="shared" si="80"/>
        <v>0</v>
      </c>
      <c r="AH357" s="5">
        <f t="shared" si="81"/>
        <v>-6849426.0918002101</v>
      </c>
      <c r="AI357" s="17">
        <f t="shared" si="74"/>
        <v>-1</v>
      </c>
      <c r="AJ357" s="17">
        <f t="shared" si="75"/>
        <v>3.6739346674946223E-2</v>
      </c>
      <c r="AK357" s="14" t="e">
        <f t="shared" si="76"/>
        <v>#DIV/0!</v>
      </c>
      <c r="AL357" s="14">
        <f t="shared" si="77"/>
        <v>-1</v>
      </c>
    </row>
    <row r="358" spans="1:38" x14ac:dyDescent="0.3">
      <c r="A358" s="63">
        <v>46013</v>
      </c>
      <c r="B358" s="3">
        <v>111476439</v>
      </c>
      <c r="C358" s="3">
        <f t="shared" si="78"/>
        <v>6561160.5</v>
      </c>
      <c r="D358" s="4">
        <f>+Tabla22[[#This Row],[Share diario]]</f>
        <v>2.4945955407595675E-2</v>
      </c>
      <c r="E358" s="3">
        <f>+Tabla22[[#This Row],[Global 2026]]</f>
        <v>0</v>
      </c>
      <c r="F358" s="7">
        <v>46377</v>
      </c>
      <c r="G358" s="3">
        <f>+Tabla2[[#This Row],[Meta Digital]]+Tabla2[[#This Row],[Meta MKPlace]]</f>
        <v>6113800.5808171025</v>
      </c>
      <c r="H358" s="3">
        <v>4192962.0144322356</v>
      </c>
      <c r="I358" s="3">
        <v>1920838.5663848671</v>
      </c>
      <c r="J358" s="3">
        <v>3485137</v>
      </c>
      <c r="K358" s="3">
        <f>+Tabla22[[#This Row],[Web + APP 2026]]</f>
        <v>0</v>
      </c>
      <c r="L358" s="3">
        <v>49748.275862068956</v>
      </c>
      <c r="M358" s="3">
        <f>+Tabla22[[#This Row],[Afiliados 2026]]</f>
        <v>0</v>
      </c>
      <c r="N358" s="3">
        <v>47955</v>
      </c>
      <c r="O358" s="3">
        <f>+Tabla22[[#This Row],[TMK 2026]]</f>
        <v>0</v>
      </c>
      <c r="P358" s="3">
        <v>5639</v>
      </c>
      <c r="Q358" s="3">
        <f>+Tabla22[[#This Row],[WA 2026]]</f>
        <v>0</v>
      </c>
      <c r="R358" s="3">
        <v>157781</v>
      </c>
      <c r="S358" s="3">
        <f>+Tabla22[[#This Row],[Ent. en Tienda 2026]]</f>
        <v>0</v>
      </c>
      <c r="T358" s="3">
        <v>2394236</v>
      </c>
      <c r="U358" s="3">
        <f>+Tabla22[[#This Row],[Meli Drop 2026]]</f>
        <v>0</v>
      </c>
      <c r="V358" s="3">
        <v>262249</v>
      </c>
      <c r="W358" s="3">
        <f>+Tabla22[[#This Row],[Meli Full 2026]]</f>
        <v>0</v>
      </c>
      <c r="X358" s="3">
        <v>63093</v>
      </c>
      <c r="Y358" s="3">
        <f>+Tabla22[[#This Row],[Amazon Drop 2026]]</f>
        <v>0</v>
      </c>
      <c r="Z358" s="3">
        <v>90524</v>
      </c>
      <c r="AA358" s="3">
        <f>+Tabla22[[#This Row],[Amazon Full 2026]]</f>
        <v>0</v>
      </c>
      <c r="AB358" s="3">
        <v>4798.2241379310353</v>
      </c>
      <c r="AC358" s="3">
        <f>+Tabla22[[#This Row],[TikTok 2026]]</f>
        <v>0</v>
      </c>
      <c r="AD358" s="3">
        <v>0</v>
      </c>
      <c r="AE358" s="3">
        <f>+Tabla22[[#This Row],[Shein 2026]]</f>
        <v>0</v>
      </c>
      <c r="AF358" s="5">
        <f t="shared" si="79"/>
        <v>0</v>
      </c>
      <c r="AG358" s="4">
        <f t="shared" si="80"/>
        <v>0</v>
      </c>
      <c r="AH358" s="5">
        <f t="shared" si="81"/>
        <v>-6113800.5808171025</v>
      </c>
      <c r="AI358" s="17">
        <f t="shared" si="74"/>
        <v>-1</v>
      </c>
      <c r="AJ358" s="17">
        <f t="shared" si="75"/>
        <v>5.8856925811919772E-2</v>
      </c>
      <c r="AK358" s="14" t="e">
        <f t="shared" si="76"/>
        <v>#DIV/0!</v>
      </c>
      <c r="AL358" s="14">
        <f t="shared" si="77"/>
        <v>-1</v>
      </c>
    </row>
    <row r="359" spans="1:38" x14ac:dyDescent="0.3">
      <c r="A359" s="7">
        <v>46014</v>
      </c>
      <c r="B359" s="3">
        <v>111875362</v>
      </c>
      <c r="C359" s="3">
        <f t="shared" si="78"/>
        <v>4108429.8362068967</v>
      </c>
      <c r="D359" s="4">
        <f>+Tabla22[[#This Row],[Share diario]]</f>
        <v>3.4918968930450774E-2</v>
      </c>
      <c r="E359" s="3">
        <f>+Tabla22[[#This Row],[Global 2026]]</f>
        <v>0</v>
      </c>
      <c r="F359" s="7">
        <v>46378</v>
      </c>
      <c r="G359" s="3">
        <f>+Tabla2[[#This Row],[Meta Digital]]+Tabla2[[#This Row],[Meta MKPlace]]</f>
        <v>8558005.0569448415</v>
      </c>
      <c r="H359" s="3">
        <v>5869244.4493001318</v>
      </c>
      <c r="I359" s="3">
        <v>2688760.6076447098</v>
      </c>
      <c r="J359" s="3">
        <v>3161304</v>
      </c>
      <c r="K359" s="3">
        <f>+Tabla22[[#This Row],[Web + APP 2026]]</f>
        <v>0</v>
      </c>
      <c r="L359" s="3">
        <v>49668.96551724137</v>
      </c>
      <c r="M359" s="3">
        <f>+Tabla22[[#This Row],[Afiliados 2026]]</f>
        <v>0</v>
      </c>
      <c r="N359" s="3">
        <v>40624</v>
      </c>
      <c r="O359" s="3">
        <f>+Tabla22[[#This Row],[TMK 2026]]</f>
        <v>0</v>
      </c>
      <c r="P359" s="3">
        <v>2572</v>
      </c>
      <c r="Q359" s="3">
        <f>+Tabla22[[#This Row],[WA 2026]]</f>
        <v>0</v>
      </c>
      <c r="R359" s="3">
        <v>106256</v>
      </c>
      <c r="S359" s="3">
        <f>+Tabla22[[#This Row],[Ent. en Tienda 2026]]</f>
        <v>0</v>
      </c>
      <c r="T359" s="3">
        <v>434393</v>
      </c>
      <c r="U359" s="3">
        <f>+Tabla22[[#This Row],[Meli Drop 2026]]</f>
        <v>0</v>
      </c>
      <c r="V359" s="3">
        <v>198282</v>
      </c>
      <c r="W359" s="3">
        <f>+Tabla22[[#This Row],[Meli Full 2026]]</f>
        <v>0</v>
      </c>
      <c r="X359" s="3">
        <v>42615</v>
      </c>
      <c r="Y359" s="3">
        <f>+Tabla22[[#This Row],[Amazon Drop 2026]]</f>
        <v>0</v>
      </c>
      <c r="Z359" s="3">
        <v>57674</v>
      </c>
      <c r="AA359" s="3">
        <f>+Tabla22[[#This Row],[Amazon Full 2026]]</f>
        <v>0</v>
      </c>
      <c r="AB359" s="3">
        <v>15040.870689655176</v>
      </c>
      <c r="AC359" s="3">
        <f>+Tabla22[[#This Row],[TikTok 2026]]</f>
        <v>0</v>
      </c>
      <c r="AD359" s="3">
        <v>0</v>
      </c>
      <c r="AE359" s="3">
        <f>+Tabla22[[#This Row],[Shein 2026]]</f>
        <v>0</v>
      </c>
      <c r="AF359" s="5">
        <f t="shared" si="79"/>
        <v>0</v>
      </c>
      <c r="AG359" s="4">
        <f t="shared" si="80"/>
        <v>0</v>
      </c>
      <c r="AH359" s="5">
        <f t="shared" si="81"/>
        <v>-8558005.0569448415</v>
      </c>
      <c r="AI359" s="17">
        <f t="shared" si="74"/>
        <v>-1</v>
      </c>
      <c r="AJ359" s="17">
        <f t="shared" si="75"/>
        <v>3.6723276356476924E-2</v>
      </c>
      <c r="AK359" s="14" t="e">
        <f t="shared" si="76"/>
        <v>#DIV/0!</v>
      </c>
      <c r="AL359" s="14">
        <f t="shared" si="77"/>
        <v>-1</v>
      </c>
    </row>
    <row r="360" spans="1:38" x14ac:dyDescent="0.3">
      <c r="A360" s="63">
        <v>46015</v>
      </c>
      <c r="B360" s="3">
        <v>53918132</v>
      </c>
      <c r="C360" s="3">
        <f t="shared" si="78"/>
        <v>2237073.1465517241</v>
      </c>
      <c r="D360" s="4">
        <f>+Tabla22[[#This Row],[Share diario]]</f>
        <v>2.1865359611831715E-2</v>
      </c>
      <c r="E360" s="3">
        <f>+Tabla22[[#This Row],[Global 2026]]</f>
        <v>0</v>
      </c>
      <c r="F360" s="7">
        <v>46379</v>
      </c>
      <c r="G360" s="3">
        <f>+Tabla2[[#This Row],[Meta Digital]]+Tabla2[[#This Row],[Meta MKPlace]]</f>
        <v>5358802.5036671013</v>
      </c>
      <c r="H360" s="3">
        <v>3675169.8135560588</v>
      </c>
      <c r="I360" s="3">
        <v>1683632.690111042</v>
      </c>
      <c r="J360" s="3">
        <v>1627852</v>
      </c>
      <c r="K360" s="3">
        <f>+Tabla22[[#This Row],[Web + APP 2026]]</f>
        <v>0</v>
      </c>
      <c r="L360" s="3">
        <v>28223.275862068956</v>
      </c>
      <c r="M360" s="3">
        <f>+Tabla22[[#This Row],[Afiliados 2026]]</f>
        <v>0</v>
      </c>
      <c r="N360" s="3">
        <v>5195</v>
      </c>
      <c r="O360" s="3">
        <f>+Tabla22[[#This Row],[TMK 2026]]</f>
        <v>0</v>
      </c>
      <c r="P360" s="3">
        <v>3081</v>
      </c>
      <c r="Q360" s="3">
        <f>+Tabla22[[#This Row],[WA 2026]]</f>
        <v>0</v>
      </c>
      <c r="R360" s="3">
        <v>156813</v>
      </c>
      <c r="S360" s="3">
        <f>+Tabla22[[#This Row],[Ent. en Tienda 2026]]</f>
        <v>0</v>
      </c>
      <c r="T360" s="3">
        <v>160817</v>
      </c>
      <c r="U360" s="3">
        <f>+Tabla22[[#This Row],[Meli Drop 2026]]</f>
        <v>0</v>
      </c>
      <c r="V360" s="3">
        <v>185477</v>
      </c>
      <c r="W360" s="3">
        <f>+Tabla22[[#This Row],[Meli Full 2026]]</f>
        <v>0</v>
      </c>
      <c r="X360" s="3">
        <v>29110</v>
      </c>
      <c r="Y360" s="3">
        <f>+Tabla22[[#This Row],[Amazon Drop 2026]]</f>
        <v>0</v>
      </c>
      <c r="Z360" s="3">
        <v>38376</v>
      </c>
      <c r="AA360" s="3">
        <f>+Tabla22[[#This Row],[Amazon Full 2026]]</f>
        <v>0</v>
      </c>
      <c r="AB360" s="3">
        <v>2128.8706896551726</v>
      </c>
      <c r="AC360" s="3">
        <f>+Tabla22[[#This Row],[TikTok 2026]]</f>
        <v>0</v>
      </c>
      <c r="AD360" s="3">
        <v>0</v>
      </c>
      <c r="AE360" s="3">
        <f>+Tabla22[[#This Row],[Shein 2026]]</f>
        <v>0</v>
      </c>
      <c r="AF360" s="5">
        <f t="shared" si="79"/>
        <v>0</v>
      </c>
      <c r="AG360" s="4">
        <f t="shared" si="80"/>
        <v>0</v>
      </c>
      <c r="AH360" s="5">
        <f t="shared" si="81"/>
        <v>-5358802.5036671013</v>
      </c>
      <c r="AI360" s="17">
        <f t="shared" si="74"/>
        <v>-1</v>
      </c>
      <c r="AJ360" s="17">
        <f t="shared" si="75"/>
        <v>4.149018268199136E-2</v>
      </c>
      <c r="AK360" s="14" t="e">
        <f t="shared" si="76"/>
        <v>#DIV/0!</v>
      </c>
      <c r="AL360" s="14">
        <f t="shared" si="77"/>
        <v>-1</v>
      </c>
    </row>
    <row r="361" spans="1:38" x14ac:dyDescent="0.3">
      <c r="A361" s="7">
        <v>46016</v>
      </c>
      <c r="B361" s="3">
        <v>2799799</v>
      </c>
      <c r="C361" s="3">
        <f t="shared" si="78"/>
        <v>2842941.5862068962</v>
      </c>
      <c r="D361" s="4">
        <f>+Tabla22[[#This Row],[Share diario]]</f>
        <v>1.1905864473150047E-2</v>
      </c>
      <c r="E361" s="3">
        <f>+Tabla22[[#This Row],[Global 2026]]</f>
        <v>0</v>
      </c>
      <c r="F361" s="7">
        <v>46380</v>
      </c>
      <c r="G361" s="3">
        <f>+Tabla2[[#This Row],[Meta Digital]]+Tabla2[[#This Row],[Meta MKPlace]]</f>
        <v>2917911.1379679195</v>
      </c>
      <c r="H361" s="3">
        <v>2001159.5735353658</v>
      </c>
      <c r="I361" s="3">
        <v>916751.5644325536</v>
      </c>
      <c r="J361" s="3">
        <v>1583968</v>
      </c>
      <c r="K361" s="3">
        <f>+Tabla22[[#This Row],[Web + APP 2026]]</f>
        <v>0</v>
      </c>
      <c r="L361" s="3">
        <v>20177.586206896554</v>
      </c>
      <c r="M361" s="3">
        <f>+Tabla22[[#This Row],[Afiliados 2026]]</f>
        <v>0</v>
      </c>
      <c r="N361" s="3">
        <v>-301</v>
      </c>
      <c r="O361" s="3">
        <f>+Tabla22[[#This Row],[TMK 2026]]</f>
        <v>0</v>
      </c>
      <c r="P361" s="3">
        <v>875</v>
      </c>
      <c r="Q361" s="3">
        <f>+Tabla22[[#This Row],[WA 2026]]</f>
        <v>0</v>
      </c>
      <c r="R361" s="3">
        <v>875</v>
      </c>
      <c r="S361" s="3">
        <f>+Tabla22[[#This Row],[Ent. en Tienda 2026]]</f>
        <v>0</v>
      </c>
      <c r="T361" s="3">
        <v>937342</v>
      </c>
      <c r="U361" s="3">
        <f>+Tabla22[[#This Row],[Meli Drop 2026]]</f>
        <v>0</v>
      </c>
      <c r="V361" s="3">
        <v>208467</v>
      </c>
      <c r="W361" s="3">
        <f>+Tabla22[[#This Row],[Meli Full 2026]]</f>
        <v>0</v>
      </c>
      <c r="X361" s="3">
        <v>42593</v>
      </c>
      <c r="Y361" s="3">
        <f>+Tabla22[[#This Row],[Amazon Drop 2026]]</f>
        <v>0</v>
      </c>
      <c r="Z361" s="3">
        <v>48945</v>
      </c>
      <c r="AA361" s="3">
        <f>+Tabla22[[#This Row],[Amazon Full 2026]]</f>
        <v>0</v>
      </c>
      <c r="AB361" s="3">
        <v>0</v>
      </c>
      <c r="AC361" s="3">
        <f>+Tabla22[[#This Row],[TikTok 2026]]</f>
        <v>0</v>
      </c>
      <c r="AD361" s="3">
        <v>0</v>
      </c>
      <c r="AE361" s="3">
        <f>+Tabla22[[#This Row],[Shein 2026]]</f>
        <v>0</v>
      </c>
      <c r="AF361" s="5">
        <f t="shared" si="79"/>
        <v>0</v>
      </c>
      <c r="AG361" s="4">
        <f t="shared" si="80"/>
        <v>0</v>
      </c>
      <c r="AH361" s="5">
        <f t="shared" si="81"/>
        <v>-2917911.1379679195</v>
      </c>
      <c r="AI361" s="17">
        <f t="shared" si="74"/>
        <v>-1</v>
      </c>
      <c r="AJ361" s="17">
        <f t="shared" si="75"/>
        <v>1.0154091726609289</v>
      </c>
      <c r="AK361" s="14" t="e">
        <f t="shared" si="76"/>
        <v>#DIV/0!</v>
      </c>
      <c r="AL361" s="14">
        <f t="shared" si="77"/>
        <v>-1</v>
      </c>
    </row>
    <row r="362" spans="1:38" x14ac:dyDescent="0.3">
      <c r="A362" s="63">
        <v>46017</v>
      </c>
      <c r="B362" s="3">
        <v>53118932</v>
      </c>
      <c r="C362" s="3">
        <f t="shared" si="78"/>
        <v>4128285.5862068967</v>
      </c>
      <c r="D362" s="4">
        <f>+Tabla22[[#This Row],[Share diario]]</f>
        <v>1.5130339963463024E-2</v>
      </c>
      <c r="E362" s="3">
        <f>+Tabla22[[#This Row],[Global 2026]]</f>
        <v>0</v>
      </c>
      <c r="F362" s="7">
        <v>46381</v>
      </c>
      <c r="G362" s="3">
        <f>+Tabla2[[#This Row],[Meta Digital]]+Tabla2[[#This Row],[Meta MKPlace]]</f>
        <v>3708171.5149869304</v>
      </c>
      <c r="H362" s="3">
        <v>2543135.3378002774</v>
      </c>
      <c r="I362" s="3">
        <v>1165036.1771866528</v>
      </c>
      <c r="J362" s="3">
        <v>2721769</v>
      </c>
      <c r="K362" s="3">
        <f>+Tabla22[[#This Row],[Web + APP 2026]]</f>
        <v>0</v>
      </c>
      <c r="L362" s="3">
        <v>46586.20689655171</v>
      </c>
      <c r="M362" s="3">
        <f>+Tabla22[[#This Row],[Afiliados 2026]]</f>
        <v>0</v>
      </c>
      <c r="N362" s="3">
        <v>3089</v>
      </c>
      <c r="O362" s="3">
        <f>+Tabla22[[#This Row],[TMK 2026]]</f>
        <v>0</v>
      </c>
      <c r="P362" s="3">
        <v>3108</v>
      </c>
      <c r="Q362" s="3">
        <f>+Tabla22[[#This Row],[WA 2026]]</f>
        <v>0</v>
      </c>
      <c r="R362" s="3">
        <v>141923</v>
      </c>
      <c r="S362" s="3">
        <f>+Tabla22[[#This Row],[Ent. en Tienda 2026]]</f>
        <v>0</v>
      </c>
      <c r="T362" s="3">
        <v>871637</v>
      </c>
      <c r="U362" s="3">
        <f>+Tabla22[[#This Row],[Meli Drop 2026]]</f>
        <v>0</v>
      </c>
      <c r="V362" s="3">
        <v>261080</v>
      </c>
      <c r="W362" s="3">
        <f>+Tabla22[[#This Row],[Meli Full 2026]]</f>
        <v>0</v>
      </c>
      <c r="X362" s="3">
        <v>31394</v>
      </c>
      <c r="Y362" s="3">
        <f>+Tabla22[[#This Row],[Amazon Drop 2026]]</f>
        <v>0</v>
      </c>
      <c r="Z362" s="3">
        <v>47183</v>
      </c>
      <c r="AA362" s="3">
        <f>+Tabla22[[#This Row],[Amazon Full 2026]]</f>
        <v>0</v>
      </c>
      <c r="AB362" s="3">
        <v>516.37931034482767</v>
      </c>
      <c r="AC362" s="3">
        <f>+Tabla22[[#This Row],[TikTok 2026]]</f>
        <v>0</v>
      </c>
      <c r="AD362" s="3">
        <v>0</v>
      </c>
      <c r="AE362" s="3">
        <f>+Tabla22[[#This Row],[Shein 2026]]</f>
        <v>0</v>
      </c>
      <c r="AF362" s="5">
        <f t="shared" si="79"/>
        <v>0</v>
      </c>
      <c r="AG362" s="4">
        <f t="shared" si="80"/>
        <v>0</v>
      </c>
      <c r="AH362" s="5">
        <f t="shared" si="81"/>
        <v>-3708171.5149869304</v>
      </c>
      <c r="AI362" s="17">
        <f t="shared" si="74"/>
        <v>-1</v>
      </c>
      <c r="AJ362" s="17">
        <f t="shared" si="75"/>
        <v>7.7717782168641808E-2</v>
      </c>
      <c r="AK362" s="14" t="e">
        <f t="shared" si="76"/>
        <v>#DIV/0!</v>
      </c>
      <c r="AL362" s="14">
        <f t="shared" si="77"/>
        <v>-1</v>
      </c>
    </row>
    <row r="363" spans="1:38" x14ac:dyDescent="0.3">
      <c r="A363" s="7">
        <v>46018</v>
      </c>
      <c r="B363" s="3">
        <v>58987154</v>
      </c>
      <c r="C363" s="3">
        <f t="shared" si="78"/>
        <v>3405226.3448275863</v>
      </c>
      <c r="D363" s="4">
        <f>+Tabla22[[#This Row],[Share diario]]</f>
        <v>2.1971033343992481E-2</v>
      </c>
      <c r="E363" s="3">
        <f>+Tabla22[[#This Row],[Global 2026]]</f>
        <v>0</v>
      </c>
      <c r="F363" s="7">
        <v>46382</v>
      </c>
      <c r="G363" s="3">
        <f>+Tabla2[[#This Row],[Meta Digital]]+Tabla2[[#This Row],[Meta MKPlace]]</f>
        <v>5384701.216083819</v>
      </c>
      <c r="H363" s="3">
        <v>3692931.6485963985</v>
      </c>
      <c r="I363" s="3">
        <v>1691769.567487421</v>
      </c>
      <c r="J363" s="3">
        <v>2337835</v>
      </c>
      <c r="K363" s="3">
        <f>+Tabla22[[#This Row],[Web + APP 2026]]</f>
        <v>0</v>
      </c>
      <c r="L363" s="3">
        <v>29682.758620689652</v>
      </c>
      <c r="M363" s="3">
        <f>+Tabla22[[#This Row],[Afiliados 2026]]</f>
        <v>0</v>
      </c>
      <c r="N363" s="3">
        <v>28710</v>
      </c>
      <c r="O363" s="3">
        <f>+Tabla22[[#This Row],[TMK 2026]]</f>
        <v>0</v>
      </c>
      <c r="P363" s="3">
        <v>1996</v>
      </c>
      <c r="Q363" s="3">
        <f>+Tabla22[[#This Row],[WA 2026]]</f>
        <v>0</v>
      </c>
      <c r="R363" s="3">
        <v>81564</v>
      </c>
      <c r="S363" s="3">
        <f>+Tabla22[[#This Row],[Ent. en Tienda 2026]]</f>
        <v>0</v>
      </c>
      <c r="T363" s="3">
        <v>580797</v>
      </c>
      <c r="U363" s="3">
        <f>+Tabla22[[#This Row],[Meli Drop 2026]]</f>
        <v>0</v>
      </c>
      <c r="V363" s="3">
        <v>266643</v>
      </c>
      <c r="W363" s="3">
        <f>+Tabla22[[#This Row],[Meli Full 2026]]</f>
        <v>0</v>
      </c>
      <c r="X363" s="3">
        <v>33335</v>
      </c>
      <c r="Y363" s="3">
        <f>+Tabla22[[#This Row],[Amazon Drop 2026]]</f>
        <v>0</v>
      </c>
      <c r="Z363" s="3">
        <v>43286</v>
      </c>
      <c r="AA363" s="3">
        <f>+Tabla22[[#This Row],[Amazon Full 2026]]</f>
        <v>0</v>
      </c>
      <c r="AB363" s="3">
        <v>1377.5862068965519</v>
      </c>
      <c r="AC363" s="3">
        <f>+Tabla22[[#This Row],[TikTok 2026]]</f>
        <v>0</v>
      </c>
      <c r="AD363" s="3">
        <v>0</v>
      </c>
      <c r="AE363" s="3">
        <f>+Tabla22[[#This Row],[Shein 2026]]</f>
        <v>0</v>
      </c>
      <c r="AF363" s="5">
        <f t="shared" si="79"/>
        <v>0</v>
      </c>
      <c r="AG363" s="4">
        <f t="shared" si="80"/>
        <v>0</v>
      </c>
      <c r="AH363" s="5">
        <f t="shared" si="81"/>
        <v>-5384701.216083819</v>
      </c>
      <c r="AI363" s="17">
        <f t="shared" si="74"/>
        <v>-1</v>
      </c>
      <c r="AJ363" s="17">
        <f t="shared" si="75"/>
        <v>5.7728269867496684E-2</v>
      </c>
      <c r="AK363" s="14" t="e">
        <f t="shared" si="76"/>
        <v>#DIV/0!</v>
      </c>
      <c r="AL363" s="14">
        <f t="shared" si="77"/>
        <v>-1</v>
      </c>
    </row>
    <row r="364" spans="1:38" x14ac:dyDescent="0.3">
      <c r="A364" s="63">
        <v>46019</v>
      </c>
      <c r="B364" s="3">
        <v>66407159</v>
      </c>
      <c r="C364" s="3">
        <f t="shared" si="78"/>
        <v>3439686.8965517241</v>
      </c>
      <c r="D364" s="4">
        <f>+Tabla22[[#This Row],[Share diario]]</f>
        <v>1.8122859962987788E-2</v>
      </c>
      <c r="E364" s="3">
        <f>+Tabla22[[#This Row],[Global 2026]]</f>
        <v>0</v>
      </c>
      <c r="F364" s="7">
        <v>46383</v>
      </c>
      <c r="G364" s="3">
        <f>+Tabla2[[#This Row],[Meta Digital]]+Tabla2[[#This Row],[Meta MKPlace]]</f>
        <v>4441583.814185963</v>
      </c>
      <c r="H364" s="3">
        <v>3046123.5970359035</v>
      </c>
      <c r="I364" s="3">
        <v>1395460.2171500598</v>
      </c>
      <c r="J364" s="3">
        <v>2361733</v>
      </c>
      <c r="K364" s="3">
        <f>+Tabla22[[#This Row],[Web + APP 2026]]</f>
        <v>0</v>
      </c>
      <c r="L364" s="3">
        <v>46006.89655172413</v>
      </c>
      <c r="M364" s="3">
        <f>+Tabla22[[#This Row],[Afiliados 2026]]</f>
        <v>0</v>
      </c>
      <c r="N364" s="3">
        <v>-1939</v>
      </c>
      <c r="O364" s="3">
        <f>+Tabla22[[#This Row],[TMK 2026]]</f>
        <v>0</v>
      </c>
      <c r="P364" s="3">
        <v>5572</v>
      </c>
      <c r="Q364" s="3">
        <f>+Tabla22[[#This Row],[WA 2026]]</f>
        <v>0</v>
      </c>
      <c r="R364" s="3">
        <v>66956</v>
      </c>
      <c r="S364" s="3">
        <f>+Tabla22[[#This Row],[Ent. en Tienda 2026]]</f>
        <v>0</v>
      </c>
      <c r="T364" s="3">
        <v>557576</v>
      </c>
      <c r="U364" s="3">
        <f>+Tabla22[[#This Row],[Meli Drop 2026]]</f>
        <v>0</v>
      </c>
      <c r="V364" s="3">
        <v>290065</v>
      </c>
      <c r="W364" s="3">
        <f>+Tabla22[[#This Row],[Meli Full 2026]]</f>
        <v>0</v>
      </c>
      <c r="X364" s="3">
        <v>51047</v>
      </c>
      <c r="Y364" s="3">
        <f>+Tabla22[[#This Row],[Amazon Drop 2026]]</f>
        <v>0</v>
      </c>
      <c r="Z364" s="3">
        <v>62670</v>
      </c>
      <c r="AA364" s="3">
        <f>+Tabla22[[#This Row],[Amazon Full 2026]]</f>
        <v>0</v>
      </c>
      <c r="AB364" s="3">
        <v>0</v>
      </c>
      <c r="AC364" s="3">
        <f>+Tabla22[[#This Row],[TikTok 2026]]</f>
        <v>0</v>
      </c>
      <c r="AD364" s="3">
        <v>0</v>
      </c>
      <c r="AE364" s="3">
        <f>+Tabla22[[#This Row],[Shein 2026]]</f>
        <v>0</v>
      </c>
      <c r="AF364" s="5">
        <f t="shared" si="79"/>
        <v>0</v>
      </c>
      <c r="AG364" s="4">
        <f t="shared" si="80"/>
        <v>0</v>
      </c>
      <c r="AH364" s="5">
        <f t="shared" si="81"/>
        <v>-4441583.814185963</v>
      </c>
      <c r="AI364" s="17">
        <f t="shared" si="74"/>
        <v>-1</v>
      </c>
      <c r="AJ364" s="17">
        <f t="shared" si="75"/>
        <v>5.1796928950863928E-2</v>
      </c>
      <c r="AK364" s="14" t="e">
        <f t="shared" si="76"/>
        <v>#DIV/0!</v>
      </c>
      <c r="AL364" s="14">
        <f t="shared" si="77"/>
        <v>-1</v>
      </c>
    </row>
    <row r="365" spans="1:38" x14ac:dyDescent="0.3">
      <c r="A365" s="7">
        <v>46020</v>
      </c>
      <c r="B365" s="3">
        <v>64104194</v>
      </c>
      <c r="C365" s="3">
        <f t="shared" si="78"/>
        <v>5049674.8275862075</v>
      </c>
      <c r="D365" s="4">
        <f>+Tabla22[[#This Row],[Share diario]]</f>
        <v>1.8306261502240084E-2</v>
      </c>
      <c r="E365" s="3">
        <f>+Tabla22[[#This Row],[Global 2026]]</f>
        <v>0</v>
      </c>
      <c r="F365" s="7">
        <v>46384</v>
      </c>
      <c r="G365" s="3">
        <f>+Tabla2[[#This Row],[Meta Digital]]+Tabla2[[#This Row],[Meta MKPlace]]</f>
        <v>4486532.2003625063</v>
      </c>
      <c r="H365" s="3">
        <v>3076950.0646900199</v>
      </c>
      <c r="I365" s="3">
        <v>1409582.1356724864</v>
      </c>
      <c r="J365" s="3">
        <v>3160262</v>
      </c>
      <c r="K365" s="3">
        <f>+Tabla22[[#This Row],[Web + APP 2026]]</f>
        <v>0</v>
      </c>
      <c r="L365" s="3">
        <v>41125.862068965507</v>
      </c>
      <c r="M365" s="3">
        <f>+Tabla22[[#This Row],[Afiliados 2026]]</f>
        <v>0</v>
      </c>
      <c r="N365" s="3">
        <v>-878</v>
      </c>
      <c r="O365" s="3">
        <f>+Tabla22[[#This Row],[TMK 2026]]</f>
        <v>0</v>
      </c>
      <c r="P365" s="3">
        <v>808</v>
      </c>
      <c r="Q365" s="3">
        <f>+Tabla22[[#This Row],[WA 2026]]</f>
        <v>0</v>
      </c>
      <c r="R365" s="3">
        <v>79809</v>
      </c>
      <c r="S365" s="3">
        <f>+Tabla22[[#This Row],[Ent. en Tienda 2026]]</f>
        <v>0</v>
      </c>
      <c r="T365" s="3">
        <v>1453361</v>
      </c>
      <c r="U365" s="3">
        <f>+Tabla22[[#This Row],[Meli Drop 2026]]</f>
        <v>0</v>
      </c>
      <c r="V365" s="3">
        <v>198633</v>
      </c>
      <c r="W365" s="3">
        <f>+Tabla22[[#This Row],[Meli Full 2026]]</f>
        <v>0</v>
      </c>
      <c r="X365" s="3">
        <v>31565</v>
      </c>
      <c r="Y365" s="3">
        <f>+Tabla22[[#This Row],[Amazon Drop 2026]]</f>
        <v>0</v>
      </c>
      <c r="Z365" s="3">
        <v>46263</v>
      </c>
      <c r="AA365" s="3">
        <f>+Tabla22[[#This Row],[Amazon Full 2026]]</f>
        <v>0</v>
      </c>
      <c r="AB365" s="3">
        <v>38725.965517241384</v>
      </c>
      <c r="AC365" s="3">
        <f>+Tabla22[[#This Row],[TikTok 2026]]</f>
        <v>0</v>
      </c>
      <c r="AD365" s="3">
        <v>0</v>
      </c>
      <c r="AE365" s="3">
        <f>+Tabla22[[#This Row],[Shein 2026]]</f>
        <v>0</v>
      </c>
      <c r="AF365" s="5">
        <f t="shared" si="79"/>
        <v>0</v>
      </c>
      <c r="AG365" s="4">
        <f t="shared" si="80"/>
        <v>0</v>
      </c>
      <c r="AH365" s="5">
        <f t="shared" si="81"/>
        <v>-4486532.2003625063</v>
      </c>
      <c r="AI365" s="17">
        <f t="shared" si="74"/>
        <v>-1</v>
      </c>
      <c r="AJ365" s="17">
        <f t="shared" si="75"/>
        <v>7.8772924398459912E-2</v>
      </c>
      <c r="AK365" s="14" t="e">
        <f t="shared" si="76"/>
        <v>#DIV/0!</v>
      </c>
      <c r="AL365" s="14">
        <f t="shared" si="77"/>
        <v>-1</v>
      </c>
    </row>
    <row r="366" spans="1:38" x14ac:dyDescent="0.3">
      <c r="A366" s="63">
        <v>46021</v>
      </c>
      <c r="B366" s="3">
        <v>68127355</v>
      </c>
      <c r="C366" s="3">
        <f t="shared" si="78"/>
        <v>3705326.9482758618</v>
      </c>
      <c r="D366" s="4">
        <f>+Tabla22[[#This Row],[Share diario]]</f>
        <v>2.6874733275212843E-2</v>
      </c>
      <c r="E366" s="3">
        <f>+Tabla22[[#This Row],[Global 2026]]</f>
        <v>0</v>
      </c>
      <c r="F366" s="7">
        <v>46385</v>
      </c>
      <c r="G366" s="3">
        <f>+Tabla2[[#This Row],[Meta Digital]]+Tabla2[[#This Row],[Meta MKPlace]]</f>
        <v>6586509.0040717386</v>
      </c>
      <c r="H366" s="3">
        <v>4517154.5418803496</v>
      </c>
      <c r="I366" s="3">
        <v>2069354.4621913889</v>
      </c>
      <c r="J366" s="3">
        <v>2661283</v>
      </c>
      <c r="K366" s="3">
        <f>+Tabla22[[#This Row],[Web + APP 2026]]</f>
        <v>0</v>
      </c>
      <c r="L366" s="3">
        <v>34689.65517241379</v>
      </c>
      <c r="M366" s="3">
        <f>+Tabla22[[#This Row],[Afiliados 2026]]</f>
        <v>0</v>
      </c>
      <c r="N366" s="3">
        <v>41930</v>
      </c>
      <c r="O366" s="3">
        <f>+Tabla22[[#This Row],[TMK 2026]]</f>
        <v>0</v>
      </c>
      <c r="P366" s="3">
        <v>1066</v>
      </c>
      <c r="Q366" s="3">
        <f>+Tabla22[[#This Row],[WA 2026]]</f>
        <v>0</v>
      </c>
      <c r="R366" s="3">
        <v>144544</v>
      </c>
      <c r="S366" s="3">
        <f>+Tabla22[[#This Row],[Ent. en Tienda 2026]]</f>
        <v>0</v>
      </c>
      <c r="T366" s="3">
        <v>638572</v>
      </c>
      <c r="U366" s="3">
        <f>+Tabla22[[#This Row],[Meli Drop 2026]]</f>
        <v>0</v>
      </c>
      <c r="V366" s="3">
        <v>76225</v>
      </c>
      <c r="W366" s="3">
        <f>+Tabla22[[#This Row],[Meli Full 2026]]</f>
        <v>0</v>
      </c>
      <c r="X366" s="3">
        <v>34881</v>
      </c>
      <c r="Y366" s="3">
        <f>+Tabla22[[#This Row],[Amazon Drop 2026]]</f>
        <v>0</v>
      </c>
      <c r="Z366" s="3">
        <v>48503</v>
      </c>
      <c r="AA366" s="3">
        <f>+Tabla22[[#This Row],[Amazon Full 2026]]</f>
        <v>0</v>
      </c>
      <c r="AB366" s="3">
        <v>23633.293103448275</v>
      </c>
      <c r="AC366" s="3">
        <f>+Tabla22[[#This Row],[TikTok 2026]]</f>
        <v>0</v>
      </c>
      <c r="AD366" s="3">
        <v>0</v>
      </c>
      <c r="AE366" s="3">
        <f>+Tabla22[[#This Row],[Shein 2026]]</f>
        <v>0</v>
      </c>
      <c r="AF366" s="5">
        <f t="shared" si="79"/>
        <v>0</v>
      </c>
      <c r="AG366" s="4">
        <f t="shared" si="80"/>
        <v>0</v>
      </c>
      <c r="AH366" s="5">
        <f t="shared" si="81"/>
        <v>-6586509.0040717386</v>
      </c>
      <c r="AI366" s="17">
        <f t="shared" si="74"/>
        <v>-1</v>
      </c>
      <c r="AJ366" s="17">
        <f t="shared" si="75"/>
        <v>5.4388240205066843E-2</v>
      </c>
      <c r="AK366" s="14" t="e">
        <f t="shared" si="76"/>
        <v>#DIV/0!</v>
      </c>
      <c r="AL366" s="14">
        <f t="shared" si="77"/>
        <v>-1</v>
      </c>
    </row>
    <row r="367" spans="1:38" x14ac:dyDescent="0.3">
      <c r="A367" s="7">
        <v>46022</v>
      </c>
      <c r="B367" s="3">
        <v>34102697</v>
      </c>
      <c r="C367" s="3">
        <f t="shared" si="78"/>
        <v>1801042.7327586208</v>
      </c>
      <c r="D367" s="4">
        <f>+Tabla22[[#This Row],[Share diario]]</f>
        <v>1.9720016997603822E-2</v>
      </c>
      <c r="E367" s="3">
        <f>+Tabla22[[#This Row],[Global 2026]]</f>
        <v>0</v>
      </c>
      <c r="F367" s="7">
        <v>46386</v>
      </c>
      <c r="G367" s="3">
        <f>+Tabla2[[#This Row],[Meta Digital]]+Tabla2[[#This Row],[Meta MKPlace]]</f>
        <v>4833017.9944506502</v>
      </c>
      <c r="H367" s="3">
        <v>3314576.6856351555</v>
      </c>
      <c r="I367" s="3">
        <v>1518441.3088154944</v>
      </c>
      <c r="J367" s="3">
        <v>1199966</v>
      </c>
      <c r="K367" s="3">
        <f>+Tabla22[[#This Row],[Web + APP 2026]]</f>
        <v>0</v>
      </c>
      <c r="L367" s="3">
        <v>21188.793103448275</v>
      </c>
      <c r="M367" s="3">
        <f>+Tabla22[[#This Row],[Afiliados 2026]]</f>
        <v>0</v>
      </c>
      <c r="N367" s="3">
        <v>9722</v>
      </c>
      <c r="O367" s="3">
        <f>+Tabla22[[#This Row],[TMK 2026]]</f>
        <v>0</v>
      </c>
      <c r="P367" s="3">
        <v>473</v>
      </c>
      <c r="Q367" s="3">
        <f>+Tabla22[[#This Row],[WA 2026]]</f>
        <v>0</v>
      </c>
      <c r="R367" s="3">
        <v>87359</v>
      </c>
      <c r="S367" s="3">
        <f>+Tabla22[[#This Row],[Ent. en Tienda 2026]]</f>
        <v>0</v>
      </c>
      <c r="T367" s="3">
        <v>353464</v>
      </c>
      <c r="U367" s="3">
        <f>+Tabla22[[#This Row],[Meli Drop 2026]]</f>
        <v>0</v>
      </c>
      <c r="V367" s="3">
        <v>73566</v>
      </c>
      <c r="W367" s="3">
        <f>+Tabla22[[#This Row],[Meli Full 2026]]</f>
        <v>0</v>
      </c>
      <c r="X367" s="3">
        <v>22861</v>
      </c>
      <c r="Y367" s="3">
        <f>+Tabla22[[#This Row],[Amazon Drop 2026]]</f>
        <v>0</v>
      </c>
      <c r="Z367" s="3">
        <v>29946</v>
      </c>
      <c r="AA367" s="3">
        <f>+Tabla22[[#This Row],[Amazon Full 2026]]</f>
        <v>0</v>
      </c>
      <c r="AB367" s="3">
        <v>2496.9396551724139</v>
      </c>
      <c r="AC367" s="3">
        <f>+Tabla22[[#This Row],[TikTok 2026]]</f>
        <v>0</v>
      </c>
      <c r="AD367" s="3">
        <v>0</v>
      </c>
      <c r="AE367" s="3">
        <f>+Tabla22[[#This Row],[Shein 2026]]</f>
        <v>0</v>
      </c>
      <c r="AF367" s="5">
        <f t="shared" si="79"/>
        <v>0</v>
      </c>
      <c r="AG367" s="4">
        <f t="shared" si="80"/>
        <v>0</v>
      </c>
      <c r="AH367" s="5">
        <f t="shared" si="81"/>
        <v>-4833017.9944506502</v>
      </c>
      <c r="AI367" s="17">
        <f t="shared" si="74"/>
        <v>-1</v>
      </c>
      <c r="AJ367" s="17">
        <f t="shared" si="75"/>
        <v>5.281232545210781E-2</v>
      </c>
      <c r="AK367" s="14" t="e">
        <f t="shared" si="76"/>
        <v>#DIV/0!</v>
      </c>
      <c r="AL367" s="14">
        <f t="shared" si="77"/>
        <v>-1</v>
      </c>
    </row>
    <row r="368" spans="1:38" x14ac:dyDescent="0.3">
      <c r="A368" s="63">
        <v>46023</v>
      </c>
      <c r="B368" s="3">
        <f>+E4</f>
        <v>1767787</v>
      </c>
      <c r="C368" s="3">
        <f t="shared" si="78"/>
        <v>1767692</v>
      </c>
      <c r="D368" s="4">
        <f>+Tabla22[[#This Row],[Share diario]]</f>
        <v>9.5852791937664737E-3</v>
      </c>
      <c r="E368" s="3">
        <f>+Tabla22[[#This Row],[Global 2026]]</f>
        <v>0</v>
      </c>
      <c r="F368" s="7">
        <v>46387</v>
      </c>
      <c r="G368" s="3">
        <f>+Tabla2[[#This Row],[Meta Digital]]+Tabla2[[#This Row],[Meta MKPlace]]</f>
        <v>2349177.8344276189</v>
      </c>
      <c r="H368" s="3">
        <v>1611111.3365076005</v>
      </c>
      <c r="I368" s="3">
        <v>738066.4979200185</v>
      </c>
      <c r="J368" s="3">
        <f>+K4</f>
        <v>1117875</v>
      </c>
      <c r="K368" s="3">
        <f>+Tabla22[[#This Row],[Web + APP 2026]]</f>
        <v>0</v>
      </c>
      <c r="L368" s="3">
        <f>+M4</f>
        <v>17319</v>
      </c>
      <c r="M368" s="3">
        <f>+Tabla22[[#This Row],[Afiliados 2026]]</f>
        <v>0</v>
      </c>
      <c r="N368" s="3">
        <f>+O4</f>
        <v>0</v>
      </c>
      <c r="O368" s="3">
        <f>+Tabla22[[#This Row],[TMK 2026]]</f>
        <v>0</v>
      </c>
      <c r="P368" s="3">
        <f>+Q4</f>
        <v>1884</v>
      </c>
      <c r="Q368" s="3">
        <f>+Tabla22[[#This Row],[WA 2026]]</f>
        <v>0</v>
      </c>
      <c r="R368" s="3">
        <f>+S4</f>
        <v>0</v>
      </c>
      <c r="S368" s="3">
        <f>+Tabla22[[#This Row],[Ent. en Tienda 2026]]</f>
        <v>0</v>
      </c>
      <c r="T368" s="3">
        <f>+U4</f>
        <v>511381</v>
      </c>
      <c r="U368" s="3">
        <f>+Tabla22[[#This Row],[Meli Drop 2026]]</f>
        <v>0</v>
      </c>
      <c r="V368" s="3">
        <f>+W4</f>
        <v>78269</v>
      </c>
      <c r="W368" s="3">
        <f>+Tabla22[[#This Row],[Meli Full 2026]]</f>
        <v>0</v>
      </c>
      <c r="X368" s="3">
        <f>+Y4</f>
        <v>31357</v>
      </c>
      <c r="Y368" s="3">
        <f>+Tabla22[[#This Row],[Amazon Drop 2026]]</f>
        <v>0</v>
      </c>
      <c r="Z368" s="3">
        <f>+AA4</f>
        <v>7591</v>
      </c>
      <c r="AA368" s="3">
        <f>+Tabla22[[#This Row],[Amazon Full 2026]]</f>
        <v>0</v>
      </c>
      <c r="AB368" s="3">
        <f>+AC4</f>
        <v>2016</v>
      </c>
      <c r="AC368" s="3">
        <f>+Tabla22[[#This Row],[TikTok 2026]]</f>
        <v>0</v>
      </c>
      <c r="AD368" s="3">
        <v>0</v>
      </c>
      <c r="AE368" s="3">
        <f>+Tabla22[[#This Row],[Shein 2026]]</f>
        <v>0</v>
      </c>
      <c r="AF368" s="5">
        <f t="shared" si="79"/>
        <v>0</v>
      </c>
      <c r="AG368" s="4">
        <f t="shared" si="80"/>
        <v>0</v>
      </c>
      <c r="AH368" s="5">
        <f t="shared" si="81"/>
        <v>-2349177.8344276189</v>
      </c>
      <c r="AI368" s="17">
        <f t="shared" si="74"/>
        <v>-1</v>
      </c>
      <c r="AJ368" s="17">
        <f t="shared" si="75"/>
        <v>0.99994626049405277</v>
      </c>
      <c r="AK368" s="14" t="e">
        <f t="shared" si="76"/>
        <v>#DIV/0!</v>
      </c>
      <c r="AL368" s="14">
        <f t="shared" si="77"/>
        <v>-1</v>
      </c>
    </row>
    <row r="371" spans="8:9" x14ac:dyDescent="0.3">
      <c r="H371" s="19"/>
      <c r="I371" s="24"/>
    </row>
  </sheetData>
  <autoFilter ref="A3:A368" xr:uid="{98AAD1ED-5F39-4089-B374-4EA69C7B2D6A}"/>
  <phoneticPr fontId="3" type="noConversion"/>
  <conditionalFormatting sqref="AH4:AH368">
    <cfRule type="cellIs" dxfId="35" priority="1" operator="lessThan">
      <formula>0</formula>
    </cfRule>
    <cfRule type="cellIs" dxfId="34" priority="2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87117-2599-4A3A-A99C-1763085E1BB3}">
  <sheetPr>
    <tabColor theme="3"/>
  </sheetPr>
  <dimension ref="A1:AY372"/>
  <sheetViews>
    <sheetView tabSelected="1" topLeftCell="AC1" zoomScale="85" zoomScaleNormal="85" workbookViewId="0">
      <selection activeCell="AG63" sqref="AG63"/>
    </sheetView>
  </sheetViews>
  <sheetFormatPr baseColWidth="10" defaultColWidth="11.44140625" defaultRowHeight="14.4" x14ac:dyDescent="0.3"/>
  <cols>
    <col min="1" max="1" width="32.21875" bestFit="1" customWidth="1"/>
    <col min="2" max="2" width="15" bestFit="1" customWidth="1"/>
    <col min="3" max="3" width="15.21875" bestFit="1" customWidth="1"/>
    <col min="4" max="4" width="16.88671875" bestFit="1" customWidth="1"/>
    <col min="5" max="5" width="16.77734375" bestFit="1" customWidth="1"/>
    <col min="6" max="6" width="32.44140625" bestFit="1" customWidth="1"/>
    <col min="7" max="7" width="20.44140625" bestFit="1" customWidth="1"/>
    <col min="8" max="9" width="20.44140625" customWidth="1"/>
    <col min="10" max="11" width="20.109375" bestFit="1" customWidth="1"/>
    <col min="12" max="12" width="16.44140625" bestFit="1" customWidth="1"/>
    <col min="13" max="13" width="14.109375" style="6" bestFit="1" customWidth="1"/>
    <col min="14" max="14" width="12.6640625" bestFit="1" customWidth="1"/>
    <col min="15" max="15" width="11.77734375" bestFit="1" customWidth="1"/>
    <col min="16" max="16" width="11.88671875" bestFit="1" customWidth="1"/>
    <col min="17" max="17" width="10.109375" bestFit="1" customWidth="1"/>
    <col min="18" max="18" width="20.77734375" bestFit="1" customWidth="1"/>
    <col min="19" max="19" width="18.77734375" bestFit="1" customWidth="1"/>
    <col min="20" max="20" width="17.109375" bestFit="1" customWidth="1"/>
    <col min="21" max="21" width="14.77734375" bestFit="1" customWidth="1"/>
    <col min="22" max="22" width="16.21875" bestFit="1" customWidth="1"/>
    <col min="23" max="23" width="16.44140625" customWidth="1"/>
    <col min="24" max="24" width="20.33203125" bestFit="1" customWidth="1"/>
    <col min="25" max="25" width="17.88671875" bestFit="1" customWidth="1"/>
    <col min="26" max="26" width="19.44140625" bestFit="1" customWidth="1"/>
    <col min="27" max="27" width="17" bestFit="1" customWidth="1"/>
    <col min="28" max="28" width="14.44140625" bestFit="1" customWidth="1"/>
    <col min="29" max="29" width="12.109375" bestFit="1" customWidth="1"/>
    <col min="30" max="30" width="13.77734375" bestFit="1" customWidth="1"/>
    <col min="31" max="31" width="13.44140625" bestFit="1" customWidth="1"/>
    <col min="32" max="32" width="20.44140625" bestFit="1" customWidth="1"/>
    <col min="33" max="33" width="22.33203125" bestFit="1" customWidth="1"/>
    <col min="34" max="34" width="12.6640625" bestFit="1" customWidth="1"/>
    <col min="35" max="35" width="17.21875" bestFit="1" customWidth="1"/>
    <col min="36" max="36" width="23.88671875" bestFit="1" customWidth="1"/>
    <col min="37" max="37" width="19.77734375" bestFit="1" customWidth="1"/>
    <col min="38" max="38" width="15.109375" bestFit="1" customWidth="1"/>
    <col min="40" max="40" width="28.77734375" bestFit="1" customWidth="1"/>
    <col min="41" max="41" width="13.6640625" bestFit="1" customWidth="1"/>
    <col min="42" max="42" width="12.6640625" bestFit="1" customWidth="1"/>
    <col min="43" max="43" width="14.77734375" bestFit="1" customWidth="1"/>
    <col min="44" max="44" width="13" bestFit="1" customWidth="1"/>
    <col min="45" max="45" width="9.88671875" bestFit="1" customWidth="1"/>
    <col min="46" max="46" width="8.77734375" bestFit="1" customWidth="1"/>
    <col min="47" max="47" width="13.6640625" bestFit="1" customWidth="1"/>
    <col min="48" max="48" width="12.6640625" bestFit="1" customWidth="1"/>
    <col min="49" max="49" width="11.88671875" bestFit="1" customWidth="1"/>
    <col min="50" max="50" width="10.6640625" bestFit="1" customWidth="1"/>
    <col min="51" max="51" width="10.5546875" bestFit="1" customWidth="1"/>
  </cols>
  <sheetData>
    <row r="1" spans="1:51" ht="15" thickBot="1" x14ac:dyDescent="0.35">
      <c r="C1" s="2">
        <f>+SUM(C3:C390)</f>
        <v>1427792609.5274577</v>
      </c>
      <c r="E1" s="22">
        <f>+E2/B2-1</f>
        <v>2.7323232825063881E-2</v>
      </c>
      <c r="F1" s="22"/>
      <c r="G1" s="1">
        <f>+H1-H2</f>
        <v>2259905.9550077468</v>
      </c>
      <c r="H1" s="1">
        <f>+K2+O2+Q2+S2</f>
        <v>82704161</v>
      </c>
      <c r="I1" s="1"/>
      <c r="J1" s="2">
        <f>+SUM(J3:J390)</f>
        <v>1054426392</v>
      </c>
      <c r="K1" s="23"/>
      <c r="L1" s="2">
        <f>+SUM(L3:L390)</f>
        <v>11634548.148148136</v>
      </c>
      <c r="M1"/>
      <c r="N1" s="2">
        <f>+SUM(N3:N390)</f>
        <v>15093596</v>
      </c>
      <c r="P1" s="2">
        <f>+SUM(P3:P390)</f>
        <v>1774946</v>
      </c>
      <c r="R1" s="2">
        <f>+SUM(R3:R390)</f>
        <v>38370811</v>
      </c>
      <c r="T1" s="2">
        <f>+SUM(T3:T390)</f>
        <v>228901940</v>
      </c>
      <c r="U1" s="19"/>
      <c r="V1" s="2">
        <f>+SUM(V3:V390)</f>
        <v>56839867</v>
      </c>
      <c r="X1" s="2">
        <f>+SUM(X3:X390)</f>
        <v>13203495</v>
      </c>
      <c r="Y1" s="19"/>
      <c r="Z1" s="2">
        <f>+SUM(Z3:Z390)</f>
        <v>6675455</v>
      </c>
      <c r="AB1" s="2">
        <f>+SUM(AB3:AB390)</f>
        <v>799221.44827586249</v>
      </c>
      <c r="AD1" s="2">
        <f>+SUM(AD3:AD390)</f>
        <v>72337.931034482768</v>
      </c>
      <c r="AE1" s="19">
        <f>+AD1+AB1+Z1+X1+V1+T1</f>
        <v>306492316.37931037</v>
      </c>
      <c r="AF1" s="19">
        <f>+AC2+AA2+Y2+W2+U2</f>
        <v>14124430</v>
      </c>
      <c r="AK1" s="89">
        <f>+AK2-AJ2</f>
        <v>2.069434940565465E-2</v>
      </c>
      <c r="AO1" s="86">
        <f>+AP2+AO2</f>
        <v>75011518.689655185</v>
      </c>
      <c r="AQ1" s="86">
        <f>+AR2+AQ2</f>
        <v>97466585</v>
      </c>
      <c r="AS1" s="87">
        <f>+AQ1/AO1-1</f>
        <v>0.29935490845410095</v>
      </c>
      <c r="AU1" s="86">
        <f>+AV2+AU2</f>
        <v>97278915.044992253</v>
      </c>
      <c r="AV1" s="87">
        <f>+AQ1/AU1</f>
        <v>1.0019291945733662</v>
      </c>
    </row>
    <row r="2" spans="1:51" x14ac:dyDescent="0.3">
      <c r="B2" s="2">
        <f>+SUBTOTAL(9,B4:B87)</f>
        <v>959817243</v>
      </c>
      <c r="C2" s="2">
        <f>+SUBTOTAL(9,C4:C87)</f>
        <v>75011518.68965517</v>
      </c>
      <c r="E2" s="2">
        <f>+SUBTOTAL(9,E4:E87)</f>
        <v>986042553</v>
      </c>
      <c r="F2" s="2"/>
      <c r="G2" s="2">
        <f>+SUBTOTAL(9,G4:G87)</f>
        <v>97278915.044992268</v>
      </c>
      <c r="H2" s="2">
        <f t="shared" ref="H2:AH2" si="0">+SUBTOTAL(9,H4:H87)</f>
        <v>80444255.044992253</v>
      </c>
      <c r="I2" s="2">
        <f t="shared" si="0"/>
        <v>16834660</v>
      </c>
      <c r="J2" s="2">
        <f t="shared" si="0"/>
        <v>58339384</v>
      </c>
      <c r="K2" s="2">
        <f t="shared" si="0"/>
        <v>79664150</v>
      </c>
      <c r="L2" s="2">
        <f t="shared" si="0"/>
        <v>500770.68965517235</v>
      </c>
      <c r="M2" s="2">
        <f t="shared" si="0"/>
        <v>630804</v>
      </c>
      <c r="N2" s="2">
        <f t="shared" si="0"/>
        <v>1207745</v>
      </c>
      <c r="O2" s="2">
        <f t="shared" si="0"/>
        <v>747105</v>
      </c>
      <c r="P2" s="2">
        <f t="shared" si="0"/>
        <v>79313</v>
      </c>
      <c r="Q2" s="2">
        <f t="shared" si="0"/>
        <v>63987</v>
      </c>
      <c r="R2" s="2">
        <f t="shared" si="0"/>
        <v>1609051</v>
      </c>
      <c r="S2" s="2">
        <f t="shared" si="0"/>
        <v>2228919</v>
      </c>
      <c r="T2" s="2">
        <f t="shared" si="0"/>
        <v>9908996</v>
      </c>
      <c r="U2" s="2">
        <f t="shared" si="0"/>
        <v>11832300</v>
      </c>
      <c r="V2" s="2">
        <f t="shared" si="0"/>
        <v>2749211</v>
      </c>
      <c r="W2" s="2">
        <f t="shared" si="0"/>
        <v>1760183</v>
      </c>
      <c r="X2" s="2">
        <f t="shared" si="0"/>
        <v>416402</v>
      </c>
      <c r="Y2" s="2">
        <f t="shared" si="0"/>
        <v>323363</v>
      </c>
      <c r="Z2" s="2">
        <f t="shared" si="0"/>
        <v>200646</v>
      </c>
      <c r="AA2" s="2">
        <f t="shared" si="0"/>
        <v>199104</v>
      </c>
      <c r="AB2" s="2">
        <f t="shared" si="0"/>
        <v>0</v>
      </c>
      <c r="AC2" s="2">
        <f t="shared" si="0"/>
        <v>9480</v>
      </c>
      <c r="AD2" s="2">
        <f t="shared" si="0"/>
        <v>0</v>
      </c>
      <c r="AE2" s="2">
        <f t="shared" si="0"/>
        <v>7190</v>
      </c>
      <c r="AF2" s="2">
        <f t="shared" si="0"/>
        <v>97466585</v>
      </c>
      <c r="AG2" s="77">
        <f t="shared" ref="AG2:AG67" si="1">+AF2/G2</f>
        <v>1.0019291945733659</v>
      </c>
      <c r="AH2" s="2">
        <f t="shared" si="0"/>
        <v>187669.95500771236</v>
      </c>
      <c r="AI2" s="15">
        <f>+AF2/C2-1</f>
        <v>0.29935490845410118</v>
      </c>
      <c r="AJ2" s="15">
        <f>+C2/B2</f>
        <v>7.8151876554331881E-2</v>
      </c>
      <c r="AK2" s="18">
        <f>+AF2/E2</f>
        <v>9.8846225959986531E-2</v>
      </c>
      <c r="AL2" s="15">
        <f>+E2/B2-1</f>
        <v>2.7323232825063881E-2</v>
      </c>
      <c r="AO2" s="2">
        <f>+SUBTOTAL(9,AO4:AO87)</f>
        <v>61736263.689655177</v>
      </c>
      <c r="AP2" s="2">
        <f t="shared" ref="AP2:AR2" si="2">+SUBTOTAL(9,AP4:AP87)</f>
        <v>13275255</v>
      </c>
      <c r="AQ2" s="2">
        <f t="shared" si="2"/>
        <v>83334965</v>
      </c>
      <c r="AR2" s="2">
        <f t="shared" si="2"/>
        <v>14131620</v>
      </c>
      <c r="AS2" s="74">
        <f>+AQ2/AO2-1</f>
        <v>0.34985436467163478</v>
      </c>
      <c r="AT2" s="74">
        <f>+AR2/AP2-1</f>
        <v>6.4508365376032328E-2</v>
      </c>
      <c r="AU2" s="2">
        <f t="shared" ref="AU2:AV2" si="3">+SUBTOTAL(9,AU4:AU87)</f>
        <v>80444255.044992253</v>
      </c>
      <c r="AV2" s="2">
        <f t="shared" si="3"/>
        <v>16834660</v>
      </c>
      <c r="AW2" s="74">
        <f>+AQ2/AU2</f>
        <v>1.0359343243764392</v>
      </c>
      <c r="AX2" s="74">
        <f>+AR2/AV2</f>
        <v>0.83943602068589451</v>
      </c>
      <c r="AY2" s="76">
        <f>+(AQ2+AR2)/(AU2+AV2)</f>
        <v>1.0019291945733662</v>
      </c>
    </row>
    <row r="3" spans="1:51" x14ac:dyDescent="0.3">
      <c r="A3" s="20">
        <v>2025</v>
      </c>
      <c r="B3" s="8" t="s">
        <v>0</v>
      </c>
      <c r="C3" s="9" t="s">
        <v>1</v>
      </c>
      <c r="D3" s="9" t="s">
        <v>2</v>
      </c>
      <c r="E3" s="16" t="s">
        <v>3</v>
      </c>
      <c r="F3" s="16" t="s">
        <v>4</v>
      </c>
      <c r="G3" s="10" t="s">
        <v>5</v>
      </c>
      <c r="H3" s="10" t="s">
        <v>34</v>
      </c>
      <c r="I3" s="10" t="s">
        <v>35</v>
      </c>
      <c r="J3" s="9" t="s">
        <v>6</v>
      </c>
      <c r="K3" s="9" t="s">
        <v>7</v>
      </c>
      <c r="L3" s="9" t="s">
        <v>11</v>
      </c>
      <c r="M3" s="9" t="s">
        <v>12</v>
      </c>
      <c r="N3" s="9" t="s">
        <v>13</v>
      </c>
      <c r="O3" s="9" t="s">
        <v>14</v>
      </c>
      <c r="P3" s="9" t="s">
        <v>15</v>
      </c>
      <c r="Q3" s="9" t="s">
        <v>16</v>
      </c>
      <c r="R3" s="9" t="s">
        <v>17</v>
      </c>
      <c r="S3" s="9" t="s">
        <v>18</v>
      </c>
      <c r="T3" s="9" t="s">
        <v>19</v>
      </c>
      <c r="U3" s="9" t="s">
        <v>20</v>
      </c>
      <c r="V3" s="9" t="s">
        <v>21</v>
      </c>
      <c r="W3" s="9" t="s">
        <v>22</v>
      </c>
      <c r="X3" s="9" t="s">
        <v>23</v>
      </c>
      <c r="Y3" s="9" t="s">
        <v>24</v>
      </c>
      <c r="Z3" s="9" t="s">
        <v>25</v>
      </c>
      <c r="AA3" s="9" t="s">
        <v>26</v>
      </c>
      <c r="AB3" s="9" t="s">
        <v>27</v>
      </c>
      <c r="AC3" s="9" t="s">
        <v>36</v>
      </c>
      <c r="AD3" s="9" t="s">
        <v>28</v>
      </c>
      <c r="AE3" s="9" t="s">
        <v>29</v>
      </c>
      <c r="AF3" s="11" t="s">
        <v>8</v>
      </c>
      <c r="AG3" s="11" t="s">
        <v>30</v>
      </c>
      <c r="AH3" s="11" t="s">
        <v>9</v>
      </c>
      <c r="AI3" s="12" t="s">
        <v>10</v>
      </c>
      <c r="AJ3" s="9" t="s">
        <v>33</v>
      </c>
      <c r="AK3" s="9" t="s">
        <v>32</v>
      </c>
      <c r="AL3" s="9" t="s">
        <v>31</v>
      </c>
      <c r="AN3" s="83" t="s">
        <v>100</v>
      </c>
      <c r="AO3" s="78" t="s">
        <v>93</v>
      </c>
      <c r="AP3" s="78" t="s">
        <v>94</v>
      </c>
      <c r="AQ3" s="79" t="s">
        <v>102</v>
      </c>
      <c r="AR3" s="79" t="s">
        <v>103</v>
      </c>
      <c r="AS3" s="78" t="s">
        <v>96</v>
      </c>
      <c r="AT3" s="78" t="s">
        <v>98</v>
      </c>
      <c r="AU3" s="78" t="s">
        <v>34</v>
      </c>
      <c r="AV3" s="78" t="s">
        <v>97</v>
      </c>
      <c r="AW3" s="78" t="s">
        <v>95</v>
      </c>
      <c r="AX3" s="78" t="s">
        <v>99</v>
      </c>
      <c r="AY3" s="78" t="s">
        <v>101</v>
      </c>
    </row>
    <row r="4" spans="1:51" hidden="1" x14ac:dyDescent="0.3">
      <c r="A4" s="63">
        <v>45658</v>
      </c>
      <c r="B4" s="3">
        <v>-29064</v>
      </c>
      <c r="C4" s="3">
        <f>+J4+L4+N4+P4+R4+T4+V4+X4+Z4+AB4+AD4</f>
        <v>-29107</v>
      </c>
      <c r="D4" s="4">
        <f>+C4/(SUM($C$4:$C$34))</f>
        <v>-3.3795058862703904E-4</v>
      </c>
      <c r="E4" s="3">
        <v>1767787</v>
      </c>
      <c r="F4" s="7">
        <v>46023</v>
      </c>
      <c r="G4" s="3">
        <f>+Tabla22[[#This Row],[Meta Digital]]+Tabla22[[#This Row],[Meta MKPlace]]</f>
        <v>-37186.988150562807</v>
      </c>
      <c r="H4" s="3">
        <f>+Tabla2[[#This Row],[Meta Digital]]</f>
        <v>-29650.690024179836</v>
      </c>
      <c r="I4" s="3">
        <f>+Tabla2[[#This Row],[Meta MKPlace]]</f>
        <v>-7536.2981263829706</v>
      </c>
      <c r="J4" s="3">
        <v>-70516</v>
      </c>
      <c r="K4" s="3">
        <v>1117875</v>
      </c>
      <c r="L4" s="3">
        <v>0</v>
      </c>
      <c r="M4" s="3">
        <v>17319</v>
      </c>
      <c r="N4" s="3">
        <v>-1214</v>
      </c>
      <c r="O4" s="3">
        <v>0</v>
      </c>
      <c r="P4" s="3">
        <v>0</v>
      </c>
      <c r="Q4" s="3">
        <v>1884</v>
      </c>
      <c r="R4" s="3">
        <v>0</v>
      </c>
      <c r="S4" s="3">
        <v>0</v>
      </c>
      <c r="T4" s="3">
        <v>-35912</v>
      </c>
      <c r="U4" s="3">
        <v>511381</v>
      </c>
      <c r="V4" s="3">
        <v>79921</v>
      </c>
      <c r="W4" s="3">
        <v>78269</v>
      </c>
      <c r="X4" s="3">
        <v>-1386</v>
      </c>
      <c r="Y4" s="3">
        <v>31357</v>
      </c>
      <c r="Z4" s="3">
        <v>0</v>
      </c>
      <c r="AA4" s="3">
        <v>7591</v>
      </c>
      <c r="AB4" s="3"/>
      <c r="AC4" s="3">
        <v>2016</v>
      </c>
      <c r="AD4" s="3">
        <v>0</v>
      </c>
      <c r="AE4" s="3">
        <v>0</v>
      </c>
      <c r="AF4" s="5">
        <f t="shared" ref="AF4:AF67" si="4">+AE4+AC4+AA4+Y4+W4+U4+S4+Q4+O4+M4+K4</f>
        <v>1767692</v>
      </c>
      <c r="AG4" s="4">
        <f t="shared" si="1"/>
        <v>-47.53522906568724</v>
      </c>
      <c r="AH4" s="5">
        <f t="shared" ref="AH4:AH67" si="5">+AF4-G4</f>
        <v>1804878.9881505629</v>
      </c>
      <c r="AI4" s="17">
        <f t="shared" ref="AI4:AI67" si="6">+AF4/C5-1</f>
        <v>-0.49927091429544135</v>
      </c>
      <c r="AJ4" s="17">
        <f t="shared" ref="AJ4:AJ67" si="7">+C5/B5</f>
        <v>9.9204946942109004E-2</v>
      </c>
      <c r="AK4" s="14">
        <f t="shared" ref="AK4:AK67" si="8">+AF4/E4</f>
        <v>0.99994626049405277</v>
      </c>
      <c r="AL4" s="14">
        <f t="shared" ref="AL4:AL67" si="9">+E4/B5-1</f>
        <v>-0.95032252797750527</v>
      </c>
      <c r="AN4" s="84">
        <f t="shared" ref="AN4:AN62" si="10">+F4</f>
        <v>46023</v>
      </c>
      <c r="AO4" s="80">
        <f>+Tabla22[[#This Row],[Web + APP 2025]]+Tabla22[[#This Row],[Afiliados 2025]]+Tabla22[[#This Row],[TMK 2025]]+Tabla22[[#This Row],[WA 2025]]+Tabla22[[#This Row],[Ent. en Tienda 2025]]</f>
        <v>-71730</v>
      </c>
      <c r="AP4" s="80">
        <f>+Tabla22[[#This Row],[Meli Drop 2025]]+Tabla22[[#This Row],[Meli Full 2025]]+Tabla22[[#This Row],[Amazon Drop 2025]]+Tabla22[[#This Row],[Amazon Full 2025]]+Tabla22[[#This Row],[TikTok 2025]]+Tabla22[[#This Row],[Shein 2025]]</f>
        <v>42623</v>
      </c>
      <c r="AQ4" s="80">
        <f>+K4+M4+O4+Q4+S4</f>
        <v>1137078</v>
      </c>
      <c r="AR4" s="80">
        <f>+U4+W4+Y4+AA4+AC4+AE4</f>
        <v>630614</v>
      </c>
      <c r="AS4" s="74">
        <f>+AQ4/AO4-1</f>
        <v>-16.852195734002507</v>
      </c>
      <c r="AT4" s="74">
        <f>+AR4/AP4-1</f>
        <v>13.795157544048987</v>
      </c>
      <c r="AU4" s="80">
        <f>+H4</f>
        <v>-29650.690024179836</v>
      </c>
      <c r="AV4" s="80">
        <f>+I4</f>
        <v>-7536.2981263829706</v>
      </c>
      <c r="AW4" s="74">
        <f>+AQ4/AU4</f>
        <v>-38.34912439045177</v>
      </c>
      <c r="AX4" s="74">
        <f>+AR4/AV4</f>
        <v>-83.676891416006356</v>
      </c>
      <c r="AY4" s="74">
        <f>+(AQ4+AR4)/(AU4+AV4)</f>
        <v>-47.53522906568724</v>
      </c>
    </row>
    <row r="5" spans="1:51" hidden="1" x14ac:dyDescent="0.3">
      <c r="A5" s="7">
        <v>45659</v>
      </c>
      <c r="B5" s="3">
        <f>+'BD MD'!B4</f>
        <v>35585285</v>
      </c>
      <c r="C5" s="3">
        <f t="shared" ref="C5:C68" si="11">+J5+L5+N5+P5+R5+T5+V5+X5+Z5+AB5+AD5</f>
        <v>3530236.3103448274</v>
      </c>
      <c r="D5" s="4">
        <f t="shared" ref="D5:D34" si="12">+C5/(SUM($C$4:$C$34))</f>
        <v>4.0988265333891535E-2</v>
      </c>
      <c r="E5" s="3">
        <v>37878399</v>
      </c>
      <c r="F5" s="7">
        <v>46024</v>
      </c>
      <c r="G5" s="3">
        <f>+Tabla22[[#This Row],[Meta Digital]]+Tabla22[[#This Row],[Meta MKPlace]]</f>
        <v>4510215.9563500071</v>
      </c>
      <c r="H5" s="3">
        <f>+Tabla2[[#This Row],[Meta Digital]]</f>
        <v>3596177.6394042261</v>
      </c>
      <c r="I5" s="3">
        <f>+Tabla2[[#This Row],[Meta MKPlace]]</f>
        <v>914038.31694578123</v>
      </c>
      <c r="J5" s="3">
        <v>2533552</v>
      </c>
      <c r="K5" s="3">
        <v>1824628</v>
      </c>
      <c r="L5" s="3">
        <v>48254.310344827572</v>
      </c>
      <c r="M5" s="3">
        <f>20000+12072</f>
        <v>32072</v>
      </c>
      <c r="N5" s="3">
        <v>21696</v>
      </c>
      <c r="O5" s="3">
        <v>15461</v>
      </c>
      <c r="P5" s="3">
        <v>5984</v>
      </c>
      <c r="Q5" s="3">
        <v>5339</v>
      </c>
      <c r="R5" s="3">
        <v>47691</v>
      </c>
      <c r="S5" s="3">
        <v>100874</v>
      </c>
      <c r="T5" s="3">
        <v>671816</v>
      </c>
      <c r="U5" s="3">
        <v>906403</v>
      </c>
      <c r="V5" s="3">
        <v>116771</v>
      </c>
      <c r="W5" s="3">
        <v>134485</v>
      </c>
      <c r="X5" s="3">
        <v>84472</v>
      </c>
      <c r="Y5" s="3">
        <v>28403</v>
      </c>
      <c r="Z5" s="3">
        <v>0</v>
      </c>
      <c r="AA5" s="3">
        <v>8334</v>
      </c>
      <c r="AB5" s="3">
        <v>0</v>
      </c>
      <c r="AC5" s="3">
        <v>1412</v>
      </c>
      <c r="AD5" s="3">
        <v>0</v>
      </c>
      <c r="AE5" s="3">
        <v>0</v>
      </c>
      <c r="AF5" s="5">
        <f t="shared" si="4"/>
        <v>3057411</v>
      </c>
      <c r="AG5" s="4">
        <f t="shared" si="1"/>
        <v>0.67788572201191843</v>
      </c>
      <c r="AH5" s="5">
        <f t="shared" si="5"/>
        <v>-1452804.9563500071</v>
      </c>
      <c r="AI5" s="17">
        <f t="shared" si="6"/>
        <v>0.44064509957862108</v>
      </c>
      <c r="AJ5" s="17">
        <f t="shared" si="7"/>
        <v>4.7098927499513048E-2</v>
      </c>
      <c r="AK5" s="14">
        <f t="shared" si="8"/>
        <v>8.0716479067660704E-2</v>
      </c>
      <c r="AL5" s="14">
        <f t="shared" si="9"/>
        <v>-0.15936819988512507</v>
      </c>
      <c r="AN5" s="84">
        <f t="shared" si="10"/>
        <v>46024</v>
      </c>
      <c r="AO5" s="80">
        <f>+Tabla22[[#This Row],[Web + APP 2025]]+Tabla22[[#This Row],[Afiliados 2025]]+Tabla22[[#This Row],[TMK 2025]]+Tabla22[[#This Row],[WA 2025]]+Tabla22[[#This Row],[Ent. en Tienda 2025]]</f>
        <v>2657177.3103448274</v>
      </c>
      <c r="AP5" s="80">
        <f>+Tabla22[[#This Row],[Meli Drop 2025]]+Tabla22[[#This Row],[Meli Full 2025]]+Tabla22[[#This Row],[Amazon Drop 2025]]+Tabla22[[#This Row],[Amazon Full 2025]]+Tabla22[[#This Row],[TikTok 2025]]+Tabla22[[#This Row],[Shein 2025]]</f>
        <v>873059</v>
      </c>
      <c r="AQ5" s="80">
        <f t="shared" ref="AQ5:AQ63" si="13">+K5+M5+O5+Q5+S5</f>
        <v>1978374</v>
      </c>
      <c r="AR5" s="80">
        <f t="shared" ref="AR5:AR63" si="14">+U5+W5+Y5+AA5+AC5+AE5</f>
        <v>1079037</v>
      </c>
      <c r="AS5" s="74">
        <f t="shared" ref="AS5:AS63" si="15">+AQ5/AO5-1</f>
        <v>-0.25546029905574408</v>
      </c>
      <c r="AT5" s="74">
        <f t="shared" ref="AT5:AT63" si="16">+AR5/AP5-1</f>
        <v>0.2359267815806263</v>
      </c>
      <c r="AU5" s="80">
        <f t="shared" ref="AU5:AU63" si="17">+H5</f>
        <v>3596177.6394042261</v>
      </c>
      <c r="AV5" s="80">
        <f t="shared" ref="AV5:AV63" si="18">+I5</f>
        <v>914038.31694578123</v>
      </c>
      <c r="AW5" s="74">
        <f t="shared" ref="AW5:AW63" si="19">+AQ5/AU5</f>
        <v>0.55013244571749087</v>
      </c>
      <c r="AX5" s="74">
        <f t="shared" ref="AX5:AX63" si="20">+AR5/AV5</f>
        <v>1.1805161556088311</v>
      </c>
      <c r="AY5" s="74">
        <f t="shared" ref="AY5:AY63" si="21">+(AQ5+AR5)/(AU5+AV5)</f>
        <v>0.67788572201191843</v>
      </c>
    </row>
    <row r="6" spans="1:51" hidden="1" x14ac:dyDescent="0.3">
      <c r="A6" s="63">
        <v>45660</v>
      </c>
      <c r="B6" s="3">
        <f>+'BD MD'!B5</f>
        <v>45059441</v>
      </c>
      <c r="C6" s="3">
        <f t="shared" si="11"/>
        <v>2122251.3448275859</v>
      </c>
      <c r="D6" s="4">
        <f t="shared" si="12"/>
        <v>2.4640673762291128E-2</v>
      </c>
      <c r="E6" s="3">
        <v>45280774</v>
      </c>
      <c r="F6" s="7">
        <v>46025</v>
      </c>
      <c r="G6" s="3">
        <f>+Tabla22[[#This Row],[Meta Digital]]+Tabla22[[#This Row],[Meta MKPlace]]</f>
        <v>2711379.9296601992</v>
      </c>
      <c r="H6" s="3">
        <f>+Tabla2[[#This Row],[Meta Digital]]</f>
        <v>2161892.9047611072</v>
      </c>
      <c r="I6" s="3">
        <f>+Tabla2[[#This Row],[Meta MKPlace]]</f>
        <v>549487.02489909215</v>
      </c>
      <c r="J6" s="3">
        <v>1249824</v>
      </c>
      <c r="K6" s="3">
        <v>1844500</v>
      </c>
      <c r="L6" s="3">
        <v>33610.344827586181</v>
      </c>
      <c r="M6" s="3">
        <f>18860+11525</f>
        <v>30385</v>
      </c>
      <c r="N6" s="3">
        <v>21922</v>
      </c>
      <c r="O6" s="3">
        <v>4998</v>
      </c>
      <c r="P6" s="3">
        <v>4267</v>
      </c>
      <c r="Q6" s="3">
        <v>903</v>
      </c>
      <c r="R6" s="3">
        <v>40797</v>
      </c>
      <c r="S6" s="3">
        <v>60781</v>
      </c>
      <c r="T6" s="3">
        <v>650641</v>
      </c>
      <c r="U6" s="3">
        <v>517553</v>
      </c>
      <c r="V6" s="3">
        <v>73651</v>
      </c>
      <c r="W6" s="3">
        <v>118746</v>
      </c>
      <c r="X6" s="3">
        <v>47539</v>
      </c>
      <c r="Y6" s="3">
        <v>27889</v>
      </c>
      <c r="Z6" s="3">
        <v>0</v>
      </c>
      <c r="AA6" s="3">
        <v>13091</v>
      </c>
      <c r="AB6" s="3">
        <v>0</v>
      </c>
      <c r="AC6" s="3">
        <v>688</v>
      </c>
      <c r="AD6" s="3">
        <v>0</v>
      </c>
      <c r="AE6" s="3">
        <v>0</v>
      </c>
      <c r="AF6" s="5">
        <f t="shared" si="4"/>
        <v>2619534</v>
      </c>
      <c r="AG6" s="4">
        <f t="shared" si="1"/>
        <v>0.96612576177337506</v>
      </c>
      <c r="AH6" s="5">
        <f t="shared" si="5"/>
        <v>-91845.92966019921</v>
      </c>
      <c r="AI6" s="17">
        <f t="shared" si="6"/>
        <v>0.99679850842739448</v>
      </c>
      <c r="AJ6" s="17">
        <f t="shared" si="7"/>
        <v>2.4863123636672625E-2</v>
      </c>
      <c r="AK6" s="14">
        <f t="shared" si="8"/>
        <v>5.7850910410674521E-2</v>
      </c>
      <c r="AL6" s="14">
        <f t="shared" si="9"/>
        <v>-0.1418173397770226</v>
      </c>
      <c r="AN6" s="84">
        <f t="shared" si="10"/>
        <v>46025</v>
      </c>
      <c r="AO6" s="80">
        <f>+Tabla22[[#This Row],[Web + APP 2025]]+Tabla22[[#This Row],[Afiliados 2025]]+Tabla22[[#This Row],[TMK 2025]]+Tabla22[[#This Row],[WA 2025]]+Tabla22[[#This Row],[Ent. en Tienda 2025]]</f>
        <v>1350420.3448275861</v>
      </c>
      <c r="AP6" s="80">
        <f>+Tabla22[[#This Row],[Meli Drop 2025]]+Tabla22[[#This Row],[Meli Full 2025]]+Tabla22[[#This Row],[Amazon Drop 2025]]+Tabla22[[#This Row],[Amazon Full 2025]]+Tabla22[[#This Row],[TikTok 2025]]+Tabla22[[#This Row],[Shein 2025]]</f>
        <v>771831</v>
      </c>
      <c r="AQ6" s="80">
        <f t="shared" si="13"/>
        <v>1941567</v>
      </c>
      <c r="AR6" s="80">
        <f t="shared" si="14"/>
        <v>677967</v>
      </c>
      <c r="AS6" s="74">
        <f t="shared" si="15"/>
        <v>0.43775011050199186</v>
      </c>
      <c r="AT6" s="74">
        <f t="shared" si="16"/>
        <v>-0.12161211456912202</v>
      </c>
      <c r="AU6" s="80">
        <f t="shared" si="17"/>
        <v>2161892.9047611072</v>
      </c>
      <c r="AV6" s="80">
        <f t="shared" si="18"/>
        <v>549487.02489909215</v>
      </c>
      <c r="AW6" s="74">
        <f t="shared" si="19"/>
        <v>0.89808657761173716</v>
      </c>
      <c r="AX6" s="74">
        <f t="shared" si="20"/>
        <v>1.2338180325995904</v>
      </c>
      <c r="AY6" s="74">
        <f t="shared" si="21"/>
        <v>0.96612576177337506</v>
      </c>
    </row>
    <row r="7" spans="1:51" hidden="1" x14ac:dyDescent="0.3">
      <c r="A7" s="7">
        <v>45661</v>
      </c>
      <c r="B7" s="3">
        <f>+'BD MD'!B6</f>
        <v>52763562</v>
      </c>
      <c r="C7" s="3">
        <f t="shared" si="11"/>
        <v>1311866.9655172415</v>
      </c>
      <c r="D7" s="4">
        <f t="shared" si="12"/>
        <v>1.5231601099286058E-2</v>
      </c>
      <c r="E7" s="3">
        <v>49319936</v>
      </c>
      <c r="F7" s="7">
        <v>46026</v>
      </c>
      <c r="G7" s="3">
        <f>+Tabla22[[#This Row],[Meta Digital]]+Tabla22[[#This Row],[Meta MKPlace]]</f>
        <v>1676036.0498094768</v>
      </c>
      <c r="H7" s="3">
        <f>+Tabla2[[#This Row],[Meta Digital]]</f>
        <v>1336371.3452953978</v>
      </c>
      <c r="I7" s="3">
        <f>+Tabla2[[#This Row],[Meta MKPlace]]</f>
        <v>339664.70451407909</v>
      </c>
      <c r="J7" s="3">
        <v>805491</v>
      </c>
      <c r="K7" s="3">
        <v>1894237</v>
      </c>
      <c r="L7" s="3">
        <v>33443.965517241355</v>
      </c>
      <c r="M7" s="3">
        <f>20047+15747</f>
        <v>35794</v>
      </c>
      <c r="N7" s="3">
        <v>-972</v>
      </c>
      <c r="O7" s="3">
        <v>2820</v>
      </c>
      <c r="P7" s="3">
        <v>125</v>
      </c>
      <c r="Q7" s="3">
        <v>1256</v>
      </c>
      <c r="R7" s="3">
        <v>76993</v>
      </c>
      <c r="S7" s="3">
        <v>34216</v>
      </c>
      <c r="T7" s="3">
        <v>272764</v>
      </c>
      <c r="U7" s="3">
        <v>181111</v>
      </c>
      <c r="V7" s="3">
        <v>79911</v>
      </c>
      <c r="W7" s="3">
        <v>111132</v>
      </c>
      <c r="X7" s="3">
        <v>44111</v>
      </c>
      <c r="Y7" s="3">
        <v>24171</v>
      </c>
      <c r="Z7" s="3">
        <v>0</v>
      </c>
      <c r="AA7" s="3">
        <v>11093</v>
      </c>
      <c r="AB7" s="3">
        <v>0</v>
      </c>
      <c r="AC7" s="3">
        <v>0</v>
      </c>
      <c r="AD7" s="3">
        <v>0</v>
      </c>
      <c r="AE7" s="3">
        <v>0</v>
      </c>
      <c r="AF7" s="5">
        <f t="shared" si="4"/>
        <v>2295830</v>
      </c>
      <c r="AG7" s="4">
        <f t="shared" si="1"/>
        <v>1.3697975054062699</v>
      </c>
      <c r="AH7" s="5">
        <f t="shared" si="5"/>
        <v>619793.95019052317</v>
      </c>
      <c r="AI7" s="17">
        <f t="shared" si="6"/>
        <v>0.25859475988907188</v>
      </c>
      <c r="AJ7" s="17">
        <f t="shared" si="7"/>
        <v>3.6651870994486441E-2</v>
      </c>
      <c r="AK7" s="14">
        <f t="shared" si="8"/>
        <v>4.6549735993169174E-2</v>
      </c>
      <c r="AL7" s="14">
        <f t="shared" si="9"/>
        <v>-9.0200988345000566E-3</v>
      </c>
      <c r="AN7" s="84">
        <f t="shared" si="10"/>
        <v>46026</v>
      </c>
      <c r="AO7" s="80">
        <f>+Tabla22[[#This Row],[Web + APP 2025]]+Tabla22[[#This Row],[Afiliados 2025]]+Tabla22[[#This Row],[TMK 2025]]+Tabla22[[#This Row],[WA 2025]]+Tabla22[[#This Row],[Ent. en Tienda 2025]]</f>
        <v>915080.96551724139</v>
      </c>
      <c r="AP7" s="80">
        <f>+Tabla22[[#This Row],[Meli Drop 2025]]+Tabla22[[#This Row],[Meli Full 2025]]+Tabla22[[#This Row],[Amazon Drop 2025]]+Tabla22[[#This Row],[Amazon Full 2025]]+Tabla22[[#This Row],[TikTok 2025]]+Tabla22[[#This Row],[Shein 2025]]</f>
        <v>396786</v>
      </c>
      <c r="AQ7" s="80">
        <f t="shared" si="13"/>
        <v>1968323</v>
      </c>
      <c r="AR7" s="80">
        <f t="shared" si="14"/>
        <v>327507</v>
      </c>
      <c r="AS7" s="74">
        <f t="shared" si="15"/>
        <v>1.1509823438272733</v>
      </c>
      <c r="AT7" s="74">
        <f t="shared" si="16"/>
        <v>-0.17460041432913465</v>
      </c>
      <c r="AU7" s="80">
        <f t="shared" si="17"/>
        <v>1336371.3452953978</v>
      </c>
      <c r="AV7" s="80">
        <f t="shared" si="18"/>
        <v>339664.70451407909</v>
      </c>
      <c r="AW7" s="74">
        <f t="shared" si="19"/>
        <v>1.4728862654301471</v>
      </c>
      <c r="AX7" s="74">
        <f t="shared" si="20"/>
        <v>0.96420674755867919</v>
      </c>
      <c r="AY7" s="74">
        <f t="shared" si="21"/>
        <v>1.3697975054062699</v>
      </c>
    </row>
    <row r="8" spans="1:51" hidden="1" x14ac:dyDescent="0.3">
      <c r="A8" s="63">
        <v>45662</v>
      </c>
      <c r="B8" s="3">
        <f>+'BD MD'!B7</f>
        <v>49768856</v>
      </c>
      <c r="C8" s="3">
        <f t="shared" si="11"/>
        <v>1824121.6896551724</v>
      </c>
      <c r="D8" s="4">
        <f t="shared" si="12"/>
        <v>2.1179200836441904E-2</v>
      </c>
      <c r="E8" s="3">
        <v>42820052</v>
      </c>
      <c r="F8" s="7">
        <v>46027</v>
      </c>
      <c r="G8" s="3">
        <f>+Tabla22[[#This Row],[Meta Digital]]+Tabla22[[#This Row],[Meta MKPlace]]</f>
        <v>2330490.6606105575</v>
      </c>
      <c r="H8" s="3">
        <f>+Tabla2[[#This Row],[Meta Digital]]</f>
        <v>1858194.4819579031</v>
      </c>
      <c r="I8" s="3">
        <f>+Tabla2[[#This Row],[Meta MKPlace]]</f>
        <v>472296.17865265446</v>
      </c>
      <c r="J8" s="3">
        <v>1228466</v>
      </c>
      <c r="K8" s="3">
        <v>2243868</v>
      </c>
      <c r="L8" s="3">
        <v>26220.689655172398</v>
      </c>
      <c r="M8" s="3">
        <f>16759+12375</f>
        <v>29134</v>
      </c>
      <c r="N8" s="3">
        <v>6650</v>
      </c>
      <c r="O8" s="3">
        <v>10063</v>
      </c>
      <c r="P8" s="3">
        <v>4220</v>
      </c>
      <c r="Q8" s="3">
        <v>4612</v>
      </c>
      <c r="R8" s="3">
        <v>118329</v>
      </c>
      <c r="S8" s="3">
        <v>91070</v>
      </c>
      <c r="T8" s="3">
        <v>311434</v>
      </c>
      <c r="U8" s="3">
        <v>1061982</v>
      </c>
      <c r="V8" s="3">
        <v>74826</v>
      </c>
      <c r="W8" s="3">
        <v>81808</v>
      </c>
      <c r="X8" s="3">
        <v>53976</v>
      </c>
      <c r="Y8" s="3">
        <v>39071</v>
      </c>
      <c r="Z8" s="3">
        <v>0</v>
      </c>
      <c r="AA8" s="3">
        <v>9717</v>
      </c>
      <c r="AB8" s="3">
        <v>0</v>
      </c>
      <c r="AC8" s="3">
        <v>11108</v>
      </c>
      <c r="AD8" s="3">
        <v>0</v>
      </c>
      <c r="AE8" s="3">
        <v>0</v>
      </c>
      <c r="AF8" s="5">
        <f t="shared" si="4"/>
        <v>3582433</v>
      </c>
      <c r="AG8" s="4">
        <f t="shared" si="1"/>
        <v>1.5372011828021874</v>
      </c>
      <c r="AH8" s="5">
        <f t="shared" si="5"/>
        <v>1251942.3393894425</v>
      </c>
      <c r="AI8" s="17">
        <f t="shared" si="6"/>
        <v>0.14221213563707935</v>
      </c>
      <c r="AJ8" s="17">
        <f t="shared" si="7"/>
        <v>0.13734875221439025</v>
      </c>
      <c r="AK8" s="14">
        <f t="shared" si="8"/>
        <v>8.3662509330908796E-2</v>
      </c>
      <c r="AL8" s="14">
        <f t="shared" si="9"/>
        <v>0.87516980841892411</v>
      </c>
      <c r="AN8" s="84">
        <f t="shared" si="10"/>
        <v>46027</v>
      </c>
      <c r="AO8" s="80">
        <f>+Tabla22[[#This Row],[Web + APP 2025]]+Tabla22[[#This Row],[Afiliados 2025]]+Tabla22[[#This Row],[TMK 2025]]+Tabla22[[#This Row],[WA 2025]]+Tabla22[[#This Row],[Ent. en Tienda 2025]]</f>
        <v>1383885.6896551724</v>
      </c>
      <c r="AP8" s="80">
        <f>+Tabla22[[#This Row],[Meli Drop 2025]]+Tabla22[[#This Row],[Meli Full 2025]]+Tabla22[[#This Row],[Amazon Drop 2025]]+Tabla22[[#This Row],[Amazon Full 2025]]+Tabla22[[#This Row],[TikTok 2025]]+Tabla22[[#This Row],[Shein 2025]]</f>
        <v>440236</v>
      </c>
      <c r="AQ8" s="80">
        <f t="shared" si="13"/>
        <v>2378747</v>
      </c>
      <c r="AR8" s="80">
        <f t="shared" si="14"/>
        <v>1203686</v>
      </c>
      <c r="AS8" s="74">
        <f t="shared" si="15"/>
        <v>0.71888980266334035</v>
      </c>
      <c r="AT8" s="74">
        <f t="shared" si="16"/>
        <v>1.7341834834043559</v>
      </c>
      <c r="AU8" s="80">
        <f t="shared" si="17"/>
        <v>1858194.4819579031</v>
      </c>
      <c r="AV8" s="80">
        <f t="shared" si="18"/>
        <v>472296.17865265446</v>
      </c>
      <c r="AW8" s="74">
        <f t="shared" si="19"/>
        <v>1.2801388784093322</v>
      </c>
      <c r="AX8" s="74">
        <f t="shared" si="20"/>
        <v>2.5485829748481597</v>
      </c>
      <c r="AY8" s="74">
        <f t="shared" si="21"/>
        <v>1.5372011828021874</v>
      </c>
    </row>
    <row r="9" spans="1:51" hidden="1" x14ac:dyDescent="0.3">
      <c r="A9" s="7">
        <v>45663</v>
      </c>
      <c r="B9" s="3">
        <f>+'BD MD'!B8</f>
        <v>22835293</v>
      </c>
      <c r="C9" s="3">
        <f t="shared" si="11"/>
        <v>3136399</v>
      </c>
      <c r="D9" s="4">
        <f t="shared" si="12"/>
        <v>3.6415566297428682E-2</v>
      </c>
      <c r="E9" s="3">
        <v>22329279</v>
      </c>
      <c r="F9" s="7">
        <v>46028</v>
      </c>
      <c r="G9" s="3">
        <f>+Tabla22[[#This Row],[Meta Digital]]+Tabla22[[#This Row],[Meta MKPlace]]</f>
        <v>4007050.9653498139</v>
      </c>
      <c r="H9" s="3">
        <f>+Tabla2[[#This Row],[Meta Digital]]</f>
        <v>3194983.8369171545</v>
      </c>
      <c r="I9" s="3">
        <f>+Tabla2[[#This Row],[Meta MKPlace]]</f>
        <v>812067.12843265967</v>
      </c>
      <c r="J9" s="3">
        <v>2147376</v>
      </c>
      <c r="K9" s="3">
        <v>2374462</v>
      </c>
      <c r="L9" s="3">
        <v>18699.999999999996</v>
      </c>
      <c r="M9" s="3">
        <f>12777+8956</f>
        <v>21733</v>
      </c>
      <c r="N9" s="3">
        <v>36331</v>
      </c>
      <c r="O9" s="3">
        <v>67853</v>
      </c>
      <c r="P9" s="3">
        <v>-500</v>
      </c>
      <c r="Q9" s="3">
        <v>-114</v>
      </c>
      <c r="R9" s="3">
        <v>58951</v>
      </c>
      <c r="S9" s="3">
        <v>66697</v>
      </c>
      <c r="T9" s="3">
        <v>714238</v>
      </c>
      <c r="U9" s="3">
        <v>650825</v>
      </c>
      <c r="V9" s="3">
        <v>83712</v>
      </c>
      <c r="W9" s="3">
        <v>87785</v>
      </c>
      <c r="X9" s="3">
        <v>77591</v>
      </c>
      <c r="Y9" s="3">
        <v>32894</v>
      </c>
      <c r="Z9" s="3">
        <v>0</v>
      </c>
      <c r="AA9" s="3">
        <v>14047</v>
      </c>
      <c r="AB9" s="3">
        <v>0</v>
      </c>
      <c r="AC9" s="3">
        <v>11280</v>
      </c>
      <c r="AD9" s="3">
        <v>0</v>
      </c>
      <c r="AE9" s="3">
        <v>1120</v>
      </c>
      <c r="AF9" s="5">
        <f t="shared" si="4"/>
        <v>3328582</v>
      </c>
      <c r="AG9" s="4">
        <f t="shared" si="1"/>
        <v>0.83068122386844068</v>
      </c>
      <c r="AH9" s="5">
        <f t="shared" si="5"/>
        <v>-678468.96534981392</v>
      </c>
      <c r="AI9" s="17">
        <f t="shared" si="6"/>
        <v>0.13904915701476583</v>
      </c>
      <c r="AJ9" s="17">
        <f t="shared" si="7"/>
        <v>0.12331394465472259</v>
      </c>
      <c r="AK9" s="14">
        <f t="shared" si="8"/>
        <v>0.14906804648730484</v>
      </c>
      <c r="AL9" s="14">
        <f t="shared" si="9"/>
        <v>-5.7741427374984999E-2</v>
      </c>
      <c r="AN9" s="84">
        <f t="shared" si="10"/>
        <v>46028</v>
      </c>
      <c r="AO9" s="80">
        <f>+Tabla22[[#This Row],[Web + APP 2025]]+Tabla22[[#This Row],[Afiliados 2025]]+Tabla22[[#This Row],[TMK 2025]]+Tabla22[[#This Row],[WA 2025]]+Tabla22[[#This Row],[Ent. en Tienda 2025]]</f>
        <v>2260858</v>
      </c>
      <c r="AP9" s="80">
        <f>+Tabla22[[#This Row],[Meli Drop 2025]]+Tabla22[[#This Row],[Meli Full 2025]]+Tabla22[[#This Row],[Amazon Drop 2025]]+Tabla22[[#This Row],[Amazon Full 2025]]+Tabla22[[#This Row],[TikTok 2025]]+Tabla22[[#This Row],[Shein 2025]]</f>
        <v>875541</v>
      </c>
      <c r="AQ9" s="80">
        <f t="shared" si="13"/>
        <v>2530631</v>
      </c>
      <c r="AR9" s="80">
        <f t="shared" si="14"/>
        <v>797951</v>
      </c>
      <c r="AS9" s="74">
        <f t="shared" si="15"/>
        <v>0.11932328346141152</v>
      </c>
      <c r="AT9" s="74">
        <f t="shared" si="16"/>
        <v>-8.861949354741816E-2</v>
      </c>
      <c r="AU9" s="80">
        <f t="shared" si="17"/>
        <v>3194983.8369171545</v>
      </c>
      <c r="AV9" s="80">
        <f t="shared" si="18"/>
        <v>812067.12843265967</v>
      </c>
      <c r="AW9" s="74">
        <f t="shared" si="19"/>
        <v>0.79206378785371578</v>
      </c>
      <c r="AX9" s="74">
        <f t="shared" si="20"/>
        <v>0.98261704243600567</v>
      </c>
      <c r="AY9" s="74">
        <f t="shared" si="21"/>
        <v>0.83068122386844068</v>
      </c>
    </row>
    <row r="10" spans="1:51" hidden="1" x14ac:dyDescent="0.3">
      <c r="A10" s="63">
        <v>45664</v>
      </c>
      <c r="B10" s="3">
        <f>+'BD MD'!B9</f>
        <v>23697613</v>
      </c>
      <c r="C10" s="3">
        <f t="shared" si="11"/>
        <v>2922246.1379310344</v>
      </c>
      <c r="D10" s="4">
        <f t="shared" si="12"/>
        <v>3.39291167906993E-2</v>
      </c>
      <c r="E10" s="3">
        <v>23046004</v>
      </c>
      <c r="F10" s="7">
        <v>46029</v>
      </c>
      <c r="G10" s="3">
        <f>+Tabla22[[#This Row],[Meta Digital]]+Tabla22[[#This Row],[Meta MKPlace]]</f>
        <v>3733450.1152392654</v>
      </c>
      <c r="H10" s="3">
        <f>+Tabla2[[#This Row],[Meta Digital]]</f>
        <v>2976830.8108066712</v>
      </c>
      <c r="I10" s="3">
        <f>+Tabla2[[#This Row],[Meta MKPlace]]</f>
        <v>756619.30443259433</v>
      </c>
      <c r="J10" s="3">
        <v>2444768</v>
      </c>
      <c r="K10" s="3">
        <v>2461726</v>
      </c>
      <c r="L10" s="3">
        <v>20049.137931034478</v>
      </c>
      <c r="M10" s="3">
        <f>14222+10727</f>
        <v>24949</v>
      </c>
      <c r="N10" s="3">
        <v>54064</v>
      </c>
      <c r="O10" s="3">
        <v>16759</v>
      </c>
      <c r="P10" s="3">
        <v>-344</v>
      </c>
      <c r="Q10" s="3">
        <v>5667</v>
      </c>
      <c r="R10" s="3">
        <v>55989</v>
      </c>
      <c r="S10" s="3">
        <v>41847</v>
      </c>
      <c r="T10" s="3">
        <v>209116</v>
      </c>
      <c r="U10" s="3">
        <v>438746</v>
      </c>
      <c r="V10" s="3">
        <v>80417</v>
      </c>
      <c r="W10" s="3">
        <v>113224</v>
      </c>
      <c r="X10" s="3">
        <v>58187</v>
      </c>
      <c r="Y10" s="3">
        <v>5778</v>
      </c>
      <c r="Z10" s="3">
        <v>0</v>
      </c>
      <c r="AA10" s="3">
        <v>10555</v>
      </c>
      <c r="AB10" s="3">
        <v>0</v>
      </c>
      <c r="AC10" s="3">
        <v>14781</v>
      </c>
      <c r="AD10" s="3">
        <v>0</v>
      </c>
      <c r="AE10" s="3">
        <v>0</v>
      </c>
      <c r="AF10" s="5">
        <f t="shared" si="4"/>
        <v>3134032</v>
      </c>
      <c r="AG10" s="4">
        <f t="shared" si="1"/>
        <v>0.83944659852490078</v>
      </c>
      <c r="AH10" s="5">
        <f t="shared" si="5"/>
        <v>-599418.11523926537</v>
      </c>
      <c r="AI10" s="17">
        <f t="shared" si="6"/>
        <v>-3.413856918982805E-2</v>
      </c>
      <c r="AJ10" s="17">
        <f t="shared" si="7"/>
        <v>0.12075113730590367</v>
      </c>
      <c r="AK10" s="14">
        <f t="shared" si="8"/>
        <v>0.13599025670567444</v>
      </c>
      <c r="AL10" s="14">
        <f t="shared" si="9"/>
        <v>-0.14237336500763365</v>
      </c>
      <c r="AN10" s="84">
        <f t="shared" si="10"/>
        <v>46029</v>
      </c>
      <c r="AO10" s="80">
        <f>+Tabla22[[#This Row],[Web + APP 2025]]+Tabla22[[#This Row],[Afiliados 2025]]+Tabla22[[#This Row],[TMK 2025]]+Tabla22[[#This Row],[WA 2025]]+Tabla22[[#This Row],[Ent. en Tienda 2025]]</f>
        <v>2574526.1379310344</v>
      </c>
      <c r="AP10" s="80">
        <f>+Tabla22[[#This Row],[Meli Drop 2025]]+Tabla22[[#This Row],[Meli Full 2025]]+Tabla22[[#This Row],[Amazon Drop 2025]]+Tabla22[[#This Row],[Amazon Full 2025]]+Tabla22[[#This Row],[TikTok 2025]]+Tabla22[[#This Row],[Shein 2025]]</f>
        <v>347720</v>
      </c>
      <c r="AQ10" s="80">
        <f t="shared" si="13"/>
        <v>2550948</v>
      </c>
      <c r="AR10" s="80">
        <f t="shared" si="14"/>
        <v>583084</v>
      </c>
      <c r="AS10" s="74">
        <f t="shared" si="15"/>
        <v>-9.1582437574250219E-3</v>
      </c>
      <c r="AT10" s="74">
        <f t="shared" si="16"/>
        <v>0.67687794777407118</v>
      </c>
      <c r="AU10" s="80">
        <f t="shared" si="17"/>
        <v>2976830.8108066712</v>
      </c>
      <c r="AV10" s="80">
        <f t="shared" si="18"/>
        <v>756619.30443259433</v>
      </c>
      <c r="AW10" s="74">
        <f t="shared" si="19"/>
        <v>0.85693415653297944</v>
      </c>
      <c r="AX10" s="74">
        <f t="shared" si="20"/>
        <v>0.77064383182407392</v>
      </c>
      <c r="AY10" s="74">
        <f t="shared" si="21"/>
        <v>0.83944659852490078</v>
      </c>
    </row>
    <row r="11" spans="1:51" hidden="1" x14ac:dyDescent="0.3">
      <c r="A11" s="7">
        <v>45665</v>
      </c>
      <c r="B11" s="3">
        <f>+'BD MD'!B10</f>
        <v>26871838</v>
      </c>
      <c r="C11" s="3">
        <f t="shared" si="11"/>
        <v>3244805</v>
      </c>
      <c r="D11" s="4">
        <f t="shared" si="12"/>
        <v>3.7674228183253493E-2</v>
      </c>
      <c r="E11" s="3">
        <v>26562197</v>
      </c>
      <c r="F11" s="7">
        <v>46030</v>
      </c>
      <c r="G11" s="3">
        <f>+Tabla22[[#This Row],[Meta Digital]]+Tabla22[[#This Row],[Meta MKPlace]]</f>
        <v>4145550.0424601282</v>
      </c>
      <c r="H11" s="3">
        <f>+Tabla2[[#This Row],[Meta Digital]]</f>
        <v>3305414.7539735753</v>
      </c>
      <c r="I11" s="3">
        <f>+Tabla2[[#This Row],[Meta MKPlace]]</f>
        <v>840135.28848655289</v>
      </c>
      <c r="J11" s="3">
        <v>2443314</v>
      </c>
      <c r="K11" s="3">
        <v>2651325</v>
      </c>
      <c r="L11" s="3">
        <v>26274.999999999985</v>
      </c>
      <c r="M11" s="3">
        <f>16483+7384</f>
        <v>23867</v>
      </c>
      <c r="N11" s="3">
        <v>56169</v>
      </c>
      <c r="O11" s="3">
        <v>32696</v>
      </c>
      <c r="P11" s="3">
        <v>3661</v>
      </c>
      <c r="Q11" s="3">
        <v>1757</v>
      </c>
      <c r="R11" s="3">
        <v>70092</v>
      </c>
      <c r="S11" s="3">
        <v>21864</v>
      </c>
      <c r="T11" s="3">
        <v>538812</v>
      </c>
      <c r="U11" s="3">
        <v>443664</v>
      </c>
      <c r="V11" s="3">
        <v>68361</v>
      </c>
      <c r="W11" s="3">
        <v>108455</v>
      </c>
      <c r="X11" s="3">
        <v>38121</v>
      </c>
      <c r="Y11" s="3">
        <v>25645</v>
      </c>
      <c r="Z11" s="3">
        <v>0</v>
      </c>
      <c r="AA11" s="3">
        <v>3530</v>
      </c>
      <c r="AB11" s="3">
        <v>0</v>
      </c>
      <c r="AC11" s="3">
        <v>21246</v>
      </c>
      <c r="AD11" s="3">
        <v>0</v>
      </c>
      <c r="AE11" s="3">
        <v>947</v>
      </c>
      <c r="AF11" s="5">
        <f t="shared" si="4"/>
        <v>3334996</v>
      </c>
      <c r="AG11" s="4">
        <f t="shared" si="1"/>
        <v>0.80447611676179054</v>
      </c>
      <c r="AH11" s="5">
        <f t="shared" si="5"/>
        <v>-810554.0424601282</v>
      </c>
      <c r="AI11" s="17">
        <f t="shared" si="6"/>
        <v>0.32317466696803598</v>
      </c>
      <c r="AJ11" s="17">
        <f t="shared" si="7"/>
        <v>8.9849805819880668E-2</v>
      </c>
      <c r="AK11" s="14">
        <f t="shared" si="8"/>
        <v>0.12555422279264022</v>
      </c>
      <c r="AL11" s="14">
        <f t="shared" si="9"/>
        <v>-5.3102442526272053E-2</v>
      </c>
      <c r="AN11" s="84">
        <f t="shared" si="10"/>
        <v>46030</v>
      </c>
      <c r="AO11" s="80">
        <f>+Tabla22[[#This Row],[Web + APP 2025]]+Tabla22[[#This Row],[Afiliados 2025]]+Tabla22[[#This Row],[TMK 2025]]+Tabla22[[#This Row],[WA 2025]]+Tabla22[[#This Row],[Ent. en Tienda 2025]]</f>
        <v>2599511</v>
      </c>
      <c r="AP11" s="80">
        <f>+Tabla22[[#This Row],[Meli Drop 2025]]+Tabla22[[#This Row],[Meli Full 2025]]+Tabla22[[#This Row],[Amazon Drop 2025]]+Tabla22[[#This Row],[Amazon Full 2025]]+Tabla22[[#This Row],[TikTok 2025]]+Tabla22[[#This Row],[Shein 2025]]</f>
        <v>645294</v>
      </c>
      <c r="AQ11" s="80">
        <f t="shared" si="13"/>
        <v>2731509</v>
      </c>
      <c r="AR11" s="80">
        <f t="shared" si="14"/>
        <v>603487</v>
      </c>
      <c r="AS11" s="74">
        <f t="shared" si="15"/>
        <v>5.0778011710663984E-2</v>
      </c>
      <c r="AT11" s="74">
        <f t="shared" si="16"/>
        <v>-6.4787523206476405E-2</v>
      </c>
      <c r="AU11" s="80">
        <f t="shared" si="17"/>
        <v>3305414.7539735753</v>
      </c>
      <c r="AV11" s="80">
        <f t="shared" si="18"/>
        <v>840135.28848655289</v>
      </c>
      <c r="AW11" s="74">
        <f t="shared" si="19"/>
        <v>0.82637405690657739</v>
      </c>
      <c r="AX11" s="74">
        <f t="shared" si="20"/>
        <v>0.71832121358351841</v>
      </c>
      <c r="AY11" s="74">
        <f t="shared" si="21"/>
        <v>0.80447611676179054</v>
      </c>
    </row>
    <row r="12" spans="1:51" hidden="1" x14ac:dyDescent="0.3">
      <c r="A12" s="63">
        <v>45666</v>
      </c>
      <c r="B12" s="3">
        <f>+'BD MD'!B11</f>
        <v>28051817</v>
      </c>
      <c r="C12" s="3">
        <f t="shared" si="11"/>
        <v>2520450.3103448274</v>
      </c>
      <c r="D12" s="4">
        <f t="shared" si="12"/>
        <v>2.9264014360333858E-2</v>
      </c>
      <c r="E12" s="3">
        <v>26952477</v>
      </c>
      <c r="F12" s="7">
        <v>46031</v>
      </c>
      <c r="G12" s="3">
        <f>+Tabla22[[#This Row],[Meta Digital]]+Tabla22[[#This Row],[Meta MKPlace]]</f>
        <v>3220117.3540686239</v>
      </c>
      <c r="H12" s="3">
        <f>+Tabla2[[#This Row],[Meta Digital]]</f>
        <v>2567529.833833179</v>
      </c>
      <c r="I12" s="3">
        <f>+Tabla2[[#This Row],[Meta MKPlace]]</f>
        <v>652587.520235445</v>
      </c>
      <c r="J12" s="3">
        <v>2184366</v>
      </c>
      <c r="K12" s="3">
        <v>1967914</v>
      </c>
      <c r="L12" s="3">
        <v>24654.31034482758</v>
      </c>
      <c r="M12" s="3">
        <f>14542+13435</f>
        <v>27977</v>
      </c>
      <c r="N12" s="3">
        <v>59780</v>
      </c>
      <c r="O12" s="3">
        <v>732</v>
      </c>
      <c r="P12" s="3">
        <v>2734</v>
      </c>
      <c r="Q12" s="3">
        <v>3382</v>
      </c>
      <c r="R12" s="3">
        <v>31913</v>
      </c>
      <c r="S12" s="3">
        <v>81797</v>
      </c>
      <c r="T12" s="3">
        <v>73729</v>
      </c>
      <c r="U12" s="3">
        <v>357183</v>
      </c>
      <c r="V12" s="3">
        <v>68117</v>
      </c>
      <c r="W12" s="3">
        <v>88348</v>
      </c>
      <c r="X12" s="3">
        <v>75157</v>
      </c>
      <c r="Y12" s="3">
        <v>22372</v>
      </c>
      <c r="Z12" s="3">
        <v>0</v>
      </c>
      <c r="AA12" s="3">
        <v>11805</v>
      </c>
      <c r="AB12" s="3">
        <v>0</v>
      </c>
      <c r="AC12" s="3">
        <v>15175</v>
      </c>
      <c r="AD12" s="3">
        <v>0</v>
      </c>
      <c r="AE12" s="3">
        <v>689</v>
      </c>
      <c r="AF12" s="5">
        <f t="shared" si="4"/>
        <v>2577374</v>
      </c>
      <c r="AG12" s="4">
        <f t="shared" si="1"/>
        <v>0.80039753729580176</v>
      </c>
      <c r="AH12" s="5">
        <f t="shared" si="5"/>
        <v>-642743.35406862386</v>
      </c>
      <c r="AI12" s="17">
        <f t="shared" si="6"/>
        <v>0.13099388728805006</v>
      </c>
      <c r="AJ12" s="17">
        <f t="shared" si="7"/>
        <v>7.940374639091588E-2</v>
      </c>
      <c r="AK12" s="14">
        <f t="shared" si="8"/>
        <v>9.5626609754643335E-2</v>
      </c>
      <c r="AL12" s="14">
        <f t="shared" si="9"/>
        <v>-6.0876966920436537E-2</v>
      </c>
      <c r="AN12" s="84">
        <f t="shared" si="10"/>
        <v>46031</v>
      </c>
      <c r="AO12" s="80">
        <f>+Tabla22[[#This Row],[Web + APP 2025]]+Tabla22[[#This Row],[Afiliados 2025]]+Tabla22[[#This Row],[TMK 2025]]+Tabla22[[#This Row],[WA 2025]]+Tabla22[[#This Row],[Ent. en Tienda 2025]]</f>
        <v>2303447.3103448274</v>
      </c>
      <c r="AP12" s="80">
        <f>+Tabla22[[#This Row],[Meli Drop 2025]]+Tabla22[[#This Row],[Meli Full 2025]]+Tabla22[[#This Row],[Amazon Drop 2025]]+Tabla22[[#This Row],[Amazon Full 2025]]+Tabla22[[#This Row],[TikTok 2025]]+Tabla22[[#This Row],[Shein 2025]]</f>
        <v>217003</v>
      </c>
      <c r="AQ12" s="80">
        <f t="shared" si="13"/>
        <v>2081802</v>
      </c>
      <c r="AR12" s="80">
        <f t="shared" si="14"/>
        <v>495572</v>
      </c>
      <c r="AS12" s="74">
        <f t="shared" si="15"/>
        <v>-9.6223303806175164E-2</v>
      </c>
      <c r="AT12" s="74">
        <f t="shared" si="16"/>
        <v>1.2837103634511964</v>
      </c>
      <c r="AU12" s="80">
        <f t="shared" si="17"/>
        <v>2567529.833833179</v>
      </c>
      <c r="AV12" s="80">
        <f t="shared" si="18"/>
        <v>652587.520235445</v>
      </c>
      <c r="AW12" s="74">
        <f t="shared" si="19"/>
        <v>0.81081901077347396</v>
      </c>
      <c r="AX12" s="74">
        <f t="shared" si="20"/>
        <v>0.75939545981695167</v>
      </c>
      <c r="AY12" s="74">
        <f t="shared" si="21"/>
        <v>0.80039753729580176</v>
      </c>
    </row>
    <row r="13" spans="1:51" hidden="1" x14ac:dyDescent="0.3">
      <c r="A13" s="7">
        <v>45667</v>
      </c>
      <c r="B13" s="3">
        <f>+'BD MD'!B12</f>
        <v>28699623</v>
      </c>
      <c r="C13" s="3">
        <f t="shared" si="11"/>
        <v>2278857.5862068962</v>
      </c>
      <c r="D13" s="4">
        <f t="shared" si="12"/>
        <v>2.645897078557783E-2</v>
      </c>
      <c r="E13" s="3">
        <v>35436338</v>
      </c>
      <c r="F13" s="7">
        <v>46032</v>
      </c>
      <c r="G13" s="3">
        <f>+Tabla22[[#This Row],[Meta Digital]]+Tabla22[[#This Row],[Meta MKPlace]]</f>
        <v>2911459.4446386099</v>
      </c>
      <c r="H13" s="3">
        <f>+Tabla2[[#This Row],[Meta Digital]]</f>
        <v>2321424.3961202241</v>
      </c>
      <c r="I13" s="3">
        <f>+Tabla2[[#This Row],[Meta MKPlace]]</f>
        <v>590035.04851838562</v>
      </c>
      <c r="J13" s="3">
        <v>2007643</v>
      </c>
      <c r="K13" s="3">
        <v>1571666</v>
      </c>
      <c r="L13" s="3">
        <v>26027.586206896543</v>
      </c>
      <c r="M13" s="3">
        <f>14575+13419</f>
        <v>27994</v>
      </c>
      <c r="N13" s="3">
        <v>69118</v>
      </c>
      <c r="O13" s="3">
        <v>71315</v>
      </c>
      <c r="P13" s="3">
        <v>2178</v>
      </c>
      <c r="Q13" s="3">
        <v>-96</v>
      </c>
      <c r="R13" s="3">
        <v>45932</v>
      </c>
      <c r="S13" s="3">
        <v>34126</v>
      </c>
      <c r="T13" s="3">
        <v>27229</v>
      </c>
      <c r="U13" s="3">
        <v>488987</v>
      </c>
      <c r="V13" s="3">
        <v>63746</v>
      </c>
      <c r="W13" s="3">
        <v>120073</v>
      </c>
      <c r="X13" s="3">
        <v>36984</v>
      </c>
      <c r="Y13" s="3">
        <v>23228</v>
      </c>
      <c r="Z13" s="3">
        <v>0</v>
      </c>
      <c r="AA13" s="3">
        <v>6392</v>
      </c>
      <c r="AB13" s="3">
        <v>0</v>
      </c>
      <c r="AC13" s="3">
        <v>-1487</v>
      </c>
      <c r="AD13" s="3">
        <v>0</v>
      </c>
      <c r="AE13" s="3">
        <v>689</v>
      </c>
      <c r="AF13" s="5">
        <f t="shared" si="4"/>
        <v>2342887</v>
      </c>
      <c r="AG13" s="4">
        <f t="shared" si="1"/>
        <v>0.80471222235788864</v>
      </c>
      <c r="AH13" s="5">
        <f t="shared" si="5"/>
        <v>-568572.44463860989</v>
      </c>
      <c r="AI13" s="17">
        <f t="shared" si="6"/>
        <v>2.4056750193658161E-2</v>
      </c>
      <c r="AJ13" s="17">
        <f t="shared" si="7"/>
        <v>5.7045662063983836E-2</v>
      </c>
      <c r="AK13" s="14">
        <f t="shared" si="8"/>
        <v>6.6115381335396448E-2</v>
      </c>
      <c r="AL13" s="14">
        <f t="shared" si="9"/>
        <v>-0.11642352920055743</v>
      </c>
      <c r="AN13" s="84">
        <f t="shared" si="10"/>
        <v>46032</v>
      </c>
      <c r="AO13" s="80">
        <f>+Tabla22[[#This Row],[Web + APP 2025]]+Tabla22[[#This Row],[Afiliados 2025]]+Tabla22[[#This Row],[TMK 2025]]+Tabla22[[#This Row],[WA 2025]]+Tabla22[[#This Row],[Ent. en Tienda 2025]]</f>
        <v>2150898.5862068962</v>
      </c>
      <c r="AP13" s="80">
        <f>+Tabla22[[#This Row],[Meli Drop 2025]]+Tabla22[[#This Row],[Meli Full 2025]]+Tabla22[[#This Row],[Amazon Drop 2025]]+Tabla22[[#This Row],[Amazon Full 2025]]+Tabla22[[#This Row],[TikTok 2025]]+Tabla22[[#This Row],[Shein 2025]]</f>
        <v>127959</v>
      </c>
      <c r="AQ13" s="80">
        <f t="shared" si="13"/>
        <v>1705005</v>
      </c>
      <c r="AR13" s="80">
        <f t="shared" si="14"/>
        <v>637882</v>
      </c>
      <c r="AS13" s="74">
        <f t="shared" si="15"/>
        <v>-0.20730572285754689</v>
      </c>
      <c r="AT13" s="74">
        <f t="shared" si="16"/>
        <v>3.9850498987957081</v>
      </c>
      <c r="AU13" s="80">
        <f t="shared" si="17"/>
        <v>2321424.3961202241</v>
      </c>
      <c r="AV13" s="80">
        <f t="shared" si="18"/>
        <v>590035.04851838562</v>
      </c>
      <c r="AW13" s="74">
        <f t="shared" si="19"/>
        <v>0.7344650133123265</v>
      </c>
      <c r="AX13" s="74">
        <f t="shared" si="20"/>
        <v>1.0810917107411857</v>
      </c>
      <c r="AY13" s="74">
        <f t="shared" si="21"/>
        <v>0.80471222235788864</v>
      </c>
    </row>
    <row r="14" spans="1:51" hidden="1" x14ac:dyDescent="0.3">
      <c r="A14" s="63">
        <v>45668</v>
      </c>
      <c r="B14" s="3">
        <f>+'BD MD'!B13</f>
        <v>40105570</v>
      </c>
      <c r="C14" s="3">
        <f t="shared" si="11"/>
        <v>2287848.7931034481</v>
      </c>
      <c r="D14" s="4">
        <f t="shared" si="12"/>
        <v>2.656336435630505E-2</v>
      </c>
      <c r="E14" s="3">
        <v>37766104</v>
      </c>
      <c r="F14" s="7">
        <v>46033</v>
      </c>
      <c r="G14" s="3">
        <f>+Tabla22[[#This Row],[Meta Digital]]+Tabla22[[#This Row],[Meta MKPlace]]</f>
        <v>2922946.5750306575</v>
      </c>
      <c r="H14" s="3">
        <f>+Tabla2[[#This Row],[Meta Digital]]</f>
        <v>2330583.5498850546</v>
      </c>
      <c r="I14" s="3">
        <f>+Tabla2[[#This Row],[Meta MKPlace]]</f>
        <v>592363.02514560265</v>
      </c>
      <c r="J14" s="3">
        <v>1623013</v>
      </c>
      <c r="K14" s="3">
        <v>1877762</v>
      </c>
      <c r="L14" s="3">
        <v>27638.793103448261</v>
      </c>
      <c r="M14" s="3">
        <f>16709+13239</f>
        <v>29948</v>
      </c>
      <c r="N14" s="3">
        <v>37575</v>
      </c>
      <c r="O14" s="3">
        <v>-1145</v>
      </c>
      <c r="P14" s="3">
        <v>943</v>
      </c>
      <c r="Q14" s="3">
        <v>2935</v>
      </c>
      <c r="R14" s="3">
        <v>46764</v>
      </c>
      <c r="S14" s="3">
        <v>32600</v>
      </c>
      <c r="T14" s="3">
        <v>466722</v>
      </c>
      <c r="U14" s="3">
        <v>182133</v>
      </c>
      <c r="V14" s="3">
        <v>44669</v>
      </c>
      <c r="W14" s="3">
        <v>111049</v>
      </c>
      <c r="X14" s="3">
        <v>40524</v>
      </c>
      <c r="Y14" s="3">
        <v>31695</v>
      </c>
      <c r="Z14" s="3">
        <v>0</v>
      </c>
      <c r="AA14" s="3">
        <v>9041</v>
      </c>
      <c r="AB14" s="3">
        <v>0</v>
      </c>
      <c r="AC14" s="3">
        <v>1612</v>
      </c>
      <c r="AD14" s="3">
        <v>0</v>
      </c>
      <c r="AE14" s="3">
        <v>947</v>
      </c>
      <c r="AF14" s="5">
        <f t="shared" si="4"/>
        <v>2278577</v>
      </c>
      <c r="AG14" s="4">
        <f t="shared" si="1"/>
        <v>0.77954794639929437</v>
      </c>
      <c r="AH14" s="5">
        <f t="shared" si="5"/>
        <v>-644369.57503065746</v>
      </c>
      <c r="AI14" s="17">
        <f t="shared" si="6"/>
        <v>-0.21026597193598584</v>
      </c>
      <c r="AJ14" s="17">
        <f t="shared" si="7"/>
        <v>6.94730620038988E-2</v>
      </c>
      <c r="AK14" s="14">
        <f t="shared" si="8"/>
        <v>6.0333917419705244E-2</v>
      </c>
      <c r="AL14" s="14">
        <f t="shared" si="9"/>
        <v>-9.0640166515014831E-2</v>
      </c>
      <c r="AN14" s="84">
        <f t="shared" si="10"/>
        <v>46033</v>
      </c>
      <c r="AO14" s="80">
        <f>+Tabla22[[#This Row],[Web + APP 2025]]+Tabla22[[#This Row],[Afiliados 2025]]+Tabla22[[#This Row],[TMK 2025]]+Tabla22[[#This Row],[WA 2025]]+Tabla22[[#This Row],[Ent. en Tienda 2025]]</f>
        <v>1735933.7931034483</v>
      </c>
      <c r="AP14" s="80">
        <f>+Tabla22[[#This Row],[Meli Drop 2025]]+Tabla22[[#This Row],[Meli Full 2025]]+Tabla22[[#This Row],[Amazon Drop 2025]]+Tabla22[[#This Row],[Amazon Full 2025]]+Tabla22[[#This Row],[TikTok 2025]]+Tabla22[[#This Row],[Shein 2025]]</f>
        <v>551915</v>
      </c>
      <c r="AQ14" s="80">
        <f t="shared" si="13"/>
        <v>1942100</v>
      </c>
      <c r="AR14" s="80">
        <f t="shared" si="14"/>
        <v>336477</v>
      </c>
      <c r="AS14" s="74">
        <f t="shared" si="15"/>
        <v>0.11876386514025628</v>
      </c>
      <c r="AT14" s="74">
        <f t="shared" si="16"/>
        <v>-0.39034633956315734</v>
      </c>
      <c r="AU14" s="80">
        <f t="shared" si="17"/>
        <v>2330583.5498850546</v>
      </c>
      <c r="AV14" s="80">
        <f t="shared" si="18"/>
        <v>592363.02514560265</v>
      </c>
      <c r="AW14" s="74">
        <f t="shared" si="19"/>
        <v>0.83331061016704822</v>
      </c>
      <c r="AX14" s="74">
        <f t="shared" si="20"/>
        <v>0.56802498757800435</v>
      </c>
      <c r="AY14" s="74">
        <f t="shared" si="21"/>
        <v>0.77954794639929437</v>
      </c>
    </row>
    <row r="15" spans="1:51" hidden="1" x14ac:dyDescent="0.3">
      <c r="A15" s="7">
        <v>45669</v>
      </c>
      <c r="B15" s="3">
        <f>+'BD MD'!B14</f>
        <v>41530429</v>
      </c>
      <c r="C15" s="3">
        <f t="shared" si="11"/>
        <v>2885246.068965517</v>
      </c>
      <c r="D15" s="4">
        <f t="shared" si="12"/>
        <v>3.3499522703842613E-2</v>
      </c>
      <c r="E15" s="3">
        <v>22002628</v>
      </c>
      <c r="F15" s="7">
        <v>46034</v>
      </c>
      <c r="G15" s="3">
        <f>+Tabla22[[#This Row],[Meta Digital]]+Tabla22[[#This Row],[Meta MKPlace]]</f>
        <v>3686178.9733768031</v>
      </c>
      <c r="H15" s="3">
        <f>+Tabla2[[#This Row],[Meta Digital]]</f>
        <v>2939139.6170811127</v>
      </c>
      <c r="I15" s="3">
        <f>+Tabla2[[#This Row],[Meta MKPlace]]</f>
        <v>747039.35629569029</v>
      </c>
      <c r="J15" s="3">
        <v>2046304</v>
      </c>
      <c r="K15" s="3">
        <v>2815225</v>
      </c>
      <c r="L15" s="3">
        <v>27737.068965517228</v>
      </c>
      <c r="M15" s="3">
        <f>15551+12840</f>
        <v>28391</v>
      </c>
      <c r="N15" s="3">
        <v>14675</v>
      </c>
      <c r="O15" s="3">
        <v>25098</v>
      </c>
      <c r="P15" s="3">
        <v>-1465</v>
      </c>
      <c r="Q15" s="3">
        <v>689</v>
      </c>
      <c r="R15" s="3">
        <v>85731</v>
      </c>
      <c r="S15" s="3">
        <v>78900</v>
      </c>
      <c r="T15" s="3">
        <v>581035</v>
      </c>
      <c r="U15" s="3">
        <v>1028542</v>
      </c>
      <c r="V15" s="3">
        <v>51721</v>
      </c>
      <c r="W15" s="3">
        <v>130772</v>
      </c>
      <c r="X15" s="3">
        <v>79508</v>
      </c>
      <c r="Y15" s="3">
        <v>38266</v>
      </c>
      <c r="Z15" s="3">
        <v>0</v>
      </c>
      <c r="AA15" s="3">
        <v>9160</v>
      </c>
      <c r="AB15" s="3">
        <v>0</v>
      </c>
      <c r="AC15" s="3">
        <v>15529</v>
      </c>
      <c r="AD15" s="3">
        <v>0</v>
      </c>
      <c r="AE15" s="3">
        <v>0</v>
      </c>
      <c r="AF15" s="5">
        <f t="shared" si="4"/>
        <v>4170572</v>
      </c>
      <c r="AG15" s="4">
        <f t="shared" si="1"/>
        <v>1.1314078969365555</v>
      </c>
      <c r="AH15" s="5">
        <f t="shared" si="5"/>
        <v>484393.0266231969</v>
      </c>
      <c r="AI15" s="17">
        <f t="shared" si="6"/>
        <v>-1.3654924009407599E-2</v>
      </c>
      <c r="AJ15" s="17">
        <f t="shared" si="7"/>
        <v>0.16820643360770607</v>
      </c>
      <c r="AK15" s="14">
        <f t="shared" si="8"/>
        <v>0.18954881207826629</v>
      </c>
      <c r="AL15" s="14">
        <f t="shared" si="9"/>
        <v>-0.124713124182525</v>
      </c>
      <c r="AN15" s="84">
        <f t="shared" si="10"/>
        <v>46034</v>
      </c>
      <c r="AO15" s="80">
        <f>+Tabla22[[#This Row],[Web + APP 2025]]+Tabla22[[#This Row],[Afiliados 2025]]+Tabla22[[#This Row],[TMK 2025]]+Tabla22[[#This Row],[WA 2025]]+Tabla22[[#This Row],[Ent. en Tienda 2025]]</f>
        <v>2172982.068965517</v>
      </c>
      <c r="AP15" s="80">
        <f>+Tabla22[[#This Row],[Meli Drop 2025]]+Tabla22[[#This Row],[Meli Full 2025]]+Tabla22[[#This Row],[Amazon Drop 2025]]+Tabla22[[#This Row],[Amazon Full 2025]]+Tabla22[[#This Row],[TikTok 2025]]+Tabla22[[#This Row],[Shein 2025]]</f>
        <v>712264</v>
      </c>
      <c r="AQ15" s="80">
        <f t="shared" si="13"/>
        <v>2948303</v>
      </c>
      <c r="AR15" s="80">
        <f t="shared" si="14"/>
        <v>1222269</v>
      </c>
      <c r="AS15" s="74">
        <f t="shared" si="15"/>
        <v>0.35680042744374196</v>
      </c>
      <c r="AT15" s="74">
        <f t="shared" si="16"/>
        <v>0.71603366167600768</v>
      </c>
      <c r="AU15" s="80">
        <f t="shared" si="17"/>
        <v>2939139.6170811127</v>
      </c>
      <c r="AV15" s="80">
        <f t="shared" si="18"/>
        <v>747039.35629569029</v>
      </c>
      <c r="AW15" s="74">
        <f t="shared" si="19"/>
        <v>1.0031177093002432</v>
      </c>
      <c r="AX15" s="74">
        <f t="shared" si="20"/>
        <v>1.636150745873429</v>
      </c>
      <c r="AY15" s="74">
        <f t="shared" si="21"/>
        <v>1.1314078969365555</v>
      </c>
    </row>
    <row r="16" spans="1:51" hidden="1" x14ac:dyDescent="0.3">
      <c r="A16" s="63">
        <v>45670</v>
      </c>
      <c r="B16" s="3">
        <f>+'BD MD'!B15</f>
        <v>25137619</v>
      </c>
      <c r="C16" s="3">
        <f t="shared" si="11"/>
        <v>4228309.2413793104</v>
      </c>
      <c r="D16" s="4">
        <f t="shared" si="12"/>
        <v>4.9093331398676845E-2</v>
      </c>
      <c r="E16" s="3">
        <v>24135120</v>
      </c>
      <c r="F16" s="7">
        <v>46035</v>
      </c>
      <c r="G16" s="3">
        <f>+Tabla22[[#This Row],[Meta Digital]]+Tabla22[[#This Row],[Meta MKPlace]]</f>
        <v>5402071.1738099987</v>
      </c>
      <c r="H16" s="3">
        <f>+Tabla2[[#This Row],[Meta Digital]]</f>
        <v>4307289.883619505</v>
      </c>
      <c r="I16" s="3">
        <f>+Tabla2[[#This Row],[Meta MKPlace]]</f>
        <v>1094781.2901904937</v>
      </c>
      <c r="J16" s="3">
        <v>2797894</v>
      </c>
      <c r="K16" s="3">
        <v>3308864</v>
      </c>
      <c r="L16" s="3">
        <v>21892.241379310333</v>
      </c>
      <c r="M16" s="3">
        <f>16835+12441</f>
        <v>29276</v>
      </c>
      <c r="N16" s="3">
        <v>62339</v>
      </c>
      <c r="O16" s="3">
        <v>24647</v>
      </c>
      <c r="P16" s="3">
        <v>7660</v>
      </c>
      <c r="Q16" s="3">
        <v>3108</v>
      </c>
      <c r="R16" s="3">
        <v>57950</v>
      </c>
      <c r="S16" s="3">
        <v>43565</v>
      </c>
      <c r="T16" s="3">
        <v>1124689</v>
      </c>
      <c r="U16" s="3">
        <v>536006</v>
      </c>
      <c r="V16" s="3">
        <v>34111</v>
      </c>
      <c r="W16" s="3">
        <v>110255</v>
      </c>
      <c r="X16" s="3">
        <v>121774</v>
      </c>
      <c r="Y16" s="3">
        <v>39605</v>
      </c>
      <c r="Z16" s="3">
        <v>0</v>
      </c>
      <c r="AA16" s="3">
        <v>8501</v>
      </c>
      <c r="AB16" s="3">
        <v>0</v>
      </c>
      <c r="AC16" s="3">
        <v>11906</v>
      </c>
      <c r="AD16" s="3">
        <v>0</v>
      </c>
      <c r="AE16" s="3">
        <v>0</v>
      </c>
      <c r="AF16" s="5">
        <f t="shared" si="4"/>
        <v>4115733</v>
      </c>
      <c r="AG16" s="4">
        <f t="shared" si="1"/>
        <v>0.76188055795222631</v>
      </c>
      <c r="AH16" s="5">
        <f t="shared" si="5"/>
        <v>-1286338.1738099987</v>
      </c>
      <c r="AI16" s="17">
        <f t="shared" si="6"/>
        <v>1.5798528426369973E-2</v>
      </c>
      <c r="AJ16" s="17">
        <f t="shared" si="7"/>
        <v>0.15045566684290435</v>
      </c>
      <c r="AK16" s="14">
        <f t="shared" si="8"/>
        <v>0.17052879786800315</v>
      </c>
      <c r="AL16" s="14">
        <f t="shared" si="9"/>
        <v>-0.10377222566988564</v>
      </c>
      <c r="AN16" s="84">
        <f t="shared" si="10"/>
        <v>46035</v>
      </c>
      <c r="AO16" s="80">
        <f>+Tabla22[[#This Row],[Web + APP 2025]]+Tabla22[[#This Row],[Afiliados 2025]]+Tabla22[[#This Row],[TMK 2025]]+Tabla22[[#This Row],[WA 2025]]+Tabla22[[#This Row],[Ent. en Tienda 2025]]</f>
        <v>2947735.2413793104</v>
      </c>
      <c r="AP16" s="80">
        <f>+Tabla22[[#This Row],[Meli Drop 2025]]+Tabla22[[#This Row],[Meli Full 2025]]+Tabla22[[#This Row],[Amazon Drop 2025]]+Tabla22[[#This Row],[Amazon Full 2025]]+Tabla22[[#This Row],[TikTok 2025]]+Tabla22[[#This Row],[Shein 2025]]</f>
        <v>1280574</v>
      </c>
      <c r="AQ16" s="80">
        <f t="shared" si="13"/>
        <v>3409460</v>
      </c>
      <c r="AR16" s="80">
        <f t="shared" si="14"/>
        <v>706273</v>
      </c>
      <c r="AS16" s="74">
        <f t="shared" si="15"/>
        <v>0.15663711996218432</v>
      </c>
      <c r="AT16" s="74">
        <f t="shared" si="16"/>
        <v>-0.44847154479163254</v>
      </c>
      <c r="AU16" s="80">
        <f t="shared" si="17"/>
        <v>4307289.883619505</v>
      </c>
      <c r="AV16" s="80">
        <f t="shared" si="18"/>
        <v>1094781.2901904937</v>
      </c>
      <c r="AW16" s="74">
        <f t="shared" si="19"/>
        <v>0.79155573275113777</v>
      </c>
      <c r="AX16" s="74">
        <f t="shared" si="20"/>
        <v>0.64512702795378185</v>
      </c>
      <c r="AY16" s="74">
        <f t="shared" si="21"/>
        <v>0.76188055795222631</v>
      </c>
    </row>
    <row r="17" spans="1:51" hidden="1" x14ac:dyDescent="0.3">
      <c r="A17" s="7">
        <v>45671</v>
      </c>
      <c r="B17" s="3">
        <f>+'BD MD'!B16</f>
        <v>26929672</v>
      </c>
      <c r="C17" s="3">
        <f t="shared" si="11"/>
        <v>4051721.7586206896</v>
      </c>
      <c r="D17" s="4">
        <f t="shared" si="12"/>
        <v>4.7043039587688316E-2</v>
      </c>
      <c r="E17" s="3">
        <v>26317522</v>
      </c>
      <c r="F17" s="7">
        <v>46036</v>
      </c>
      <c r="G17" s="3">
        <f>+Tabla22[[#This Row],[Meta Digital]]+Tabla22[[#This Row],[Meta MKPlace]]</f>
        <v>5176463.7038239976</v>
      </c>
      <c r="H17" s="3">
        <f>+Tabla2[[#This Row],[Meta Digital]]</f>
        <v>4127403.9210185478</v>
      </c>
      <c r="I17" s="3">
        <f>+Tabla2[[#This Row],[Meta MKPlace]]</f>
        <v>1049059.7828054496</v>
      </c>
      <c r="J17" s="3">
        <v>3014987</v>
      </c>
      <c r="K17" s="3">
        <v>3212173</v>
      </c>
      <c r="L17" s="3">
        <v>25132.758620689645</v>
      </c>
      <c r="M17" s="3">
        <f>15827+12102</f>
        <v>27929</v>
      </c>
      <c r="N17" s="3">
        <v>88823</v>
      </c>
      <c r="O17" s="3">
        <v>49002</v>
      </c>
      <c r="P17" s="3">
        <v>264</v>
      </c>
      <c r="Q17" s="3">
        <v>2343</v>
      </c>
      <c r="R17" s="3">
        <v>76057</v>
      </c>
      <c r="S17" s="3">
        <v>31865</v>
      </c>
      <c r="T17" s="3">
        <v>657218</v>
      </c>
      <c r="U17" s="3">
        <v>514044</v>
      </c>
      <c r="V17" s="3">
        <v>100302</v>
      </c>
      <c r="W17" s="3">
        <v>119118</v>
      </c>
      <c r="X17" s="3">
        <v>88938</v>
      </c>
      <c r="Y17" s="3">
        <v>41245</v>
      </c>
      <c r="Z17" s="3">
        <v>0</v>
      </c>
      <c r="AA17" s="3">
        <v>5948</v>
      </c>
      <c r="AB17" s="3">
        <v>0</v>
      </c>
      <c r="AC17" s="3">
        <v>15693</v>
      </c>
      <c r="AD17" s="3">
        <v>0</v>
      </c>
      <c r="AE17" s="3">
        <v>0</v>
      </c>
      <c r="AF17" s="5">
        <f t="shared" si="4"/>
        <v>4019360</v>
      </c>
      <c r="AG17" s="4">
        <f t="shared" si="1"/>
        <v>0.77646830538593115</v>
      </c>
      <c r="AH17" s="5">
        <f t="shared" si="5"/>
        <v>-1157103.7038239976</v>
      </c>
      <c r="AI17" s="17">
        <f t="shared" si="6"/>
        <v>-1.9482148014491329E-3</v>
      </c>
      <c r="AJ17" s="17">
        <f t="shared" si="7"/>
        <v>0.13257363870486771</v>
      </c>
      <c r="AK17" s="14">
        <f t="shared" si="8"/>
        <v>0.15272562515574226</v>
      </c>
      <c r="AL17" s="14">
        <f t="shared" si="9"/>
        <v>-0.13364010365168211</v>
      </c>
      <c r="AN17" s="84">
        <f t="shared" si="10"/>
        <v>46036</v>
      </c>
      <c r="AO17" s="80">
        <f>+Tabla22[[#This Row],[Web + APP 2025]]+Tabla22[[#This Row],[Afiliados 2025]]+Tabla22[[#This Row],[TMK 2025]]+Tabla22[[#This Row],[WA 2025]]+Tabla22[[#This Row],[Ent. en Tienda 2025]]</f>
        <v>3205263.7586206896</v>
      </c>
      <c r="AP17" s="80">
        <f>+Tabla22[[#This Row],[Meli Drop 2025]]+Tabla22[[#This Row],[Meli Full 2025]]+Tabla22[[#This Row],[Amazon Drop 2025]]+Tabla22[[#This Row],[Amazon Full 2025]]+Tabla22[[#This Row],[TikTok 2025]]+Tabla22[[#This Row],[Shein 2025]]</f>
        <v>846458</v>
      </c>
      <c r="AQ17" s="80">
        <f t="shared" si="13"/>
        <v>3323312</v>
      </c>
      <c r="AR17" s="80">
        <f t="shared" si="14"/>
        <v>696048</v>
      </c>
      <c r="AS17" s="74">
        <f t="shared" si="15"/>
        <v>3.682949369199795E-2</v>
      </c>
      <c r="AT17" s="74">
        <f t="shared" si="16"/>
        <v>-0.17769340002693579</v>
      </c>
      <c r="AU17" s="80">
        <f t="shared" si="17"/>
        <v>4127403.9210185478</v>
      </c>
      <c r="AV17" s="80">
        <f t="shared" si="18"/>
        <v>1049059.7828054496</v>
      </c>
      <c r="AW17" s="74">
        <f t="shared" si="19"/>
        <v>0.80518215895377732</v>
      </c>
      <c r="AX17" s="74">
        <f t="shared" si="20"/>
        <v>0.66349698216301145</v>
      </c>
      <c r="AY17" s="74">
        <f t="shared" si="21"/>
        <v>0.77646830538593115</v>
      </c>
    </row>
    <row r="18" spans="1:51" hidden="1" x14ac:dyDescent="0.3">
      <c r="A18" s="63">
        <v>45672</v>
      </c>
      <c r="B18" s="3">
        <f>+'BD MD'!B17</f>
        <v>30377124</v>
      </c>
      <c r="C18" s="3">
        <f t="shared" si="11"/>
        <v>4027205.8620689656</v>
      </c>
      <c r="D18" s="4">
        <f t="shared" si="12"/>
        <v>4.6758394599528262E-2</v>
      </c>
      <c r="E18" s="3">
        <v>30903967</v>
      </c>
      <c r="F18" s="7">
        <v>46037</v>
      </c>
      <c r="G18" s="3">
        <f>+Tabla22[[#This Row],[Meta Digital]]+Tabla22[[#This Row],[Meta MKPlace]]</f>
        <v>5145142.291291981</v>
      </c>
      <c r="H18" s="3">
        <f>+Tabla2[[#This Row],[Meta Digital]]</f>
        <v>4102430.091722501</v>
      </c>
      <c r="I18" s="3">
        <f>+Tabla2[[#This Row],[Meta MKPlace]]</f>
        <v>1042712.1995694803</v>
      </c>
      <c r="J18" s="3">
        <v>3145541</v>
      </c>
      <c r="K18" s="3">
        <v>2833552</v>
      </c>
      <c r="L18" s="3">
        <v>28275.8620689655</v>
      </c>
      <c r="M18" s="3">
        <f>21233+15198</f>
        <v>36431</v>
      </c>
      <c r="N18" s="3">
        <v>68859</v>
      </c>
      <c r="O18" s="3">
        <v>39316</v>
      </c>
      <c r="P18" s="3">
        <v>5179</v>
      </c>
      <c r="Q18" s="3">
        <v>1033</v>
      </c>
      <c r="R18" s="3">
        <v>64024</v>
      </c>
      <c r="S18" s="3">
        <v>49218</v>
      </c>
      <c r="T18" s="3">
        <v>635340</v>
      </c>
      <c r="U18" s="3">
        <v>512619</v>
      </c>
      <c r="V18" s="3">
        <v>1022</v>
      </c>
      <c r="W18" s="3">
        <v>120851</v>
      </c>
      <c r="X18" s="3">
        <v>78965</v>
      </c>
      <c r="Y18" s="3">
        <v>38749</v>
      </c>
      <c r="Z18" s="3">
        <v>0</v>
      </c>
      <c r="AA18" s="3">
        <v>11568</v>
      </c>
      <c r="AB18" s="3">
        <v>0</v>
      </c>
      <c r="AC18" s="3">
        <v>6953</v>
      </c>
      <c r="AD18" s="3">
        <v>0</v>
      </c>
      <c r="AE18" s="3">
        <v>947</v>
      </c>
      <c r="AF18" s="5">
        <f t="shared" si="4"/>
        <v>3651237</v>
      </c>
      <c r="AG18" s="4">
        <f t="shared" si="1"/>
        <v>0.70964742922263269</v>
      </c>
      <c r="AH18" s="5">
        <f t="shared" si="5"/>
        <v>-1493905.291291981</v>
      </c>
      <c r="AI18" s="17">
        <f t="shared" si="6"/>
        <v>-7.9351619519181127E-2</v>
      </c>
      <c r="AJ18" s="17">
        <f t="shared" si="7"/>
        <v>0.11528328710943882</v>
      </c>
      <c r="AK18" s="14">
        <f t="shared" si="8"/>
        <v>0.11814784166705847</v>
      </c>
      <c r="AL18" s="14">
        <f t="shared" si="9"/>
        <v>-0.10167320810734404</v>
      </c>
      <c r="AN18" s="84">
        <f t="shared" si="10"/>
        <v>46037</v>
      </c>
      <c r="AO18" s="80">
        <f>+Tabla22[[#This Row],[Web + APP 2025]]+Tabla22[[#This Row],[Afiliados 2025]]+Tabla22[[#This Row],[TMK 2025]]+Tabla22[[#This Row],[WA 2025]]+Tabla22[[#This Row],[Ent. en Tienda 2025]]</f>
        <v>3311878.8620689656</v>
      </c>
      <c r="AP18" s="80">
        <f>+Tabla22[[#This Row],[Meli Drop 2025]]+Tabla22[[#This Row],[Meli Full 2025]]+Tabla22[[#This Row],[Amazon Drop 2025]]+Tabla22[[#This Row],[Amazon Full 2025]]+Tabla22[[#This Row],[TikTok 2025]]+Tabla22[[#This Row],[Shein 2025]]</f>
        <v>715327</v>
      </c>
      <c r="AQ18" s="80">
        <f t="shared" si="13"/>
        <v>2959550</v>
      </c>
      <c r="AR18" s="80">
        <f t="shared" si="14"/>
        <v>691687</v>
      </c>
      <c r="AS18" s="74">
        <f t="shared" si="15"/>
        <v>-0.10638337836090483</v>
      </c>
      <c r="AT18" s="74">
        <f t="shared" si="16"/>
        <v>-3.3047822883800038E-2</v>
      </c>
      <c r="AU18" s="80">
        <f t="shared" si="17"/>
        <v>4102430.091722501</v>
      </c>
      <c r="AV18" s="80">
        <f t="shared" si="18"/>
        <v>1042712.1995694803</v>
      </c>
      <c r="AW18" s="74">
        <f t="shared" si="19"/>
        <v>0.72141387758721409</v>
      </c>
      <c r="AX18" s="74">
        <f t="shared" si="20"/>
        <v>0.66335370420101236</v>
      </c>
      <c r="AY18" s="74">
        <f t="shared" si="21"/>
        <v>0.70964742922263269</v>
      </c>
    </row>
    <row r="19" spans="1:51" hidden="1" x14ac:dyDescent="0.3">
      <c r="A19" s="7">
        <v>45673</v>
      </c>
      <c r="B19" s="3">
        <f>+'BD MD'!B18</f>
        <v>34401698</v>
      </c>
      <c r="C19" s="3">
        <f t="shared" si="11"/>
        <v>3965940.8275862071</v>
      </c>
      <c r="D19" s="4">
        <f t="shared" si="12"/>
        <v>4.6047068991746487E-2</v>
      </c>
      <c r="E19" s="3">
        <v>32703579</v>
      </c>
      <c r="F19" s="7">
        <v>46038</v>
      </c>
      <c r="G19" s="3">
        <f>+Tabla22[[#This Row],[Meta Digital]]+Tabla22[[#This Row],[Meta MKPlace]]</f>
        <v>5066870.3253953187</v>
      </c>
      <c r="H19" s="3">
        <f>+Tabla2[[#This Row],[Meta Digital]]</f>
        <v>4040020.6868793718</v>
      </c>
      <c r="I19" s="3">
        <f>+Tabla2[[#This Row],[Meta MKPlace]]</f>
        <v>1026849.6385159467</v>
      </c>
      <c r="J19" s="3">
        <v>2652789</v>
      </c>
      <c r="K19" s="3">
        <v>2640237</v>
      </c>
      <c r="L19" s="3">
        <v>24219.827586206891</v>
      </c>
      <c r="M19" s="3">
        <f>19101+16772</f>
        <v>35873</v>
      </c>
      <c r="N19" s="3">
        <v>86898</v>
      </c>
      <c r="O19" s="3">
        <v>-6459</v>
      </c>
      <c r="P19" s="3">
        <v>9752</v>
      </c>
      <c r="Q19" s="3">
        <v>3002</v>
      </c>
      <c r="R19" s="3">
        <v>63370</v>
      </c>
      <c r="S19" s="3">
        <v>52074</v>
      </c>
      <c r="T19" s="3">
        <v>467016</v>
      </c>
      <c r="U19" s="3">
        <v>435351</v>
      </c>
      <c r="V19" s="3">
        <v>578857</v>
      </c>
      <c r="W19" s="3">
        <v>150561</v>
      </c>
      <c r="X19" s="3">
        <v>83039</v>
      </c>
      <c r="Y19" s="3">
        <v>53754</v>
      </c>
      <c r="Z19" s="3">
        <v>0</v>
      </c>
      <c r="AA19" s="3">
        <v>6324</v>
      </c>
      <c r="AB19" s="3">
        <v>0</v>
      </c>
      <c r="AC19" s="3">
        <v>8858</v>
      </c>
      <c r="AD19" s="3">
        <v>0</v>
      </c>
      <c r="AE19" s="3">
        <v>947</v>
      </c>
      <c r="AF19" s="5">
        <f t="shared" si="4"/>
        <v>3380522</v>
      </c>
      <c r="AG19" s="4">
        <f t="shared" si="1"/>
        <v>0.66718147157954955</v>
      </c>
      <c r="AH19" s="5">
        <f t="shared" si="5"/>
        <v>-1686348.3253953187</v>
      </c>
      <c r="AI19" s="17">
        <f t="shared" si="6"/>
        <v>0.38939152347505024</v>
      </c>
      <c r="AJ19" s="17">
        <f t="shared" si="7"/>
        <v>7.3679759498603212E-2</v>
      </c>
      <c r="AK19" s="14">
        <f t="shared" si="8"/>
        <v>0.10336856403392423</v>
      </c>
      <c r="AL19" s="14">
        <f t="shared" si="9"/>
        <v>-9.6599071895485666E-3</v>
      </c>
      <c r="AN19" s="84">
        <f t="shared" si="10"/>
        <v>46038</v>
      </c>
      <c r="AO19" s="80">
        <f>+Tabla22[[#This Row],[Web + APP 2025]]+Tabla22[[#This Row],[Afiliados 2025]]+Tabla22[[#This Row],[TMK 2025]]+Tabla22[[#This Row],[WA 2025]]+Tabla22[[#This Row],[Ent. en Tienda 2025]]</f>
        <v>2837028.8275862071</v>
      </c>
      <c r="AP19" s="80">
        <f>+Tabla22[[#This Row],[Meli Drop 2025]]+Tabla22[[#This Row],[Meli Full 2025]]+Tabla22[[#This Row],[Amazon Drop 2025]]+Tabla22[[#This Row],[Amazon Full 2025]]+Tabla22[[#This Row],[TikTok 2025]]+Tabla22[[#This Row],[Shein 2025]]</f>
        <v>1128912</v>
      </c>
      <c r="AQ19" s="80">
        <f t="shared" si="13"/>
        <v>2724727</v>
      </c>
      <c r="AR19" s="80">
        <f t="shared" si="14"/>
        <v>655795</v>
      </c>
      <c r="AS19" s="74">
        <f t="shared" si="15"/>
        <v>-3.9584309646143234E-2</v>
      </c>
      <c r="AT19" s="74">
        <f t="shared" si="16"/>
        <v>-0.41909112490610434</v>
      </c>
      <c r="AU19" s="80">
        <f t="shared" si="17"/>
        <v>4040020.6868793718</v>
      </c>
      <c r="AV19" s="80">
        <f t="shared" si="18"/>
        <v>1026849.6385159467</v>
      </c>
      <c r="AW19" s="74">
        <f t="shared" si="19"/>
        <v>0.67443392278881065</v>
      </c>
      <c r="AX19" s="74">
        <f t="shared" si="20"/>
        <v>0.6386475442965408</v>
      </c>
      <c r="AY19" s="74">
        <f t="shared" si="21"/>
        <v>0.66718147157954955</v>
      </c>
    </row>
    <row r="20" spans="1:51" hidden="1" x14ac:dyDescent="0.3">
      <c r="A20" s="63">
        <v>45674</v>
      </c>
      <c r="B20" s="3">
        <f>+'BD MD'!B19</f>
        <v>33022574</v>
      </c>
      <c r="C20" s="3">
        <f t="shared" si="11"/>
        <v>2433095.3103448274</v>
      </c>
      <c r="D20" s="4">
        <f t="shared" si="12"/>
        <v>2.8249767833054683E-2</v>
      </c>
      <c r="E20" s="3">
        <v>45086574</v>
      </c>
      <c r="F20" s="7">
        <v>46039</v>
      </c>
      <c r="G20" s="3">
        <f>+Tabla22[[#This Row],[Meta Digital]]+Tabla22[[#This Row],[Meta MKPlace]]</f>
        <v>3108512.951351326</v>
      </c>
      <c r="H20" s="3">
        <f>+Tabla2[[#This Row],[Meta Digital]]</f>
        <v>2478543.1286742063</v>
      </c>
      <c r="I20" s="3">
        <f>+Tabla2[[#This Row],[Meta MKPlace]]</f>
        <v>629969.8226771194</v>
      </c>
      <c r="J20" s="3">
        <v>1736223</v>
      </c>
      <c r="K20" s="3">
        <v>2128824</v>
      </c>
      <c r="L20" s="3">
        <v>19429.310344827587</v>
      </c>
      <c r="M20" s="3">
        <f>23452+18396</f>
        <v>41848</v>
      </c>
      <c r="N20" s="3">
        <v>37364</v>
      </c>
      <c r="O20" s="3">
        <v>39673</v>
      </c>
      <c r="P20" s="3">
        <v>4728</v>
      </c>
      <c r="Q20" s="3">
        <v>3597</v>
      </c>
      <c r="R20" s="3">
        <v>83214</v>
      </c>
      <c r="S20" s="3">
        <v>57603</v>
      </c>
      <c r="T20" s="3">
        <v>307736</v>
      </c>
      <c r="U20" s="3">
        <v>457229</v>
      </c>
      <c r="V20" s="3">
        <v>197102</v>
      </c>
      <c r="W20" s="3">
        <v>118233</v>
      </c>
      <c r="X20" s="3">
        <v>47299</v>
      </c>
      <c r="Y20" s="3">
        <v>37402</v>
      </c>
      <c r="Z20" s="3">
        <v>0</v>
      </c>
      <c r="AA20" s="3">
        <v>6671</v>
      </c>
      <c r="AB20" s="3">
        <v>0</v>
      </c>
      <c r="AC20" s="3">
        <v>930</v>
      </c>
      <c r="AD20" s="3">
        <v>0</v>
      </c>
      <c r="AE20" s="3">
        <v>0</v>
      </c>
      <c r="AF20" s="5">
        <f t="shared" si="4"/>
        <v>2892010</v>
      </c>
      <c r="AG20" s="4">
        <f t="shared" si="1"/>
        <v>0.93035160067220946</v>
      </c>
      <c r="AH20" s="5">
        <f t="shared" si="5"/>
        <v>-216502.95135132596</v>
      </c>
      <c r="AI20" s="17">
        <f t="shared" si="6"/>
        <v>-0.14007765440637321</v>
      </c>
      <c r="AJ20" s="17">
        <f t="shared" si="7"/>
        <v>7.4387092788570072E-2</v>
      </c>
      <c r="AK20" s="14">
        <f t="shared" si="8"/>
        <v>6.4143485375491166E-2</v>
      </c>
      <c r="AL20" s="14">
        <f t="shared" si="9"/>
        <v>-2.7494929815679026E-3</v>
      </c>
      <c r="AN20" s="84">
        <f t="shared" si="10"/>
        <v>46039</v>
      </c>
      <c r="AO20" s="80">
        <f>+Tabla22[[#This Row],[Web + APP 2025]]+Tabla22[[#This Row],[Afiliados 2025]]+Tabla22[[#This Row],[TMK 2025]]+Tabla22[[#This Row],[WA 2025]]+Tabla22[[#This Row],[Ent. en Tienda 2025]]</f>
        <v>1880958.3103448276</v>
      </c>
      <c r="AP20" s="80">
        <f>+Tabla22[[#This Row],[Meli Drop 2025]]+Tabla22[[#This Row],[Meli Full 2025]]+Tabla22[[#This Row],[Amazon Drop 2025]]+Tabla22[[#This Row],[Amazon Full 2025]]+Tabla22[[#This Row],[TikTok 2025]]+Tabla22[[#This Row],[Shein 2025]]</f>
        <v>552137</v>
      </c>
      <c r="AQ20" s="80">
        <f t="shared" si="13"/>
        <v>2271545</v>
      </c>
      <c r="AR20" s="80">
        <f t="shared" si="14"/>
        <v>620465</v>
      </c>
      <c r="AS20" s="74">
        <f t="shared" si="15"/>
        <v>0.20765302851585687</v>
      </c>
      <c r="AT20" s="74">
        <f t="shared" si="16"/>
        <v>0.12375189491014016</v>
      </c>
      <c r="AU20" s="80">
        <f t="shared" si="17"/>
        <v>2478543.1286742063</v>
      </c>
      <c r="AV20" s="80">
        <f t="shared" si="18"/>
        <v>629969.8226771194</v>
      </c>
      <c r="AW20" s="74">
        <f t="shared" si="19"/>
        <v>0.91648395128595916</v>
      </c>
      <c r="AX20" s="74">
        <f t="shared" si="20"/>
        <v>0.98491225716697395</v>
      </c>
      <c r="AY20" s="74">
        <f t="shared" si="21"/>
        <v>0.93035160067220946</v>
      </c>
    </row>
    <row r="21" spans="1:51" hidden="1" x14ac:dyDescent="0.3">
      <c r="A21" s="7">
        <v>45675</v>
      </c>
      <c r="B21" s="3">
        <f>+'BD MD'!B20</f>
        <v>45210881</v>
      </c>
      <c r="C21" s="3">
        <f t="shared" si="11"/>
        <v>3363106</v>
      </c>
      <c r="D21" s="4">
        <f t="shared" si="12"/>
        <v>3.9047777246542986E-2</v>
      </c>
      <c r="E21" s="3">
        <v>44463837</v>
      </c>
      <c r="F21" s="7">
        <v>46040</v>
      </c>
      <c r="G21" s="3">
        <f>+Tabla22[[#This Row],[Meta Digital]]+Tabla22[[#This Row],[Meta MKPlace]]</f>
        <v>4296690.932459088</v>
      </c>
      <c r="H21" s="3">
        <f>+Tabla2[[#This Row],[Meta Digital]]</f>
        <v>3425925.4998611794</v>
      </c>
      <c r="I21" s="3">
        <f>+Tabla2[[#This Row],[Meta MKPlace]]</f>
        <v>870765.43259790854</v>
      </c>
      <c r="J21" s="3">
        <v>2580220</v>
      </c>
      <c r="K21" s="3">
        <v>2552466</v>
      </c>
      <c r="L21" s="3">
        <v>28299.999999999993</v>
      </c>
      <c r="M21" s="3">
        <f>20869+16163</f>
        <v>37032</v>
      </c>
      <c r="N21" s="3">
        <v>17517</v>
      </c>
      <c r="O21" s="3">
        <v>-1059</v>
      </c>
      <c r="P21" s="3">
        <v>6155</v>
      </c>
      <c r="Q21" s="3">
        <v>2557</v>
      </c>
      <c r="R21" s="3">
        <v>63991</v>
      </c>
      <c r="S21" s="3">
        <v>43820</v>
      </c>
      <c r="T21" s="3">
        <v>488099</v>
      </c>
      <c r="U21" s="3">
        <v>167676</v>
      </c>
      <c r="V21" s="3">
        <v>140441</v>
      </c>
      <c r="W21" s="3">
        <v>113618</v>
      </c>
      <c r="X21" s="3">
        <v>38383</v>
      </c>
      <c r="Y21" s="3">
        <v>53156</v>
      </c>
      <c r="Z21" s="3">
        <v>0</v>
      </c>
      <c r="AA21" s="3">
        <v>3354</v>
      </c>
      <c r="AB21" s="3">
        <v>0</v>
      </c>
      <c r="AC21" s="3">
        <v>586</v>
      </c>
      <c r="AD21" s="3">
        <v>0</v>
      </c>
      <c r="AE21" s="3">
        <v>0</v>
      </c>
      <c r="AF21" s="5">
        <f t="shared" si="4"/>
        <v>2973206</v>
      </c>
      <c r="AG21" s="4">
        <f t="shared" si="1"/>
        <v>0.69197576617370771</v>
      </c>
      <c r="AH21" s="5">
        <f t="shared" si="5"/>
        <v>-1323484.932459088</v>
      </c>
      <c r="AI21" s="17">
        <f t="shared" si="6"/>
        <v>0.15947741726666975</v>
      </c>
      <c r="AJ21" s="17">
        <f t="shared" si="7"/>
        <v>6.0481443791329512E-2</v>
      </c>
      <c r="AK21" s="14">
        <f t="shared" si="8"/>
        <v>6.6867958336569111E-2</v>
      </c>
      <c r="AL21" s="14">
        <f t="shared" si="9"/>
        <v>4.8736494791087992E-2</v>
      </c>
      <c r="AN21" s="84">
        <f t="shared" si="10"/>
        <v>46040</v>
      </c>
      <c r="AO21" s="80">
        <f>+Tabla22[[#This Row],[Web + APP 2025]]+Tabla22[[#This Row],[Afiliados 2025]]+Tabla22[[#This Row],[TMK 2025]]+Tabla22[[#This Row],[WA 2025]]+Tabla22[[#This Row],[Ent. en Tienda 2025]]</f>
        <v>2696183</v>
      </c>
      <c r="AP21" s="80">
        <f>+Tabla22[[#This Row],[Meli Drop 2025]]+Tabla22[[#This Row],[Meli Full 2025]]+Tabla22[[#This Row],[Amazon Drop 2025]]+Tabla22[[#This Row],[Amazon Full 2025]]+Tabla22[[#This Row],[TikTok 2025]]+Tabla22[[#This Row],[Shein 2025]]</f>
        <v>666923</v>
      </c>
      <c r="AQ21" s="80">
        <f t="shared" si="13"/>
        <v>2634816</v>
      </c>
      <c r="AR21" s="80">
        <f t="shared" si="14"/>
        <v>338390</v>
      </c>
      <c r="AS21" s="74">
        <f t="shared" si="15"/>
        <v>-2.2760695397901376E-2</v>
      </c>
      <c r="AT21" s="74">
        <f t="shared" si="16"/>
        <v>-0.49261009141984902</v>
      </c>
      <c r="AU21" s="80">
        <f t="shared" si="17"/>
        <v>3425925.4998611794</v>
      </c>
      <c r="AV21" s="80">
        <f t="shared" si="18"/>
        <v>870765.43259790854</v>
      </c>
      <c r="AW21" s="74">
        <f t="shared" si="19"/>
        <v>0.76908152267373131</v>
      </c>
      <c r="AX21" s="74">
        <f t="shared" si="20"/>
        <v>0.38861211909896476</v>
      </c>
      <c r="AY21" s="74">
        <f t="shared" si="21"/>
        <v>0.69197576617370771</v>
      </c>
    </row>
    <row r="22" spans="1:51" hidden="1" x14ac:dyDescent="0.3">
      <c r="A22" s="63">
        <v>45676</v>
      </c>
      <c r="B22" s="3">
        <f>+'BD MD'!B21</f>
        <v>42397530</v>
      </c>
      <c r="C22" s="3">
        <f t="shared" si="11"/>
        <v>2564263.8275862066</v>
      </c>
      <c r="D22" s="4">
        <f t="shared" si="12"/>
        <v>2.9772716869748951E-2</v>
      </c>
      <c r="E22" s="3">
        <v>25877600</v>
      </c>
      <c r="F22" s="7">
        <v>46041</v>
      </c>
      <c r="G22" s="3">
        <f>+Tabla22[[#This Row],[Meta Digital]]+Tabla22[[#This Row],[Meta MKPlace]]</f>
        <v>3276093.3305172333</v>
      </c>
      <c r="H22" s="3">
        <f>+Tabla2[[#This Row],[Meta Digital]]</f>
        <v>2612161.7443218315</v>
      </c>
      <c r="I22" s="3">
        <f>+Tabla2[[#This Row],[Meta MKPlace]]</f>
        <v>663931.58619540161</v>
      </c>
      <c r="J22" s="3">
        <v>2028149</v>
      </c>
      <c r="K22" s="3">
        <v>3650682</v>
      </c>
      <c r="L22" s="3">
        <v>25069.827586206891</v>
      </c>
      <c r="M22" s="3">
        <f>16838+12441</f>
        <v>29279</v>
      </c>
      <c r="N22" s="3">
        <v>22533</v>
      </c>
      <c r="O22" s="3">
        <v>39416</v>
      </c>
      <c r="P22" s="3">
        <v>9941</v>
      </c>
      <c r="Q22" s="3">
        <v>1876</v>
      </c>
      <c r="R22" s="3">
        <v>65234</v>
      </c>
      <c r="S22" s="3">
        <v>66465</v>
      </c>
      <c r="T22" s="3">
        <v>193047</v>
      </c>
      <c r="U22" s="3">
        <v>827888</v>
      </c>
      <c r="V22" s="3">
        <v>170098</v>
      </c>
      <c r="W22" s="3">
        <v>129619</v>
      </c>
      <c r="X22" s="3">
        <v>50192</v>
      </c>
      <c r="Y22" s="3">
        <v>40872</v>
      </c>
      <c r="Z22" s="3">
        <v>0</v>
      </c>
      <c r="AA22" s="3">
        <v>7344</v>
      </c>
      <c r="AB22" s="3">
        <v>0</v>
      </c>
      <c r="AC22" s="3">
        <v>6161</v>
      </c>
      <c r="AD22" s="3">
        <v>0</v>
      </c>
      <c r="AE22" s="3">
        <v>861</v>
      </c>
      <c r="AF22" s="5">
        <f t="shared" si="4"/>
        <v>4800463</v>
      </c>
      <c r="AG22" s="4">
        <f t="shared" si="1"/>
        <v>1.4653010508837052</v>
      </c>
      <c r="AH22" s="5">
        <f t="shared" si="5"/>
        <v>1524369.6694827667</v>
      </c>
      <c r="AI22" s="17">
        <f t="shared" si="6"/>
        <v>0.21839481270828798</v>
      </c>
      <c r="AJ22" s="17">
        <f t="shared" si="7"/>
        <v>0.16207265010517771</v>
      </c>
      <c r="AK22" s="14">
        <f t="shared" si="8"/>
        <v>0.18550649982996878</v>
      </c>
      <c r="AL22" s="14">
        <f t="shared" si="9"/>
        <v>6.4482788209734965E-2</v>
      </c>
      <c r="AN22" s="84">
        <f t="shared" si="10"/>
        <v>46041</v>
      </c>
      <c r="AO22" s="80">
        <f>+Tabla22[[#This Row],[Web + APP 2025]]+Tabla22[[#This Row],[Afiliados 2025]]+Tabla22[[#This Row],[TMK 2025]]+Tabla22[[#This Row],[WA 2025]]+Tabla22[[#This Row],[Ent. en Tienda 2025]]</f>
        <v>2150926.8275862066</v>
      </c>
      <c r="AP22" s="80">
        <f>+Tabla22[[#This Row],[Meli Drop 2025]]+Tabla22[[#This Row],[Meli Full 2025]]+Tabla22[[#This Row],[Amazon Drop 2025]]+Tabla22[[#This Row],[Amazon Full 2025]]+Tabla22[[#This Row],[TikTok 2025]]+Tabla22[[#This Row],[Shein 2025]]</f>
        <v>413337</v>
      </c>
      <c r="AQ22" s="80">
        <f t="shared" si="13"/>
        <v>3787718</v>
      </c>
      <c r="AR22" s="80">
        <f t="shared" si="14"/>
        <v>1012745</v>
      </c>
      <c r="AS22" s="74">
        <f t="shared" si="15"/>
        <v>0.76097017872552097</v>
      </c>
      <c r="AT22" s="74">
        <f t="shared" si="16"/>
        <v>1.4501677807696867</v>
      </c>
      <c r="AU22" s="80">
        <f t="shared" si="17"/>
        <v>2612161.7443218315</v>
      </c>
      <c r="AV22" s="80">
        <f t="shared" si="18"/>
        <v>663931.58619540161</v>
      </c>
      <c r="AW22" s="74">
        <f t="shared" si="19"/>
        <v>1.4500319546572971</v>
      </c>
      <c r="AX22" s="74">
        <f t="shared" si="20"/>
        <v>1.5253755372649782</v>
      </c>
      <c r="AY22" s="74">
        <f t="shared" si="21"/>
        <v>1.4653010508837052</v>
      </c>
    </row>
    <row r="23" spans="1:51" hidden="1" x14ac:dyDescent="0.3">
      <c r="A23" s="7">
        <v>45677</v>
      </c>
      <c r="B23" s="3">
        <f>+'BD MD'!B22</f>
        <v>24310022</v>
      </c>
      <c r="C23" s="3">
        <f t="shared" si="11"/>
        <v>3939989.6896551726</v>
      </c>
      <c r="D23" s="4">
        <f t="shared" si="12"/>
        <v>4.5745759947896744E-2</v>
      </c>
      <c r="E23" s="3">
        <v>26671750</v>
      </c>
      <c r="F23" s="7">
        <v>46042</v>
      </c>
      <c r="G23" s="3">
        <f>+Tabla22[[#This Row],[Meta Digital]]+Tabla22[[#This Row],[Meta MKPlace]]</f>
        <v>5033715.2541500861</v>
      </c>
      <c r="H23" s="3">
        <f>+Tabla2[[#This Row],[Meta Digital]]</f>
        <v>4013584.8073119884</v>
      </c>
      <c r="I23" s="3">
        <f>+Tabla2[[#This Row],[Meta MKPlace]]</f>
        <v>1020130.4468380974</v>
      </c>
      <c r="J23" s="3">
        <v>3051836</v>
      </c>
      <c r="K23" s="3">
        <v>3539014</v>
      </c>
      <c r="L23" s="3">
        <v>24870.689655172406</v>
      </c>
      <c r="M23" s="3">
        <f>16964+18297</f>
        <v>35261</v>
      </c>
      <c r="N23" s="3">
        <v>62489</v>
      </c>
      <c r="O23" s="3">
        <v>50393</v>
      </c>
      <c r="P23" s="3">
        <v>2112</v>
      </c>
      <c r="Q23" s="3">
        <v>1403</v>
      </c>
      <c r="R23" s="3">
        <v>23575</v>
      </c>
      <c r="S23" s="3">
        <v>82775</v>
      </c>
      <c r="T23" s="3">
        <v>601975</v>
      </c>
      <c r="U23" s="3">
        <v>541048</v>
      </c>
      <c r="V23" s="3">
        <v>119622</v>
      </c>
      <c r="W23" s="3">
        <v>103829</v>
      </c>
      <c r="X23" s="3">
        <v>47661</v>
      </c>
      <c r="Y23" s="3">
        <v>59350</v>
      </c>
      <c r="Z23" s="3">
        <v>5849</v>
      </c>
      <c r="AA23" s="3">
        <v>5233</v>
      </c>
      <c r="AB23" s="3">
        <v>0</v>
      </c>
      <c r="AC23" s="3">
        <v>8443</v>
      </c>
      <c r="AD23" s="3">
        <v>0</v>
      </c>
      <c r="AE23" s="3">
        <v>0</v>
      </c>
      <c r="AF23" s="5">
        <f t="shared" si="4"/>
        <v>4426749</v>
      </c>
      <c r="AG23" s="4">
        <f t="shared" si="1"/>
        <v>0.87941982740289726</v>
      </c>
      <c r="AH23" s="5">
        <f t="shared" si="5"/>
        <v>-606966.25415008608</v>
      </c>
      <c r="AI23" s="17">
        <f t="shared" si="6"/>
        <v>7.2818113938435181E-2</v>
      </c>
      <c r="AJ23" s="17">
        <f t="shared" si="7"/>
        <v>0.16321942835556549</v>
      </c>
      <c r="AK23" s="14">
        <f t="shared" si="8"/>
        <v>0.16597144919249768</v>
      </c>
      <c r="AL23" s="14">
        <f t="shared" si="9"/>
        <v>5.5029404987821717E-2</v>
      </c>
      <c r="AN23" s="84">
        <f t="shared" si="10"/>
        <v>46042</v>
      </c>
      <c r="AO23" s="80">
        <f>+Tabla22[[#This Row],[Web + APP 2025]]+Tabla22[[#This Row],[Afiliados 2025]]+Tabla22[[#This Row],[TMK 2025]]+Tabla22[[#This Row],[WA 2025]]+Tabla22[[#This Row],[Ent. en Tienda 2025]]</f>
        <v>3164882.6896551726</v>
      </c>
      <c r="AP23" s="80">
        <f>+Tabla22[[#This Row],[Meli Drop 2025]]+Tabla22[[#This Row],[Meli Full 2025]]+Tabla22[[#This Row],[Amazon Drop 2025]]+Tabla22[[#This Row],[Amazon Full 2025]]+Tabla22[[#This Row],[TikTok 2025]]+Tabla22[[#This Row],[Shein 2025]]</f>
        <v>775107</v>
      </c>
      <c r="AQ23" s="80">
        <f t="shared" si="13"/>
        <v>3708846</v>
      </c>
      <c r="AR23" s="80">
        <f t="shared" si="14"/>
        <v>717903</v>
      </c>
      <c r="AS23" s="74">
        <f t="shared" si="15"/>
        <v>0.17187471501640217</v>
      </c>
      <c r="AT23" s="74">
        <f t="shared" si="16"/>
        <v>-7.3801423545394429E-2</v>
      </c>
      <c r="AU23" s="80">
        <f t="shared" si="17"/>
        <v>4013584.8073119884</v>
      </c>
      <c r="AV23" s="80">
        <f t="shared" si="18"/>
        <v>1020130.4468380974</v>
      </c>
      <c r="AW23" s="74">
        <f t="shared" si="19"/>
        <v>0.92407316104126858</v>
      </c>
      <c r="AX23" s="74">
        <f t="shared" si="20"/>
        <v>0.70373647039468934</v>
      </c>
      <c r="AY23" s="74">
        <f t="shared" si="21"/>
        <v>0.87941982740289726</v>
      </c>
    </row>
    <row r="24" spans="1:51" hidden="1" x14ac:dyDescent="0.3">
      <c r="A24" s="63">
        <v>45678</v>
      </c>
      <c r="B24" s="3">
        <f>+'BD MD'!B23</f>
        <v>25280575</v>
      </c>
      <c r="C24" s="3">
        <f t="shared" si="11"/>
        <v>4126281</v>
      </c>
      <c r="D24" s="4">
        <f t="shared" si="12"/>
        <v>4.7908719304310551E-2</v>
      </c>
      <c r="E24" s="3">
        <v>28758026</v>
      </c>
      <c r="F24" s="7">
        <v>46043</v>
      </c>
      <c r="G24" s="3">
        <f>+Tabla22[[#This Row],[Meta Digital]]+Tabla22[[#This Row],[Meta MKPlace]]</f>
        <v>5271720.295904506</v>
      </c>
      <c r="H24" s="3">
        <f>+Tabla2[[#This Row],[Meta Digital]]</f>
        <v>4203355.8554183803</v>
      </c>
      <c r="I24" s="3">
        <f>+Tabla2[[#This Row],[Meta MKPlace]]</f>
        <v>1068364.4404861252</v>
      </c>
      <c r="J24" s="3">
        <v>2969811</v>
      </c>
      <c r="K24" s="3">
        <v>3499850</v>
      </c>
      <c r="L24" s="3">
        <v>20874.999999999993</v>
      </c>
      <c r="M24" s="3">
        <f>13419+17382</f>
        <v>30801</v>
      </c>
      <c r="N24" s="3">
        <v>56684</v>
      </c>
      <c r="O24" s="3">
        <v>35803</v>
      </c>
      <c r="P24" s="3">
        <v>6612</v>
      </c>
      <c r="Q24" s="3">
        <v>5841</v>
      </c>
      <c r="R24" s="3">
        <v>40784</v>
      </c>
      <c r="S24" s="3">
        <v>48687</v>
      </c>
      <c r="T24" s="3">
        <v>884541</v>
      </c>
      <c r="U24" s="3">
        <v>482866</v>
      </c>
      <c r="V24" s="3">
        <v>85285</v>
      </c>
      <c r="W24" s="3">
        <v>118197</v>
      </c>
      <c r="X24" s="3">
        <v>44091</v>
      </c>
      <c r="Y24" s="3">
        <v>45226</v>
      </c>
      <c r="Z24" s="3">
        <v>17598</v>
      </c>
      <c r="AA24" s="3">
        <v>2767</v>
      </c>
      <c r="AB24" s="3">
        <v>0</v>
      </c>
      <c r="AC24" s="3">
        <v>9702</v>
      </c>
      <c r="AD24" s="3">
        <v>0</v>
      </c>
      <c r="AE24" s="3">
        <v>0</v>
      </c>
      <c r="AF24" s="5">
        <f t="shared" si="4"/>
        <v>4279740</v>
      </c>
      <c r="AG24" s="4">
        <f t="shared" si="1"/>
        <v>0.81182986952567349</v>
      </c>
      <c r="AH24" s="5">
        <f t="shared" si="5"/>
        <v>-991980.295904506</v>
      </c>
      <c r="AI24" s="17">
        <f t="shared" si="6"/>
        <v>0.23412692754306086</v>
      </c>
      <c r="AJ24" s="17">
        <f t="shared" si="7"/>
        <v>0.12693205599114116</v>
      </c>
      <c r="AK24" s="14">
        <f t="shared" si="8"/>
        <v>0.14881897665715998</v>
      </c>
      <c r="AL24" s="14">
        <f t="shared" si="9"/>
        <v>5.2622936844620938E-2</v>
      </c>
      <c r="AN24" s="84">
        <f t="shared" si="10"/>
        <v>46043</v>
      </c>
      <c r="AO24" s="80">
        <f>+Tabla22[[#This Row],[Web + APP 2025]]+Tabla22[[#This Row],[Afiliados 2025]]+Tabla22[[#This Row],[TMK 2025]]+Tabla22[[#This Row],[WA 2025]]+Tabla22[[#This Row],[Ent. en Tienda 2025]]</f>
        <v>3094766</v>
      </c>
      <c r="AP24" s="80">
        <f>+Tabla22[[#This Row],[Meli Drop 2025]]+Tabla22[[#This Row],[Meli Full 2025]]+Tabla22[[#This Row],[Amazon Drop 2025]]+Tabla22[[#This Row],[Amazon Full 2025]]+Tabla22[[#This Row],[TikTok 2025]]+Tabla22[[#This Row],[Shein 2025]]</f>
        <v>1031515</v>
      </c>
      <c r="AQ24" s="80">
        <f t="shared" si="13"/>
        <v>3620982</v>
      </c>
      <c r="AR24" s="80">
        <f t="shared" si="14"/>
        <v>658758</v>
      </c>
      <c r="AS24" s="74">
        <f t="shared" si="15"/>
        <v>0.17003418029020612</v>
      </c>
      <c r="AT24" s="74">
        <f t="shared" si="16"/>
        <v>-0.36136847258643845</v>
      </c>
      <c r="AU24" s="80">
        <f t="shared" si="17"/>
        <v>4203355.8554183803</v>
      </c>
      <c r="AV24" s="80">
        <f t="shared" si="18"/>
        <v>1068364.4404861252</v>
      </c>
      <c r="AW24" s="74">
        <f t="shared" si="19"/>
        <v>0.86145026130308111</v>
      </c>
      <c r="AX24" s="74">
        <f t="shared" si="20"/>
        <v>0.61660419893819485</v>
      </c>
      <c r="AY24" s="74">
        <f t="shared" si="21"/>
        <v>0.81182986952567349</v>
      </c>
    </row>
    <row r="25" spans="1:51" hidden="1" x14ac:dyDescent="0.3">
      <c r="A25" s="7">
        <v>45679</v>
      </c>
      <c r="B25" s="3">
        <f>+'BD MD'!B24</f>
        <v>27320349</v>
      </c>
      <c r="C25" s="3">
        <f t="shared" si="11"/>
        <v>3467828.0689655175</v>
      </c>
      <c r="D25" s="4">
        <f t="shared" si="12"/>
        <v>4.0263666374558173E-2</v>
      </c>
      <c r="E25" s="3">
        <v>30590251</v>
      </c>
      <c r="F25" s="7">
        <v>46044</v>
      </c>
      <c r="G25" s="3">
        <f>+Tabla22[[#This Row],[Meta Digital]]+Tabla22[[#This Row],[Meta MKPlace]]</f>
        <v>4430483.4338409938</v>
      </c>
      <c r="H25" s="3">
        <f>+Tabla2[[#This Row],[Meta Digital]]</f>
        <v>3532603.6736883461</v>
      </c>
      <c r="I25" s="3">
        <f>+Tabla2[[#This Row],[Meta MKPlace]]</f>
        <v>897879.76015264727</v>
      </c>
      <c r="J25" s="3">
        <v>2805417</v>
      </c>
      <c r="K25" s="3">
        <v>2626517</v>
      </c>
      <c r="L25" s="3">
        <v>19287.068965517239</v>
      </c>
      <c r="M25" s="3">
        <f>13884+15409</f>
        <v>29293</v>
      </c>
      <c r="N25" s="3">
        <v>90551</v>
      </c>
      <c r="O25" s="3">
        <v>89330</v>
      </c>
      <c r="P25" s="3">
        <v>1592</v>
      </c>
      <c r="Q25" s="3">
        <v>878</v>
      </c>
      <c r="R25" s="3">
        <v>36254</v>
      </c>
      <c r="S25" s="3">
        <v>73394</v>
      </c>
      <c r="T25" s="3">
        <v>374553</v>
      </c>
      <c r="U25" s="3">
        <v>421869</v>
      </c>
      <c r="V25" s="3">
        <v>69855</v>
      </c>
      <c r="W25" s="3">
        <v>87416</v>
      </c>
      <c r="X25" s="3">
        <v>52088</v>
      </c>
      <c r="Y25" s="3">
        <v>44135</v>
      </c>
      <c r="Z25" s="3">
        <v>18231</v>
      </c>
      <c r="AA25" s="3">
        <v>5521</v>
      </c>
      <c r="AB25" s="3">
        <v>0</v>
      </c>
      <c r="AC25" s="3">
        <v>12903</v>
      </c>
      <c r="AD25" s="3">
        <v>0</v>
      </c>
      <c r="AE25" s="3">
        <v>0</v>
      </c>
      <c r="AF25" s="5">
        <f t="shared" si="4"/>
        <v>3391256</v>
      </c>
      <c r="AG25" s="4">
        <f t="shared" si="1"/>
        <v>0.76543701170324907</v>
      </c>
      <c r="AH25" s="5">
        <f t="shared" si="5"/>
        <v>-1039227.4338409938</v>
      </c>
      <c r="AI25" s="17">
        <f t="shared" si="6"/>
        <v>0.46494247318480575</v>
      </c>
      <c r="AJ25" s="17">
        <f t="shared" si="7"/>
        <v>8.0202948521850101E-2</v>
      </c>
      <c r="AK25" s="14">
        <f t="shared" si="8"/>
        <v>0.11086067910982489</v>
      </c>
      <c r="AL25" s="14">
        <f t="shared" si="9"/>
        <v>5.9823074400597642E-2</v>
      </c>
      <c r="AN25" s="84">
        <f t="shared" si="10"/>
        <v>46044</v>
      </c>
      <c r="AO25" s="80">
        <f>+Tabla22[[#This Row],[Web + APP 2025]]+Tabla22[[#This Row],[Afiliados 2025]]+Tabla22[[#This Row],[TMK 2025]]+Tabla22[[#This Row],[WA 2025]]+Tabla22[[#This Row],[Ent. en Tienda 2025]]</f>
        <v>2953101.0689655175</v>
      </c>
      <c r="AP25" s="80">
        <f>+Tabla22[[#This Row],[Meli Drop 2025]]+Tabla22[[#This Row],[Meli Full 2025]]+Tabla22[[#This Row],[Amazon Drop 2025]]+Tabla22[[#This Row],[Amazon Full 2025]]+Tabla22[[#This Row],[TikTok 2025]]+Tabla22[[#This Row],[Shein 2025]]</f>
        <v>514727</v>
      </c>
      <c r="AQ25" s="80">
        <f t="shared" si="13"/>
        <v>2819412</v>
      </c>
      <c r="AR25" s="80">
        <f t="shared" si="14"/>
        <v>571844</v>
      </c>
      <c r="AS25" s="74">
        <f t="shared" si="15"/>
        <v>-4.5270739417106798E-2</v>
      </c>
      <c r="AT25" s="74">
        <f t="shared" si="16"/>
        <v>0.11096561866775989</v>
      </c>
      <c r="AU25" s="80">
        <f t="shared" si="17"/>
        <v>3532603.6736883461</v>
      </c>
      <c r="AV25" s="80">
        <f t="shared" si="18"/>
        <v>897879.76015264727</v>
      </c>
      <c r="AW25" s="74">
        <f t="shared" si="19"/>
        <v>0.79811160844326701</v>
      </c>
      <c r="AX25" s="74">
        <f t="shared" si="20"/>
        <v>0.63688260430637356</v>
      </c>
      <c r="AY25" s="74">
        <f t="shared" si="21"/>
        <v>0.76543701170324907</v>
      </c>
    </row>
    <row r="26" spans="1:51" hidden="1" x14ac:dyDescent="0.3">
      <c r="A26" s="63">
        <v>45680</v>
      </c>
      <c r="B26" s="3">
        <f>+'BD MD'!B25</f>
        <v>28863545</v>
      </c>
      <c r="C26" s="3">
        <f t="shared" si="11"/>
        <v>2314941.4137931038</v>
      </c>
      <c r="D26" s="4">
        <f t="shared" si="12"/>
        <v>2.6877926733379923E-2</v>
      </c>
      <c r="E26" s="3">
        <v>31338795</v>
      </c>
      <c r="F26" s="7">
        <v>46045</v>
      </c>
      <c r="G26" s="3">
        <f>+Tabla22[[#This Row],[Meta Digital]]+Tabla22[[#This Row],[Meta MKPlace]]</f>
        <v>2957560.0001364369</v>
      </c>
      <c r="H26" s="3">
        <f>+Tabla2[[#This Row],[Meta Digital]]</f>
        <v>2358182.2339820648</v>
      </c>
      <c r="I26" s="3">
        <f>+Tabla2[[#This Row],[Meta MKPlace]]</f>
        <v>599377.76615437225</v>
      </c>
      <c r="J26" s="3">
        <v>1788443</v>
      </c>
      <c r="K26" s="3">
        <v>2207677</v>
      </c>
      <c r="L26" s="3">
        <v>22197.413793103442</v>
      </c>
      <c r="M26" s="3">
        <f>14447+12553</f>
        <v>27000</v>
      </c>
      <c r="N26" s="3">
        <v>61174</v>
      </c>
      <c r="O26" s="3">
        <v>50125</v>
      </c>
      <c r="P26" s="3">
        <v>1316</v>
      </c>
      <c r="Q26" s="3">
        <v>1962</v>
      </c>
      <c r="R26" s="3">
        <v>49423</v>
      </c>
      <c r="S26" s="3">
        <v>62478</v>
      </c>
      <c r="T26" s="3">
        <v>276672</v>
      </c>
      <c r="U26" s="3">
        <v>395456</v>
      </c>
      <c r="V26" s="3">
        <v>49661</v>
      </c>
      <c r="W26" s="3">
        <v>87113</v>
      </c>
      <c r="X26" s="3">
        <v>52812</v>
      </c>
      <c r="Y26" s="3">
        <v>29785</v>
      </c>
      <c r="Z26" s="3">
        <v>13243</v>
      </c>
      <c r="AA26" s="3">
        <v>3177</v>
      </c>
      <c r="AB26" s="3">
        <v>0</v>
      </c>
      <c r="AC26" s="3">
        <v>1034</v>
      </c>
      <c r="AD26" s="3">
        <v>0</v>
      </c>
      <c r="AE26" s="3">
        <v>947</v>
      </c>
      <c r="AF26" s="5">
        <f t="shared" si="4"/>
        <v>2866754</v>
      </c>
      <c r="AG26" s="4">
        <f t="shared" si="1"/>
        <v>0.96929698801300801</v>
      </c>
      <c r="AH26" s="5">
        <f t="shared" si="5"/>
        <v>-90806.000136436895</v>
      </c>
      <c r="AI26" s="17">
        <f t="shared" si="6"/>
        <v>0.4456803127485105</v>
      </c>
      <c r="AJ26" s="17">
        <f t="shared" si="7"/>
        <v>6.2174082952338339E-2</v>
      </c>
      <c r="AK26" s="14">
        <f t="shared" si="8"/>
        <v>9.1476203855317351E-2</v>
      </c>
      <c r="AL26" s="14">
        <f t="shared" si="9"/>
        <v>-1.7407326723434702E-2</v>
      </c>
      <c r="AN26" s="84">
        <f t="shared" si="10"/>
        <v>46045</v>
      </c>
      <c r="AO26" s="80">
        <f>+Tabla22[[#This Row],[Web + APP 2025]]+Tabla22[[#This Row],[Afiliados 2025]]+Tabla22[[#This Row],[TMK 2025]]+Tabla22[[#This Row],[WA 2025]]+Tabla22[[#This Row],[Ent. en Tienda 2025]]</f>
        <v>1922553.4137931035</v>
      </c>
      <c r="AP26" s="80">
        <f>+Tabla22[[#This Row],[Meli Drop 2025]]+Tabla22[[#This Row],[Meli Full 2025]]+Tabla22[[#This Row],[Amazon Drop 2025]]+Tabla22[[#This Row],[Amazon Full 2025]]+Tabla22[[#This Row],[TikTok 2025]]+Tabla22[[#This Row],[Shein 2025]]</f>
        <v>392388</v>
      </c>
      <c r="AQ26" s="80">
        <f t="shared" si="13"/>
        <v>2349242</v>
      </c>
      <c r="AR26" s="80">
        <f t="shared" si="14"/>
        <v>517512</v>
      </c>
      <c r="AS26" s="74">
        <f t="shared" si="15"/>
        <v>0.22193848199258137</v>
      </c>
      <c r="AT26" s="74">
        <f t="shared" si="16"/>
        <v>0.31887825315758889</v>
      </c>
      <c r="AU26" s="80">
        <f t="shared" si="17"/>
        <v>2358182.2339820648</v>
      </c>
      <c r="AV26" s="80">
        <f t="shared" si="18"/>
        <v>599377.76615437225</v>
      </c>
      <c r="AW26" s="74">
        <f t="shared" si="19"/>
        <v>0.99620884516334929</v>
      </c>
      <c r="AX26" s="74">
        <f t="shared" si="20"/>
        <v>0.86341541048540094</v>
      </c>
      <c r="AY26" s="74">
        <f t="shared" si="21"/>
        <v>0.96929698801300801</v>
      </c>
    </row>
    <row r="27" spans="1:51" hidden="1" x14ac:dyDescent="0.3">
      <c r="A27" s="7">
        <v>45681</v>
      </c>
      <c r="B27" s="3">
        <f>+'BD MD'!B26</f>
        <v>31893984</v>
      </c>
      <c r="C27" s="3">
        <f t="shared" si="11"/>
        <v>1982979.2068965517</v>
      </c>
      <c r="D27" s="4">
        <f t="shared" si="12"/>
        <v>2.3023636589338259E-2</v>
      </c>
      <c r="E27" s="3">
        <v>40446079</v>
      </c>
      <c r="F27" s="7">
        <v>46046</v>
      </c>
      <c r="G27" s="3">
        <f>+Tabla22[[#This Row],[Meta Digital]]+Tabla22[[#This Row],[Meta MKPlace]]</f>
        <v>2533446.3967318689</v>
      </c>
      <c r="H27" s="3">
        <f>+Tabla2[[#This Row],[Meta Digital]]</f>
        <v>2020019.3007896256</v>
      </c>
      <c r="I27" s="3">
        <f>+Tabla2[[#This Row],[Meta MKPlace]]</f>
        <v>513427.09594224318</v>
      </c>
      <c r="J27" s="3">
        <v>1462778</v>
      </c>
      <c r="K27" s="3">
        <v>1954073</v>
      </c>
      <c r="L27" s="3">
        <v>19311.206896551714</v>
      </c>
      <c r="M27" s="3">
        <f>17029+13804</f>
        <v>30833</v>
      </c>
      <c r="N27" s="3">
        <v>70610</v>
      </c>
      <c r="O27" s="3">
        <v>29064</v>
      </c>
      <c r="P27" s="3">
        <v>2246</v>
      </c>
      <c r="Q27" s="3">
        <v>1720</v>
      </c>
      <c r="R27" s="3">
        <v>52560</v>
      </c>
      <c r="S27" s="3">
        <v>60413</v>
      </c>
      <c r="T27" s="3">
        <v>296224</v>
      </c>
      <c r="U27" s="3">
        <v>400858</v>
      </c>
      <c r="V27" s="3">
        <v>49215</v>
      </c>
      <c r="W27" s="3">
        <v>71989</v>
      </c>
      <c r="X27" s="3">
        <v>15576</v>
      </c>
      <c r="Y27" s="3">
        <v>36844</v>
      </c>
      <c r="Z27" s="3">
        <v>14459</v>
      </c>
      <c r="AA27" s="3">
        <v>3208</v>
      </c>
      <c r="AB27" s="3">
        <v>0</v>
      </c>
      <c r="AC27" s="3">
        <v>0</v>
      </c>
      <c r="AD27" s="3">
        <v>0</v>
      </c>
      <c r="AE27" s="3">
        <v>0</v>
      </c>
      <c r="AF27" s="5">
        <f t="shared" si="4"/>
        <v>2589002</v>
      </c>
      <c r="AG27" s="4">
        <f t="shared" si="1"/>
        <v>1.0219288647037481</v>
      </c>
      <c r="AH27" s="5">
        <f t="shared" si="5"/>
        <v>55555.603268131148</v>
      </c>
      <c r="AI27" s="17">
        <f t="shared" si="6"/>
        <v>0.63732854987748655</v>
      </c>
      <c r="AJ27" s="17">
        <f t="shared" si="7"/>
        <v>3.9850527150980357E-2</v>
      </c>
      <c r="AK27" s="14">
        <f t="shared" si="8"/>
        <v>6.4011198712241049E-2</v>
      </c>
      <c r="AL27" s="14">
        <f t="shared" si="9"/>
        <v>1.9327979238270787E-2</v>
      </c>
      <c r="AN27" s="84">
        <f t="shared" si="10"/>
        <v>46046</v>
      </c>
      <c r="AO27" s="80">
        <f>+Tabla22[[#This Row],[Web + APP 2025]]+Tabla22[[#This Row],[Afiliados 2025]]+Tabla22[[#This Row],[TMK 2025]]+Tabla22[[#This Row],[WA 2025]]+Tabla22[[#This Row],[Ent. en Tienda 2025]]</f>
        <v>1607505.2068965517</v>
      </c>
      <c r="AP27" s="80">
        <f>+Tabla22[[#This Row],[Meli Drop 2025]]+Tabla22[[#This Row],[Meli Full 2025]]+Tabla22[[#This Row],[Amazon Drop 2025]]+Tabla22[[#This Row],[Amazon Full 2025]]+Tabla22[[#This Row],[TikTok 2025]]+Tabla22[[#This Row],[Shein 2025]]</f>
        <v>375474</v>
      </c>
      <c r="AQ27" s="80">
        <f t="shared" si="13"/>
        <v>2076103</v>
      </c>
      <c r="AR27" s="80">
        <f t="shared" si="14"/>
        <v>512899</v>
      </c>
      <c r="AS27" s="74">
        <f t="shared" si="15"/>
        <v>0.29150623655404684</v>
      </c>
      <c r="AT27" s="74">
        <f t="shared" si="16"/>
        <v>0.36600403756318678</v>
      </c>
      <c r="AU27" s="80">
        <f t="shared" si="17"/>
        <v>2020019.3007896256</v>
      </c>
      <c r="AV27" s="80">
        <f t="shared" si="18"/>
        <v>513427.09594224318</v>
      </c>
      <c r="AW27" s="74">
        <f t="shared" si="19"/>
        <v>1.027763942249686</v>
      </c>
      <c r="AX27" s="74">
        <f t="shared" si="20"/>
        <v>0.99897142954390827</v>
      </c>
      <c r="AY27" s="74">
        <f t="shared" si="21"/>
        <v>1.0219288647037481</v>
      </c>
    </row>
    <row r="28" spans="1:51" hidden="1" x14ac:dyDescent="0.3">
      <c r="A28" s="63">
        <v>45682</v>
      </c>
      <c r="B28" s="3">
        <f>+'BD MD'!B27</f>
        <v>39679161</v>
      </c>
      <c r="C28" s="3">
        <f t="shared" si="11"/>
        <v>1581235.4827586208</v>
      </c>
      <c r="D28" s="4">
        <f t="shared" si="12"/>
        <v>1.835913911279885E-2</v>
      </c>
      <c r="E28" s="3">
        <v>40762958</v>
      </c>
      <c r="F28" s="7">
        <v>46047</v>
      </c>
      <c r="G28" s="3">
        <f>+Tabla22[[#This Row],[Meta Digital]]+Tabla22[[#This Row],[Meta MKPlace]]</f>
        <v>2020180.2027207988</v>
      </c>
      <c r="H28" s="3">
        <f>+Tabla2[[#This Row],[Meta Digital]]</f>
        <v>1610771.4005053844</v>
      </c>
      <c r="I28" s="3">
        <f>+Tabla2[[#This Row],[Meta MKPlace]]</f>
        <v>409408.80221541435</v>
      </c>
      <c r="J28" s="3">
        <v>1103959</v>
      </c>
      <c r="K28" s="3">
        <v>2194390</v>
      </c>
      <c r="L28" s="3">
        <v>21284.482758620688</v>
      </c>
      <c r="M28" s="3">
        <f>16696+14416</f>
        <v>31112</v>
      </c>
      <c r="N28" s="3">
        <v>11116</v>
      </c>
      <c r="O28" s="3">
        <v>5527</v>
      </c>
      <c r="P28" s="3">
        <v>430</v>
      </c>
      <c r="Q28" s="3">
        <v>1670</v>
      </c>
      <c r="R28" s="3">
        <v>56626</v>
      </c>
      <c r="S28" s="3">
        <v>80142</v>
      </c>
      <c r="T28" s="3">
        <v>295266</v>
      </c>
      <c r="U28" s="3">
        <v>329347</v>
      </c>
      <c r="V28" s="3">
        <v>41484</v>
      </c>
      <c r="W28" s="3">
        <v>91250</v>
      </c>
      <c r="X28" s="3">
        <v>39494</v>
      </c>
      <c r="Y28" s="3">
        <v>31562</v>
      </c>
      <c r="Z28" s="3">
        <v>11576</v>
      </c>
      <c r="AA28" s="3">
        <v>3487</v>
      </c>
      <c r="AB28" s="3">
        <v>0</v>
      </c>
      <c r="AC28" s="3">
        <v>1118</v>
      </c>
      <c r="AD28" s="3">
        <v>0</v>
      </c>
      <c r="AE28" s="3">
        <v>0</v>
      </c>
      <c r="AF28" s="5">
        <f t="shared" si="4"/>
        <v>2769605</v>
      </c>
      <c r="AG28" s="4">
        <f t="shared" si="1"/>
        <v>1.3709692809927889</v>
      </c>
      <c r="AH28" s="5">
        <f t="shared" si="5"/>
        <v>749424.79727920122</v>
      </c>
      <c r="AI28" s="17">
        <f t="shared" si="6"/>
        <v>0.39243008797744872</v>
      </c>
      <c r="AJ28" s="17">
        <f t="shared" si="7"/>
        <v>5.274575340215281E-2</v>
      </c>
      <c r="AK28" s="14">
        <f t="shared" si="8"/>
        <v>6.7944161461491584E-2</v>
      </c>
      <c r="AL28" s="14">
        <f t="shared" si="9"/>
        <v>8.0957840532367653E-2</v>
      </c>
      <c r="AN28" s="84">
        <f t="shared" si="10"/>
        <v>46047</v>
      </c>
      <c r="AO28" s="80">
        <f>+Tabla22[[#This Row],[Web + APP 2025]]+Tabla22[[#This Row],[Afiliados 2025]]+Tabla22[[#This Row],[TMK 2025]]+Tabla22[[#This Row],[WA 2025]]+Tabla22[[#This Row],[Ent. en Tienda 2025]]</f>
        <v>1193415.4827586208</v>
      </c>
      <c r="AP28" s="80">
        <f>+Tabla22[[#This Row],[Meli Drop 2025]]+Tabla22[[#This Row],[Meli Full 2025]]+Tabla22[[#This Row],[Amazon Drop 2025]]+Tabla22[[#This Row],[Amazon Full 2025]]+Tabla22[[#This Row],[TikTok 2025]]+Tabla22[[#This Row],[Shein 2025]]</f>
        <v>387820</v>
      </c>
      <c r="AQ28" s="80">
        <f t="shared" si="13"/>
        <v>2312841</v>
      </c>
      <c r="AR28" s="80">
        <f t="shared" si="14"/>
        <v>456764</v>
      </c>
      <c r="AS28" s="74">
        <f t="shared" si="15"/>
        <v>0.93800150359520118</v>
      </c>
      <c r="AT28" s="74">
        <f t="shared" si="16"/>
        <v>0.17777319374967759</v>
      </c>
      <c r="AU28" s="80">
        <f t="shared" si="17"/>
        <v>1610771.4005053844</v>
      </c>
      <c r="AV28" s="80">
        <f t="shared" si="18"/>
        <v>409408.80221541435</v>
      </c>
      <c r="AW28" s="74">
        <f t="shared" si="19"/>
        <v>1.4358592406559609</v>
      </c>
      <c r="AX28" s="74">
        <f t="shared" si="20"/>
        <v>1.1156672683350595</v>
      </c>
      <c r="AY28" s="74">
        <f t="shared" si="21"/>
        <v>1.3709692809927889</v>
      </c>
    </row>
    <row r="29" spans="1:51" hidden="1" x14ac:dyDescent="0.3">
      <c r="A29" s="7">
        <v>45683</v>
      </c>
      <c r="B29" s="3">
        <f>+'BD MD'!B28</f>
        <v>37710035</v>
      </c>
      <c r="C29" s="3">
        <f t="shared" si="11"/>
        <v>1989044.2068965517</v>
      </c>
      <c r="D29" s="4">
        <f t="shared" si="12"/>
        <v>2.309405505637447E-2</v>
      </c>
      <c r="E29" s="3">
        <v>22718693</v>
      </c>
      <c r="F29" s="7">
        <v>46048</v>
      </c>
      <c r="G29" s="3">
        <f>+Tabla22[[#This Row],[Meta Digital]]+Tabla22[[#This Row],[Meta MKPlace]]</f>
        <v>2541195.0167591185</v>
      </c>
      <c r="H29" s="3">
        <f>+Tabla2[[#This Row],[Meta Digital]]</f>
        <v>2026197.589001968</v>
      </c>
      <c r="I29" s="3">
        <f>+Tabla2[[#This Row],[Meta MKPlace]]</f>
        <v>514997.42775715067</v>
      </c>
      <c r="J29" s="3">
        <v>1640079</v>
      </c>
      <c r="K29" s="3">
        <v>3117837</v>
      </c>
      <c r="L29" s="3">
        <v>18636.206896551717</v>
      </c>
      <c r="M29" s="3">
        <f>12809+10481</f>
        <v>23290</v>
      </c>
      <c r="N29" s="3">
        <v>20959</v>
      </c>
      <c r="O29" s="3">
        <v>4291</v>
      </c>
      <c r="P29" s="3">
        <v>6107</v>
      </c>
      <c r="Q29" s="3">
        <v>1531</v>
      </c>
      <c r="R29" s="3">
        <v>42996</v>
      </c>
      <c r="S29" s="3">
        <v>43342</v>
      </c>
      <c r="T29" s="3">
        <v>181222</v>
      </c>
      <c r="U29" s="3">
        <v>517922</v>
      </c>
      <c r="V29" s="3">
        <v>38455</v>
      </c>
      <c r="W29" s="3">
        <v>78533</v>
      </c>
      <c r="X29" s="3">
        <v>33258</v>
      </c>
      <c r="Y29" s="3">
        <v>42966</v>
      </c>
      <c r="Z29" s="3">
        <v>7332</v>
      </c>
      <c r="AA29" s="3">
        <v>8314</v>
      </c>
      <c r="AB29" s="3">
        <v>0</v>
      </c>
      <c r="AC29" s="3">
        <v>10462</v>
      </c>
      <c r="AD29" s="3">
        <v>0</v>
      </c>
      <c r="AE29" s="3">
        <v>1378</v>
      </c>
      <c r="AF29" s="5">
        <f t="shared" si="4"/>
        <v>3849866</v>
      </c>
      <c r="AG29" s="4">
        <f t="shared" si="1"/>
        <v>1.5149825080760149</v>
      </c>
      <c r="AH29" s="5">
        <f t="shared" si="5"/>
        <v>1308670.9832408815</v>
      </c>
      <c r="AI29" s="17">
        <f t="shared" si="6"/>
        <v>0.22874839525266855</v>
      </c>
      <c r="AJ29" s="17">
        <f t="shared" si="7"/>
        <v>0.13755661359750712</v>
      </c>
      <c r="AK29" s="14">
        <f t="shared" si="8"/>
        <v>0.16945807577927127</v>
      </c>
      <c r="AL29" s="14">
        <f t="shared" si="9"/>
        <v>-2.5705919469449778E-3</v>
      </c>
      <c r="AN29" s="84">
        <f t="shared" si="10"/>
        <v>46048</v>
      </c>
      <c r="AO29" s="80">
        <f>+Tabla22[[#This Row],[Web + APP 2025]]+Tabla22[[#This Row],[Afiliados 2025]]+Tabla22[[#This Row],[TMK 2025]]+Tabla22[[#This Row],[WA 2025]]+Tabla22[[#This Row],[Ent. en Tienda 2025]]</f>
        <v>1728777.2068965517</v>
      </c>
      <c r="AP29" s="80">
        <f>+Tabla22[[#This Row],[Meli Drop 2025]]+Tabla22[[#This Row],[Meli Full 2025]]+Tabla22[[#This Row],[Amazon Drop 2025]]+Tabla22[[#This Row],[Amazon Full 2025]]+Tabla22[[#This Row],[TikTok 2025]]+Tabla22[[#This Row],[Shein 2025]]</f>
        <v>260267</v>
      </c>
      <c r="AQ29" s="80">
        <f t="shared" si="13"/>
        <v>3190291</v>
      </c>
      <c r="AR29" s="80">
        <f t="shared" si="14"/>
        <v>659575</v>
      </c>
      <c r="AS29" s="74">
        <f t="shared" si="15"/>
        <v>0.84540320596146312</v>
      </c>
      <c r="AT29" s="74">
        <f t="shared" si="16"/>
        <v>1.5342244694871034</v>
      </c>
      <c r="AU29" s="80">
        <f t="shared" si="17"/>
        <v>2026197.589001968</v>
      </c>
      <c r="AV29" s="80">
        <f t="shared" si="18"/>
        <v>514997.42775715067</v>
      </c>
      <c r="AW29" s="74">
        <f t="shared" si="19"/>
        <v>1.5745211707469371</v>
      </c>
      <c r="AX29" s="74">
        <f t="shared" si="20"/>
        <v>1.2807345521559101</v>
      </c>
      <c r="AY29" s="74">
        <f t="shared" si="21"/>
        <v>1.5149825080760149</v>
      </c>
    </row>
    <row r="30" spans="1:51" hidden="1" x14ac:dyDescent="0.3">
      <c r="A30" s="63">
        <v>45684</v>
      </c>
      <c r="B30" s="3">
        <f>+'BD MD'!B29</f>
        <v>22777244</v>
      </c>
      <c r="C30" s="3">
        <f t="shared" si="11"/>
        <v>3133160.5517241377</v>
      </c>
      <c r="D30" s="4">
        <f t="shared" si="12"/>
        <v>3.6377965874813303E-2</v>
      </c>
      <c r="E30" s="3">
        <v>24708209</v>
      </c>
      <c r="F30" s="7">
        <v>46049</v>
      </c>
      <c r="G30" s="3">
        <f>+Tabla22[[#This Row],[Meta Digital]]+Tabla22[[#This Row],[Meta MKPlace]]</f>
        <v>4002913.5366329867</v>
      </c>
      <c r="H30" s="3">
        <f>+Tabla2[[#This Row],[Meta Digital]]</f>
        <v>3191684.89762465</v>
      </c>
      <c r="I30" s="3">
        <f>+Tabla2[[#This Row],[Meta MKPlace]]</f>
        <v>811228.6390083367</v>
      </c>
      <c r="J30" s="3">
        <v>2287434</v>
      </c>
      <c r="K30" s="3">
        <v>3426615</v>
      </c>
      <c r="L30" s="3">
        <v>20571.551724137928</v>
      </c>
      <c r="M30" s="3">
        <f>16341+11476</f>
        <v>27817</v>
      </c>
      <c r="N30" s="3">
        <v>48184</v>
      </c>
      <c r="O30" s="3">
        <v>57382</v>
      </c>
      <c r="P30" s="3">
        <v>6325</v>
      </c>
      <c r="Q30" s="3">
        <v>5403</v>
      </c>
      <c r="R30" s="3">
        <v>38707</v>
      </c>
      <c r="S30" s="3">
        <v>52302</v>
      </c>
      <c r="T30" s="3">
        <v>428538</v>
      </c>
      <c r="U30" s="3">
        <v>411232</v>
      </c>
      <c r="V30" s="3">
        <v>34661</v>
      </c>
      <c r="W30" s="3">
        <v>82440</v>
      </c>
      <c r="X30" s="3">
        <v>41258</v>
      </c>
      <c r="Y30" s="3">
        <v>37763</v>
      </c>
      <c r="Z30" s="3">
        <v>227482</v>
      </c>
      <c r="AA30" s="3">
        <v>5270</v>
      </c>
      <c r="AB30" s="3">
        <v>0</v>
      </c>
      <c r="AC30" s="3">
        <v>1490</v>
      </c>
      <c r="AD30" s="3">
        <v>0</v>
      </c>
      <c r="AE30" s="3">
        <v>0</v>
      </c>
      <c r="AF30" s="5">
        <f t="shared" si="4"/>
        <v>4107714</v>
      </c>
      <c r="AG30" s="4">
        <f t="shared" si="1"/>
        <v>1.0261810459826133</v>
      </c>
      <c r="AH30" s="5">
        <f t="shared" si="5"/>
        <v>104800.46336701326</v>
      </c>
      <c r="AI30" s="17">
        <f t="shared" si="6"/>
        <v>0.30908557788406954</v>
      </c>
      <c r="AJ30" s="17">
        <f t="shared" si="7"/>
        <v>0.12911391243744394</v>
      </c>
      <c r="AK30" s="14">
        <f t="shared" si="8"/>
        <v>0.1662489579880112</v>
      </c>
      <c r="AL30" s="14">
        <f t="shared" si="9"/>
        <v>1.667500790130183E-2</v>
      </c>
      <c r="AN30" s="84">
        <f t="shared" si="10"/>
        <v>46049</v>
      </c>
      <c r="AO30" s="80">
        <f>+Tabla22[[#This Row],[Web + APP 2025]]+Tabla22[[#This Row],[Afiliados 2025]]+Tabla22[[#This Row],[TMK 2025]]+Tabla22[[#This Row],[WA 2025]]+Tabla22[[#This Row],[Ent. en Tienda 2025]]</f>
        <v>2401221.5517241377</v>
      </c>
      <c r="AP30" s="80">
        <f>+Tabla22[[#This Row],[Meli Drop 2025]]+Tabla22[[#This Row],[Meli Full 2025]]+Tabla22[[#This Row],[Amazon Drop 2025]]+Tabla22[[#This Row],[Amazon Full 2025]]+Tabla22[[#This Row],[TikTok 2025]]+Tabla22[[#This Row],[Shein 2025]]</f>
        <v>731939</v>
      </c>
      <c r="AQ30" s="80">
        <f t="shared" si="13"/>
        <v>3569519</v>
      </c>
      <c r="AR30" s="80">
        <f t="shared" si="14"/>
        <v>538195</v>
      </c>
      <c r="AS30" s="74">
        <f t="shared" si="15"/>
        <v>0.48654296286696042</v>
      </c>
      <c r="AT30" s="74">
        <f t="shared" si="16"/>
        <v>-0.26469965393290973</v>
      </c>
      <c r="AU30" s="80">
        <f t="shared" si="17"/>
        <v>3191684.89762465</v>
      </c>
      <c r="AV30" s="80">
        <f t="shared" si="18"/>
        <v>811228.6390083367</v>
      </c>
      <c r="AW30" s="74">
        <f t="shared" si="19"/>
        <v>1.1183807658007048</v>
      </c>
      <c r="AX30" s="74">
        <f t="shared" si="20"/>
        <v>0.6634319526217678</v>
      </c>
      <c r="AY30" s="74">
        <f t="shared" si="21"/>
        <v>1.0261810459826133</v>
      </c>
    </row>
    <row r="31" spans="1:51" hidden="1" x14ac:dyDescent="0.3">
      <c r="A31" s="7">
        <v>45685</v>
      </c>
      <c r="B31" s="3">
        <f>+'BD MD'!B30</f>
        <v>24302957</v>
      </c>
      <c r="C31" s="3">
        <f t="shared" si="11"/>
        <v>3137849.8620689656</v>
      </c>
      <c r="D31" s="4">
        <f t="shared" si="12"/>
        <v>3.6432411719156226E-2</v>
      </c>
      <c r="E31" s="3">
        <v>25710859</v>
      </c>
      <c r="F31" s="7">
        <v>46050</v>
      </c>
      <c r="G31" s="3">
        <f>+Tabla22[[#This Row],[Meta Digital]]+Tabla22[[#This Row],[Meta MKPlace]]</f>
        <v>4008904.5809943923</v>
      </c>
      <c r="H31" s="3">
        <f>+Tabla2[[#This Row],[Meta Digital]]</f>
        <v>3196461.7996572084</v>
      </c>
      <c r="I31" s="3">
        <f>+Tabla2[[#This Row],[Meta MKPlace]]</f>
        <v>812442.78133718378</v>
      </c>
      <c r="J31" s="3">
        <v>2625912</v>
      </c>
      <c r="K31" s="3">
        <v>2794957</v>
      </c>
      <c r="L31" s="3">
        <v>24700.8620689655</v>
      </c>
      <c r="M31" s="3">
        <f>128+1268</f>
        <v>1396</v>
      </c>
      <c r="N31" s="3">
        <v>92321</v>
      </c>
      <c r="O31" s="3">
        <v>24203</v>
      </c>
      <c r="P31" s="3">
        <v>6877</v>
      </c>
      <c r="Q31" s="3">
        <v>1791</v>
      </c>
      <c r="R31" s="3">
        <v>49308</v>
      </c>
      <c r="S31" s="3">
        <v>86934</v>
      </c>
      <c r="T31" s="3">
        <v>276028</v>
      </c>
      <c r="U31" s="3">
        <v>411456</v>
      </c>
      <c r="V31" s="3">
        <v>43571</v>
      </c>
      <c r="W31" s="3">
        <v>58025</v>
      </c>
      <c r="X31" s="3">
        <v>14912</v>
      </c>
      <c r="Y31" s="3">
        <v>39072</v>
      </c>
      <c r="Z31" s="3">
        <v>4220</v>
      </c>
      <c r="AA31" s="3">
        <v>4163</v>
      </c>
      <c r="AB31" s="3">
        <v>0</v>
      </c>
      <c r="AC31" s="3">
        <v>4865</v>
      </c>
      <c r="AD31" s="3">
        <v>0</v>
      </c>
      <c r="AE31" s="3">
        <v>0</v>
      </c>
      <c r="AF31" s="5">
        <f t="shared" si="4"/>
        <v>3426862</v>
      </c>
      <c r="AG31" s="4">
        <f t="shared" si="1"/>
        <v>0.85481256307427023</v>
      </c>
      <c r="AH31" s="5">
        <f t="shared" si="5"/>
        <v>-582042.58099439228</v>
      </c>
      <c r="AI31" s="17">
        <f t="shared" si="6"/>
        <v>0.19070967743172274</v>
      </c>
      <c r="AJ31" s="17">
        <f t="shared" si="7"/>
        <v>0.10689573881845187</v>
      </c>
      <c r="AK31" s="14">
        <f t="shared" si="8"/>
        <v>0.1332846172117392</v>
      </c>
      <c r="AL31" s="14">
        <f t="shared" si="9"/>
        <v>-4.5037654381814063E-2</v>
      </c>
      <c r="AN31" s="84">
        <f t="shared" si="10"/>
        <v>46050</v>
      </c>
      <c r="AO31" s="80">
        <f>+Tabla22[[#This Row],[Web + APP 2025]]+Tabla22[[#This Row],[Afiliados 2025]]+Tabla22[[#This Row],[TMK 2025]]+Tabla22[[#This Row],[WA 2025]]+Tabla22[[#This Row],[Ent. en Tienda 2025]]</f>
        <v>2799118.8620689656</v>
      </c>
      <c r="AP31" s="80">
        <f>+Tabla22[[#This Row],[Meli Drop 2025]]+Tabla22[[#This Row],[Meli Full 2025]]+Tabla22[[#This Row],[Amazon Drop 2025]]+Tabla22[[#This Row],[Amazon Full 2025]]+Tabla22[[#This Row],[TikTok 2025]]+Tabla22[[#This Row],[Shein 2025]]</f>
        <v>338731</v>
      </c>
      <c r="AQ31" s="80">
        <f t="shared" si="13"/>
        <v>2909281</v>
      </c>
      <c r="AR31" s="80">
        <f t="shared" si="14"/>
        <v>517581</v>
      </c>
      <c r="AS31" s="74">
        <f t="shared" si="15"/>
        <v>3.9356005714458409E-2</v>
      </c>
      <c r="AT31" s="74">
        <f t="shared" si="16"/>
        <v>0.52800009447024343</v>
      </c>
      <c r="AU31" s="80">
        <f t="shared" si="17"/>
        <v>3196461.7996572084</v>
      </c>
      <c r="AV31" s="80">
        <f t="shared" si="18"/>
        <v>812442.78133718378</v>
      </c>
      <c r="AW31" s="74">
        <f t="shared" si="19"/>
        <v>0.9101566614410953</v>
      </c>
      <c r="AX31" s="74">
        <f t="shared" si="20"/>
        <v>0.63706763342536377</v>
      </c>
      <c r="AY31" s="74">
        <f t="shared" si="21"/>
        <v>0.85481256307427023</v>
      </c>
    </row>
    <row r="32" spans="1:51" hidden="1" x14ac:dyDescent="0.3">
      <c r="A32" s="63">
        <v>45686</v>
      </c>
      <c r="B32" s="3">
        <f>+'BD MD'!B31</f>
        <v>26923427</v>
      </c>
      <c r="C32" s="3">
        <f t="shared" si="11"/>
        <v>2877999.6206896552</v>
      </c>
      <c r="D32" s="4">
        <f t="shared" si="12"/>
        <v>3.3415386878773629E-2</v>
      </c>
      <c r="E32" s="3">
        <v>28535339</v>
      </c>
      <c r="F32" s="7">
        <v>46051</v>
      </c>
      <c r="G32" s="3">
        <f>+Tabla22[[#This Row],[Meta Digital]]+Tabla22[[#This Row],[Meta MKPlace]]</f>
        <v>3676920.9397021495</v>
      </c>
      <c r="H32" s="3">
        <f>+Tabla2[[#This Row],[Meta Digital]]</f>
        <v>2931757.8123054975</v>
      </c>
      <c r="I32" s="3">
        <f>+Tabla2[[#This Row],[Meta MKPlace]]</f>
        <v>745163.12739665189</v>
      </c>
      <c r="J32" s="3">
        <v>2418581</v>
      </c>
      <c r="K32" s="3">
        <v>2450518</v>
      </c>
      <c r="L32" s="3">
        <v>20333.620689655167</v>
      </c>
      <c r="M32" s="3">
        <f>369+128</f>
        <v>497</v>
      </c>
      <c r="N32" s="3">
        <v>55131</v>
      </c>
      <c r="O32" s="3">
        <v>6335</v>
      </c>
      <c r="P32" s="3">
        <v>6277</v>
      </c>
      <c r="Q32" s="3">
        <v>6576</v>
      </c>
      <c r="R32" s="3">
        <v>82493</v>
      </c>
      <c r="S32" s="3">
        <v>61831</v>
      </c>
      <c r="T32" s="3">
        <v>224454</v>
      </c>
      <c r="U32" s="3">
        <v>318201</v>
      </c>
      <c r="V32" s="3">
        <v>43095</v>
      </c>
      <c r="W32" s="3">
        <v>69719</v>
      </c>
      <c r="X32" s="3">
        <v>21531</v>
      </c>
      <c r="Y32" s="3">
        <v>44859</v>
      </c>
      <c r="Z32" s="3">
        <v>6104</v>
      </c>
      <c r="AA32" s="3">
        <v>6441</v>
      </c>
      <c r="AB32" s="3">
        <v>0</v>
      </c>
      <c r="AC32" s="3">
        <v>10362</v>
      </c>
      <c r="AD32" s="3">
        <v>0</v>
      </c>
      <c r="AE32" s="3">
        <v>0</v>
      </c>
      <c r="AF32" s="5">
        <f t="shared" si="4"/>
        <v>2975339</v>
      </c>
      <c r="AG32" s="4">
        <f t="shared" si="1"/>
        <v>0.8091930854083087</v>
      </c>
      <c r="AH32" s="5">
        <f t="shared" si="5"/>
        <v>-701581.93970214948</v>
      </c>
      <c r="AI32" s="17">
        <f t="shared" si="6"/>
        <v>0.16397907955130342</v>
      </c>
      <c r="AJ32" s="17">
        <f t="shared" si="7"/>
        <v>8.3151058018140225E-2</v>
      </c>
      <c r="AK32" s="14">
        <f t="shared" si="8"/>
        <v>0.10426857028052129</v>
      </c>
      <c r="AL32" s="14">
        <f t="shared" si="9"/>
        <v>-7.1761589179929697E-2</v>
      </c>
      <c r="AN32" s="84">
        <f t="shared" si="10"/>
        <v>46051</v>
      </c>
      <c r="AO32" s="80">
        <f>+Tabla22[[#This Row],[Web + APP 2025]]+Tabla22[[#This Row],[Afiliados 2025]]+Tabla22[[#This Row],[TMK 2025]]+Tabla22[[#This Row],[WA 2025]]+Tabla22[[#This Row],[Ent. en Tienda 2025]]</f>
        <v>2582815.6206896552</v>
      </c>
      <c r="AP32" s="80">
        <f>+Tabla22[[#This Row],[Meli Drop 2025]]+Tabla22[[#This Row],[Meli Full 2025]]+Tabla22[[#This Row],[Amazon Drop 2025]]+Tabla22[[#This Row],[Amazon Full 2025]]+Tabla22[[#This Row],[TikTok 2025]]+Tabla22[[#This Row],[Shein 2025]]</f>
        <v>295184</v>
      </c>
      <c r="AQ32" s="80">
        <f t="shared" si="13"/>
        <v>2525757</v>
      </c>
      <c r="AR32" s="80">
        <f t="shared" si="14"/>
        <v>449582</v>
      </c>
      <c r="AS32" s="74">
        <f t="shared" si="15"/>
        <v>-2.2091635280732769E-2</v>
      </c>
      <c r="AT32" s="74">
        <f t="shared" si="16"/>
        <v>0.52305680524689691</v>
      </c>
      <c r="AU32" s="80">
        <f t="shared" si="17"/>
        <v>2931757.8123054975</v>
      </c>
      <c r="AV32" s="80">
        <f t="shared" si="18"/>
        <v>745163.12739665189</v>
      </c>
      <c r="AW32" s="74">
        <f t="shared" si="19"/>
        <v>0.86151625123965359</v>
      </c>
      <c r="AX32" s="74">
        <f t="shared" si="20"/>
        <v>0.60333366409404554</v>
      </c>
      <c r="AY32" s="74">
        <f t="shared" si="21"/>
        <v>0.8091930854083087</v>
      </c>
    </row>
    <row r="33" spans="1:51" hidden="1" x14ac:dyDescent="0.3">
      <c r="A33" s="7">
        <v>45687</v>
      </c>
      <c r="B33" s="3">
        <f>+'BD MD'!B32</f>
        <v>30741390</v>
      </c>
      <c r="C33" s="3">
        <f t="shared" si="11"/>
        <v>2556179.1034482759</v>
      </c>
      <c r="D33" s="4">
        <f t="shared" si="12"/>
        <v>2.9678848134348498E-2</v>
      </c>
      <c r="E33" s="3">
        <v>32375122</v>
      </c>
      <c r="F33" s="7">
        <v>46052</v>
      </c>
      <c r="G33" s="3">
        <f>+Tabla22[[#This Row],[Meta Digital]]+Tabla22[[#This Row],[Meta MKPlace]]</f>
        <v>3265764.3189146011</v>
      </c>
      <c r="H33" s="3">
        <f>+Tabla2[[#This Row],[Meta Digital]]</f>
        <v>2603926.0055186297</v>
      </c>
      <c r="I33" s="3">
        <f>+Tabla2[[#This Row],[Meta MKPlace]]</f>
        <v>661838.31339597155</v>
      </c>
      <c r="J33" s="3">
        <v>2124088</v>
      </c>
      <c r="K33" s="3">
        <v>1981506</v>
      </c>
      <c r="L33" s="3">
        <v>20593.103448275851</v>
      </c>
      <c r="M33" s="3">
        <f>13851+10016</f>
        <v>23867</v>
      </c>
      <c r="N33" s="3">
        <v>61017</v>
      </c>
      <c r="O33" s="3">
        <v>19840</v>
      </c>
      <c r="P33" s="3">
        <v>4303</v>
      </c>
      <c r="Q33" s="3">
        <v>1512</v>
      </c>
      <c r="R33" s="3">
        <v>68703</v>
      </c>
      <c r="S33" s="3">
        <v>79127</v>
      </c>
      <c r="T33" s="3">
        <v>188379</v>
      </c>
      <c r="U33" s="3">
        <v>341849</v>
      </c>
      <c r="V33" s="3">
        <v>64182</v>
      </c>
      <c r="W33" s="3">
        <v>52697</v>
      </c>
      <c r="X33" s="3">
        <v>18890</v>
      </c>
      <c r="Y33" s="3">
        <v>28869</v>
      </c>
      <c r="Z33" s="3">
        <v>6024</v>
      </c>
      <c r="AA33" s="3">
        <v>3232</v>
      </c>
      <c r="AB33" s="3">
        <v>0</v>
      </c>
      <c r="AC33" s="3">
        <v>4079</v>
      </c>
      <c r="AD33" s="3">
        <v>0</v>
      </c>
      <c r="AE33" s="3">
        <v>0</v>
      </c>
      <c r="AF33" s="5">
        <f t="shared" si="4"/>
        <v>2536578</v>
      </c>
      <c r="AG33" s="4">
        <f t="shared" si="1"/>
        <v>0.77671802135527312</v>
      </c>
      <c r="AH33" s="5">
        <f t="shared" si="5"/>
        <v>-729186.31891460111</v>
      </c>
      <c r="AI33" s="17">
        <f t="shared" si="6"/>
        <v>7.8650300444107257E-2</v>
      </c>
      <c r="AJ33" s="17">
        <f t="shared" si="7"/>
        <v>6.4031004668086047E-2</v>
      </c>
      <c r="AK33" s="14">
        <f t="shared" si="8"/>
        <v>7.8349604365969647E-2</v>
      </c>
      <c r="AL33" s="14">
        <f t="shared" si="9"/>
        <v>-0.11847592617879743</v>
      </c>
      <c r="AN33" s="84">
        <f t="shared" si="10"/>
        <v>46052</v>
      </c>
      <c r="AO33" s="80">
        <f>+Tabla22[[#This Row],[Web + APP 2025]]+Tabla22[[#This Row],[Afiliados 2025]]+Tabla22[[#This Row],[TMK 2025]]+Tabla22[[#This Row],[WA 2025]]+Tabla22[[#This Row],[Ent. en Tienda 2025]]</f>
        <v>2278704.1034482759</v>
      </c>
      <c r="AP33" s="80">
        <f>+Tabla22[[#This Row],[Meli Drop 2025]]+Tabla22[[#This Row],[Meli Full 2025]]+Tabla22[[#This Row],[Amazon Drop 2025]]+Tabla22[[#This Row],[Amazon Full 2025]]+Tabla22[[#This Row],[TikTok 2025]]+Tabla22[[#This Row],[Shein 2025]]</f>
        <v>277475</v>
      </c>
      <c r="AQ33" s="80">
        <f t="shared" si="13"/>
        <v>2105852</v>
      </c>
      <c r="AR33" s="80">
        <f t="shared" si="14"/>
        <v>430726</v>
      </c>
      <c r="AS33" s="74">
        <f t="shared" si="15"/>
        <v>-7.5855440461403245E-2</v>
      </c>
      <c r="AT33" s="74">
        <f t="shared" si="16"/>
        <v>0.55230561311829884</v>
      </c>
      <c r="AU33" s="80">
        <f t="shared" si="17"/>
        <v>2603926.0055186297</v>
      </c>
      <c r="AV33" s="80">
        <f t="shared" si="18"/>
        <v>661838.31339597155</v>
      </c>
      <c r="AW33" s="74">
        <f t="shared" si="19"/>
        <v>0.80872190512977837</v>
      </c>
      <c r="AX33" s="74">
        <f t="shared" si="20"/>
        <v>0.65080245625233357</v>
      </c>
      <c r="AY33" s="74">
        <f t="shared" si="21"/>
        <v>0.77671802135527312</v>
      </c>
    </row>
    <row r="34" spans="1:51" hidden="1" x14ac:dyDescent="0.3">
      <c r="A34" s="63">
        <v>45688</v>
      </c>
      <c r="B34" s="3">
        <f>+'BD MD'!B33</f>
        <v>36726305</v>
      </c>
      <c r="C34" s="3">
        <f t="shared" si="11"/>
        <v>2351622.2068965519</v>
      </c>
      <c r="D34" s="4">
        <f t="shared" si="12"/>
        <v>2.7303813826540225E-2</v>
      </c>
      <c r="E34" s="3">
        <v>38921712</v>
      </c>
      <c r="F34" s="7">
        <v>46053</v>
      </c>
      <c r="G34" s="3">
        <f>+Tabla22[[#This Row],[Meta Digital]]+Tabla22[[#This Row],[Meta MKPlace]]</f>
        <v>3004423.2364195017</v>
      </c>
      <c r="H34" s="3">
        <f>+Tabla2[[#This Row],[Meta Digital]]</f>
        <v>2395548.1880876548</v>
      </c>
      <c r="I34" s="3">
        <f>+Tabla2[[#This Row],[Meta MKPlace]]</f>
        <v>608875.04833184707</v>
      </c>
      <c r="J34" s="3">
        <v>1896380</v>
      </c>
      <c r="K34" s="3">
        <v>1742488</v>
      </c>
      <c r="L34" s="3">
        <v>18311.206896551721</v>
      </c>
      <c r="M34" s="3">
        <f>18139+12919</f>
        <v>31058</v>
      </c>
      <c r="N34" s="3">
        <v>57647</v>
      </c>
      <c r="O34" s="3">
        <v>21274</v>
      </c>
      <c r="P34" s="3">
        <v>630</v>
      </c>
      <c r="Q34" s="3">
        <v>662</v>
      </c>
      <c r="R34" s="3">
        <v>46392</v>
      </c>
      <c r="S34" s="3">
        <v>34276</v>
      </c>
      <c r="T34" s="3">
        <v>251795</v>
      </c>
      <c r="U34" s="3">
        <v>350135</v>
      </c>
      <c r="V34" s="3">
        <v>49925</v>
      </c>
      <c r="W34" s="3">
        <v>69841</v>
      </c>
      <c r="X34" s="3">
        <v>25033</v>
      </c>
      <c r="Y34" s="3">
        <v>46260</v>
      </c>
      <c r="Z34" s="3">
        <v>5509</v>
      </c>
      <c r="AA34" s="3">
        <v>4173</v>
      </c>
      <c r="AB34" s="3">
        <v>0</v>
      </c>
      <c r="AC34" s="3">
        <v>418</v>
      </c>
      <c r="AD34" s="3">
        <v>0</v>
      </c>
      <c r="AE34" s="3">
        <v>0</v>
      </c>
      <c r="AF34" s="5">
        <f t="shared" si="4"/>
        <v>2300585</v>
      </c>
      <c r="AG34" s="4">
        <f t="shared" si="1"/>
        <v>0.76573266113522154</v>
      </c>
      <c r="AH34" s="5">
        <f t="shared" si="5"/>
        <v>-703838.23641950171</v>
      </c>
      <c r="AI34" s="17">
        <f t="shared" si="6"/>
        <v>0.29668857279889682</v>
      </c>
      <c r="AJ34" s="17">
        <f t="shared" si="7"/>
        <v>4.6944260201903065E-2</v>
      </c>
      <c r="AK34" s="14">
        <f t="shared" si="8"/>
        <v>5.9108011487264488E-2</v>
      </c>
      <c r="AL34" s="14">
        <f t="shared" si="9"/>
        <v>2.9844926781563919E-2</v>
      </c>
      <c r="AN34" s="84">
        <f t="shared" si="10"/>
        <v>46053</v>
      </c>
      <c r="AO34" s="80">
        <f>+Tabla22[[#This Row],[Web + APP 2025]]+Tabla22[[#This Row],[Afiliados 2025]]+Tabla22[[#This Row],[TMK 2025]]+Tabla22[[#This Row],[WA 2025]]+Tabla22[[#This Row],[Ent. en Tienda 2025]]</f>
        <v>2019360.2068965517</v>
      </c>
      <c r="AP34" s="80">
        <f>+Tabla22[[#This Row],[Meli Drop 2025]]+Tabla22[[#This Row],[Meli Full 2025]]+Tabla22[[#This Row],[Amazon Drop 2025]]+Tabla22[[#This Row],[Amazon Full 2025]]+Tabla22[[#This Row],[TikTok 2025]]+Tabla22[[#This Row],[Shein 2025]]</f>
        <v>332262</v>
      </c>
      <c r="AQ34" s="80">
        <f t="shared" si="13"/>
        <v>1829758</v>
      </c>
      <c r="AR34" s="80">
        <f t="shared" si="14"/>
        <v>470827</v>
      </c>
      <c r="AS34" s="74">
        <f t="shared" si="15"/>
        <v>-9.3892217074011408E-2</v>
      </c>
      <c r="AT34" s="74">
        <f t="shared" si="16"/>
        <v>0.41703535162010708</v>
      </c>
      <c r="AU34" s="80">
        <f t="shared" si="17"/>
        <v>2395548.1880876548</v>
      </c>
      <c r="AV34" s="80">
        <f t="shared" si="18"/>
        <v>608875.04833184707</v>
      </c>
      <c r="AW34" s="74">
        <f t="shared" si="19"/>
        <v>0.76381598545954521</v>
      </c>
      <c r="AX34" s="74">
        <f t="shared" si="20"/>
        <v>0.77327359905770265</v>
      </c>
      <c r="AY34" s="74">
        <f t="shared" si="21"/>
        <v>0.76573266113522154</v>
      </c>
    </row>
    <row r="35" spans="1:51" hidden="1" x14ac:dyDescent="0.3">
      <c r="A35" s="7">
        <v>45689</v>
      </c>
      <c r="B35" s="3">
        <f>+'BD MD'!B34</f>
        <v>37793760</v>
      </c>
      <c r="C35" s="3">
        <f t="shared" si="11"/>
        <v>1774200.1034482759</v>
      </c>
      <c r="D35" s="4">
        <f>+C35/(SUM($C$35:$C$62))</f>
        <v>2.2985735780986245E-2</v>
      </c>
      <c r="E35" s="3">
        <v>37738958</v>
      </c>
      <c r="F35" s="7">
        <v>46054</v>
      </c>
      <c r="G35" s="3">
        <f>+Tabla22[[#This Row],[Meta Digital]]+Tabla22[[#This Row],[Meta MKPlace]]</f>
        <v>2153502.7384631829</v>
      </c>
      <c r="H35" s="3">
        <f>+Tabla2[[#This Row],[Meta Digital]]</f>
        <v>1831702.4375293753</v>
      </c>
      <c r="I35" s="3">
        <f>+Tabla2[[#This Row],[Meta MKPlace]]</f>
        <v>321800.30093380745</v>
      </c>
      <c r="J35" s="3">
        <v>1345714</v>
      </c>
      <c r="K35" s="3">
        <v>2180837</v>
      </c>
      <c r="L35" s="3">
        <v>19268.103448275851</v>
      </c>
      <c r="M35" s="3">
        <f>18122+13547</f>
        <v>31669</v>
      </c>
      <c r="N35" s="3">
        <v>24746</v>
      </c>
      <c r="O35" s="3">
        <v>-2281</v>
      </c>
      <c r="P35" s="3">
        <v>1652</v>
      </c>
      <c r="Q35" s="3">
        <v>715</v>
      </c>
      <c r="R35" s="3">
        <v>52485</v>
      </c>
      <c r="S35" s="3">
        <v>55760</v>
      </c>
      <c r="T35" s="3">
        <v>259164</v>
      </c>
      <c r="U35" s="3">
        <v>327974</v>
      </c>
      <c r="V35" s="3">
        <v>40620</v>
      </c>
      <c r="W35" s="3">
        <v>76980</v>
      </c>
      <c r="X35" s="3">
        <v>24306</v>
      </c>
      <c r="Y35" s="3">
        <v>25893</v>
      </c>
      <c r="Z35" s="3">
        <v>6245</v>
      </c>
      <c r="AA35" s="3">
        <v>4383</v>
      </c>
      <c r="AB35" s="3">
        <v>0</v>
      </c>
      <c r="AC35" s="3">
        <v>774</v>
      </c>
      <c r="AD35" s="3">
        <v>0</v>
      </c>
      <c r="AE35" s="3">
        <v>0</v>
      </c>
      <c r="AF35" s="5">
        <f t="shared" si="4"/>
        <v>2702704</v>
      </c>
      <c r="AG35" s="4">
        <f t="shared" si="1"/>
        <v>1.2550269622265477</v>
      </c>
      <c r="AH35" s="5">
        <f t="shared" si="5"/>
        <v>549201.26153681707</v>
      </c>
      <c r="AI35" s="17">
        <f t="shared" si="6"/>
        <v>0.5647568275225805</v>
      </c>
      <c r="AJ35" s="17">
        <f t="shared" si="7"/>
        <v>5.5090669928898349E-2</v>
      </c>
      <c r="AK35" s="14">
        <f t="shared" si="8"/>
        <v>7.1615755792727498E-2</v>
      </c>
      <c r="AL35" s="14">
        <f t="shared" si="9"/>
        <v>0.2036946472160317</v>
      </c>
      <c r="AN35" s="84">
        <f t="shared" si="10"/>
        <v>46054</v>
      </c>
      <c r="AO35" s="80">
        <f>+Tabla22[[#This Row],[Web + APP 2025]]+Tabla22[[#This Row],[Afiliados 2025]]+Tabla22[[#This Row],[TMK 2025]]+Tabla22[[#This Row],[WA 2025]]+Tabla22[[#This Row],[Ent. en Tienda 2025]]</f>
        <v>1443865.1034482759</v>
      </c>
      <c r="AP35" s="80">
        <f>+Tabla22[[#This Row],[Meli Drop 2025]]+Tabla22[[#This Row],[Meli Full 2025]]+Tabla22[[#This Row],[Amazon Drop 2025]]+Tabla22[[#This Row],[Amazon Full 2025]]+Tabla22[[#This Row],[TikTok 2025]]+Tabla22[[#This Row],[Shein 2025]]</f>
        <v>330335</v>
      </c>
      <c r="AQ35" s="80">
        <f t="shared" si="13"/>
        <v>2266700</v>
      </c>
      <c r="AR35" s="80">
        <f t="shared" si="14"/>
        <v>436004</v>
      </c>
      <c r="AS35" s="74">
        <f t="shared" si="15"/>
        <v>0.56988349852531828</v>
      </c>
      <c r="AT35" s="74">
        <f t="shared" si="16"/>
        <v>0.31988435981654995</v>
      </c>
      <c r="AU35" s="80">
        <f t="shared" si="17"/>
        <v>1831702.4375293753</v>
      </c>
      <c r="AV35" s="80">
        <f t="shared" si="18"/>
        <v>321800.30093380745</v>
      </c>
      <c r="AW35" s="74">
        <f t="shared" si="19"/>
        <v>1.2374826574218873</v>
      </c>
      <c r="AX35" s="74">
        <f t="shared" si="20"/>
        <v>1.3548899697570005</v>
      </c>
      <c r="AY35" s="74">
        <f t="shared" si="21"/>
        <v>1.2550269622265477</v>
      </c>
    </row>
    <row r="36" spans="1:51" hidden="1" x14ac:dyDescent="0.3">
      <c r="A36" s="63">
        <v>45690</v>
      </c>
      <c r="B36" s="3">
        <f>+'BD MD'!B35</f>
        <v>31352601</v>
      </c>
      <c r="C36" s="3">
        <f t="shared" si="11"/>
        <v>1727235.7931034483</v>
      </c>
      <c r="D36" s="4">
        <f t="shared" ref="D36:D62" si="22">+C36/(SUM($C$35:$C$62))</f>
        <v>2.2377287372813828E-2</v>
      </c>
      <c r="E36" s="3">
        <v>33698919</v>
      </c>
      <c r="F36" s="7">
        <v>46055</v>
      </c>
      <c r="G36" s="3">
        <f>+Tabla22[[#This Row],[Meta Digital]]+Tabla22[[#This Row],[Meta MKPlace]]</f>
        <v>2096498.0236392729</v>
      </c>
      <c r="H36" s="3">
        <f>+Tabla2[[#This Row],[Meta Digital]]</f>
        <v>1783216.0004198793</v>
      </c>
      <c r="I36" s="3">
        <f>+Tabla2[[#This Row],[Meta MKPlace]]</f>
        <v>313282.02321939357</v>
      </c>
      <c r="J36" s="3">
        <v>1308491</v>
      </c>
      <c r="K36" s="3">
        <v>2671764</v>
      </c>
      <c r="L36" s="3">
        <v>20338.793103448264</v>
      </c>
      <c r="M36" s="3">
        <f>17032+13323</f>
        <v>30355</v>
      </c>
      <c r="N36" s="3">
        <v>36076</v>
      </c>
      <c r="O36" s="3">
        <v>15499</v>
      </c>
      <c r="P36" s="3">
        <v>6773</v>
      </c>
      <c r="Q36" s="3">
        <v>3214</v>
      </c>
      <c r="R36" s="3">
        <v>66898</v>
      </c>
      <c r="S36" s="3">
        <v>64407</v>
      </c>
      <c r="T36" s="3">
        <v>214500</v>
      </c>
      <c r="U36" s="3">
        <v>374619</v>
      </c>
      <c r="V36" s="3">
        <v>45990</v>
      </c>
      <c r="W36" s="3">
        <v>115869</v>
      </c>
      <c r="X36" s="3">
        <v>25758</v>
      </c>
      <c r="Y36" s="3">
        <v>34782</v>
      </c>
      <c r="Z36" s="3">
        <v>2411</v>
      </c>
      <c r="AA36" s="3">
        <v>5635</v>
      </c>
      <c r="AB36" s="3">
        <v>0</v>
      </c>
      <c r="AC36" s="3">
        <v>-148</v>
      </c>
      <c r="AD36" s="3">
        <v>0</v>
      </c>
      <c r="AE36" s="3">
        <v>0</v>
      </c>
      <c r="AF36" s="5">
        <f t="shared" si="4"/>
        <v>3315996</v>
      </c>
      <c r="AG36" s="4">
        <f t="shared" si="1"/>
        <v>1.581683341749029</v>
      </c>
      <c r="AH36" s="5">
        <f t="shared" si="5"/>
        <v>1219497.9763607271</v>
      </c>
      <c r="AI36" s="17">
        <f t="shared" si="6"/>
        <v>0.3746834449610974</v>
      </c>
      <c r="AJ36" s="17">
        <f t="shared" si="7"/>
        <v>6.6206441467751315E-2</v>
      </c>
      <c r="AK36" s="14">
        <f t="shared" si="8"/>
        <v>9.8400663831382837E-2</v>
      </c>
      <c r="AL36" s="14">
        <f t="shared" si="9"/>
        <v>-7.5078404029252366E-2</v>
      </c>
      <c r="AN36" s="84">
        <f t="shared" si="10"/>
        <v>46055</v>
      </c>
      <c r="AO36" s="80">
        <f>+Tabla22[[#This Row],[Web + APP 2025]]+Tabla22[[#This Row],[Afiliados 2025]]+Tabla22[[#This Row],[TMK 2025]]+Tabla22[[#This Row],[WA 2025]]+Tabla22[[#This Row],[Ent. en Tienda 2025]]</f>
        <v>1438576.7931034483</v>
      </c>
      <c r="AP36" s="80">
        <f>+Tabla22[[#This Row],[Meli Drop 2025]]+Tabla22[[#This Row],[Meli Full 2025]]+Tabla22[[#This Row],[Amazon Drop 2025]]+Tabla22[[#This Row],[Amazon Full 2025]]+Tabla22[[#This Row],[TikTok 2025]]+Tabla22[[#This Row],[Shein 2025]]</f>
        <v>288659</v>
      </c>
      <c r="AQ36" s="80">
        <f t="shared" si="13"/>
        <v>2785239</v>
      </c>
      <c r="AR36" s="80">
        <f t="shared" si="14"/>
        <v>530757</v>
      </c>
      <c r="AS36" s="74">
        <f t="shared" si="15"/>
        <v>0.93610727863292653</v>
      </c>
      <c r="AT36" s="74">
        <f t="shared" si="16"/>
        <v>0.83869894927925337</v>
      </c>
      <c r="AU36" s="80">
        <f t="shared" si="17"/>
        <v>1783216.0004198793</v>
      </c>
      <c r="AV36" s="80">
        <f t="shared" si="18"/>
        <v>313282.02321939357</v>
      </c>
      <c r="AW36" s="74">
        <f t="shared" si="19"/>
        <v>1.5619190268280356</v>
      </c>
      <c r="AX36" s="74">
        <f t="shared" si="20"/>
        <v>1.6941827512021244</v>
      </c>
      <c r="AY36" s="74">
        <f t="shared" si="21"/>
        <v>1.581683341749029</v>
      </c>
    </row>
    <row r="37" spans="1:51" hidden="1" x14ac:dyDescent="0.3">
      <c r="A37" s="7">
        <v>45691</v>
      </c>
      <c r="B37" s="3">
        <f>+'BD MD'!B36</f>
        <v>36434352</v>
      </c>
      <c r="C37" s="3">
        <f t="shared" si="11"/>
        <v>2412188.7931034481</v>
      </c>
      <c r="D37" s="4">
        <f t="shared" si="22"/>
        <v>3.1251229297286756E-2</v>
      </c>
      <c r="E37" s="3">
        <v>22551540</v>
      </c>
      <c r="F37" s="7">
        <v>46056</v>
      </c>
      <c r="G37" s="3">
        <f>+Tabla22[[#This Row],[Meta Digital]]+Tabla22[[#This Row],[Meta MKPlace]]</f>
        <v>2927885.7337130788</v>
      </c>
      <c r="H37" s="3">
        <f>+Tabla2[[#This Row],[Meta Digital]]</f>
        <v>2490368.5235510641</v>
      </c>
      <c r="I37" s="3">
        <f>+Tabla2[[#This Row],[Meta MKPlace]]</f>
        <v>437517.21016201458</v>
      </c>
      <c r="J37" s="3">
        <v>2010759</v>
      </c>
      <c r="K37" s="3">
        <v>3181814</v>
      </c>
      <c r="L37" s="3">
        <v>23738.793103448268</v>
      </c>
      <c r="M37" s="3">
        <f>13064+9710</f>
        <v>22774</v>
      </c>
      <c r="N37" s="3">
        <v>37153</v>
      </c>
      <c r="O37" s="3">
        <v>13358</v>
      </c>
      <c r="P37" s="3">
        <v>756</v>
      </c>
      <c r="Q37" s="3">
        <v>6483</v>
      </c>
      <c r="R37" s="3">
        <v>54921</v>
      </c>
      <c r="S37" s="3">
        <v>67690</v>
      </c>
      <c r="T37" s="3">
        <v>213227</v>
      </c>
      <c r="U37" s="3">
        <v>395638</v>
      </c>
      <c r="V37" s="3">
        <v>32459</v>
      </c>
      <c r="W37" s="3">
        <v>87196</v>
      </c>
      <c r="X37" s="3">
        <v>34007</v>
      </c>
      <c r="Y37" s="3">
        <v>25879</v>
      </c>
      <c r="Z37" s="3">
        <v>5168</v>
      </c>
      <c r="AA37" s="3">
        <v>4357</v>
      </c>
      <c r="AB37" s="3">
        <v>0</v>
      </c>
      <c r="AC37" s="3">
        <v>4453</v>
      </c>
      <c r="AD37" s="3">
        <v>0</v>
      </c>
      <c r="AE37" s="3">
        <v>0</v>
      </c>
      <c r="AF37" s="5">
        <f t="shared" si="4"/>
        <v>3809642</v>
      </c>
      <c r="AG37" s="4">
        <f t="shared" si="1"/>
        <v>1.3011580186118459</v>
      </c>
      <c r="AH37" s="5">
        <f t="shared" si="5"/>
        <v>881756.26628692122</v>
      </c>
      <c r="AI37" s="17">
        <f t="shared" si="6"/>
        <v>0.38293318112670716</v>
      </c>
      <c r="AJ37" s="17">
        <f t="shared" si="7"/>
        <v>0.12300746706274647</v>
      </c>
      <c r="AK37" s="14">
        <f t="shared" si="8"/>
        <v>0.16893045885114719</v>
      </c>
      <c r="AL37" s="14">
        <f t="shared" si="9"/>
        <v>6.9889638867066672E-3</v>
      </c>
      <c r="AN37" s="84">
        <f t="shared" si="10"/>
        <v>46056</v>
      </c>
      <c r="AO37" s="80">
        <f>+Tabla22[[#This Row],[Web + APP 2025]]+Tabla22[[#This Row],[Afiliados 2025]]+Tabla22[[#This Row],[TMK 2025]]+Tabla22[[#This Row],[WA 2025]]+Tabla22[[#This Row],[Ent. en Tienda 2025]]</f>
        <v>2127327.7931034481</v>
      </c>
      <c r="AP37" s="80">
        <f>+Tabla22[[#This Row],[Meli Drop 2025]]+Tabla22[[#This Row],[Meli Full 2025]]+Tabla22[[#This Row],[Amazon Drop 2025]]+Tabla22[[#This Row],[Amazon Full 2025]]+Tabla22[[#This Row],[TikTok 2025]]+Tabla22[[#This Row],[Shein 2025]]</f>
        <v>284861</v>
      </c>
      <c r="AQ37" s="80">
        <f t="shared" si="13"/>
        <v>3292119</v>
      </c>
      <c r="AR37" s="80">
        <f t="shared" si="14"/>
        <v>517523</v>
      </c>
      <c r="AS37" s="74">
        <f t="shared" si="15"/>
        <v>0.5475372486894925</v>
      </c>
      <c r="AT37" s="74">
        <f t="shared" si="16"/>
        <v>0.81675624251828083</v>
      </c>
      <c r="AU37" s="80">
        <f t="shared" si="17"/>
        <v>2490368.5235510641</v>
      </c>
      <c r="AV37" s="80">
        <f t="shared" si="18"/>
        <v>437517.21016201458</v>
      </c>
      <c r="AW37" s="74">
        <f t="shared" si="19"/>
        <v>1.32194049549972</v>
      </c>
      <c r="AX37" s="74">
        <f t="shared" si="20"/>
        <v>1.1828631833896521</v>
      </c>
      <c r="AY37" s="74">
        <f t="shared" si="21"/>
        <v>1.3011580186118459</v>
      </c>
    </row>
    <row r="38" spans="1:51" hidden="1" x14ac:dyDescent="0.3">
      <c r="A38" s="63">
        <v>45692</v>
      </c>
      <c r="B38" s="3">
        <f>+'BD MD'!B37</f>
        <v>22395022</v>
      </c>
      <c r="C38" s="3">
        <f t="shared" si="11"/>
        <v>2754754.9310344825</v>
      </c>
      <c r="D38" s="4">
        <f t="shared" si="22"/>
        <v>3.5689361568100937E-2</v>
      </c>
      <c r="E38" s="3">
        <v>25170911</v>
      </c>
      <c r="F38" s="7">
        <v>46057</v>
      </c>
      <c r="G38" s="3">
        <f>+Tabla22[[#This Row],[Meta Digital]]+Tabla22[[#This Row],[Meta MKPlace]]</f>
        <v>3343688.390192152</v>
      </c>
      <c r="H38" s="3">
        <f>+Tabla2[[#This Row],[Meta Digital]]</f>
        <v>2844037.3282387387</v>
      </c>
      <c r="I38" s="3">
        <f>+Tabla2[[#This Row],[Meta MKPlace]]</f>
        <v>499651.06195341313</v>
      </c>
      <c r="J38" s="3">
        <v>2354728</v>
      </c>
      <c r="K38" s="3">
        <v>3050065</v>
      </c>
      <c r="L38" s="3">
        <v>23787.931034482746</v>
      </c>
      <c r="M38" s="3">
        <f>11845+11364</f>
        <v>23209</v>
      </c>
      <c r="N38" s="3">
        <v>132035</v>
      </c>
      <c r="O38" s="3">
        <v>39499</v>
      </c>
      <c r="P38" s="3">
        <v>2563</v>
      </c>
      <c r="Q38" s="3">
        <v>6199</v>
      </c>
      <c r="R38" s="3">
        <v>50149</v>
      </c>
      <c r="S38" s="3">
        <v>60063</v>
      </c>
      <c r="T38" s="3">
        <v>79913</v>
      </c>
      <c r="U38" s="3">
        <v>318098</v>
      </c>
      <c r="V38" s="3">
        <v>56003</v>
      </c>
      <c r="W38" s="3">
        <v>80270</v>
      </c>
      <c r="X38" s="3">
        <v>51486</v>
      </c>
      <c r="Y38" s="3">
        <v>22916</v>
      </c>
      <c r="Z38" s="3">
        <v>4090</v>
      </c>
      <c r="AA38" s="3">
        <v>4100</v>
      </c>
      <c r="AB38" s="3">
        <v>0</v>
      </c>
      <c r="AC38" s="3">
        <v>2376</v>
      </c>
      <c r="AD38" s="3">
        <v>0</v>
      </c>
      <c r="AE38" s="3">
        <v>0</v>
      </c>
      <c r="AF38" s="5">
        <f t="shared" si="4"/>
        <v>3606795</v>
      </c>
      <c r="AG38" s="4">
        <f t="shared" si="1"/>
        <v>1.0786875387609693</v>
      </c>
      <c r="AH38" s="5">
        <f t="shared" si="5"/>
        <v>263106.609807848</v>
      </c>
      <c r="AI38" s="17">
        <f t="shared" si="6"/>
        <v>0.28456237872379608</v>
      </c>
      <c r="AJ38" s="17">
        <f t="shared" si="7"/>
        <v>0.10993904630214808</v>
      </c>
      <c r="AK38" s="14">
        <f t="shared" si="8"/>
        <v>0.14329219153013573</v>
      </c>
      <c r="AL38" s="14">
        <f t="shared" si="9"/>
        <v>-1.4436437014000103E-2</v>
      </c>
      <c r="AN38" s="84">
        <f t="shared" si="10"/>
        <v>46057</v>
      </c>
      <c r="AO38" s="80">
        <f>+Tabla22[[#This Row],[Web + APP 2025]]+Tabla22[[#This Row],[Afiliados 2025]]+Tabla22[[#This Row],[TMK 2025]]+Tabla22[[#This Row],[WA 2025]]+Tabla22[[#This Row],[Ent. en Tienda 2025]]</f>
        <v>2563262.9310344825</v>
      </c>
      <c r="AP38" s="80">
        <f>+Tabla22[[#This Row],[Meli Drop 2025]]+Tabla22[[#This Row],[Meli Full 2025]]+Tabla22[[#This Row],[Amazon Drop 2025]]+Tabla22[[#This Row],[Amazon Full 2025]]+Tabla22[[#This Row],[TikTok 2025]]+Tabla22[[#This Row],[Shein 2025]]</f>
        <v>191492</v>
      </c>
      <c r="AQ38" s="80">
        <f t="shared" si="13"/>
        <v>3179035</v>
      </c>
      <c r="AR38" s="80">
        <f t="shared" si="14"/>
        <v>427760</v>
      </c>
      <c r="AS38" s="74">
        <f t="shared" si="15"/>
        <v>0.24022977179208227</v>
      </c>
      <c r="AT38" s="74">
        <f t="shared" si="16"/>
        <v>1.2338270006057694</v>
      </c>
      <c r="AU38" s="80">
        <f t="shared" si="17"/>
        <v>2844037.3282387387</v>
      </c>
      <c r="AV38" s="80">
        <f t="shared" si="18"/>
        <v>499651.06195341313</v>
      </c>
      <c r="AW38" s="74">
        <f t="shared" si="19"/>
        <v>1.1177894778085489</v>
      </c>
      <c r="AX38" s="74">
        <f t="shared" si="20"/>
        <v>0.85611746391101207</v>
      </c>
      <c r="AY38" s="74">
        <f t="shared" si="21"/>
        <v>1.0786875387609693</v>
      </c>
    </row>
    <row r="39" spans="1:51" hidden="1" x14ac:dyDescent="0.3">
      <c r="A39" s="7">
        <v>45693</v>
      </c>
      <c r="B39" s="3">
        <f>+'BD MD'!B38</f>
        <v>25539612</v>
      </c>
      <c r="C39" s="3">
        <f t="shared" si="11"/>
        <v>2807800.5862068967</v>
      </c>
      <c r="D39" s="4">
        <f t="shared" si="22"/>
        <v>3.637659713513345E-2</v>
      </c>
      <c r="E39" s="3">
        <v>29563607</v>
      </c>
      <c r="F39" s="7">
        <v>46058</v>
      </c>
      <c r="G39" s="3">
        <f>+Tabla22[[#This Row],[Meta Digital]]+Tabla22[[#This Row],[Meta MKPlace]]</f>
        <v>3408074.5681972969</v>
      </c>
      <c r="H39" s="3">
        <f>+Tabla2[[#This Row],[Meta Digital]]</f>
        <v>2898802.2083054287</v>
      </c>
      <c r="I39" s="3">
        <f>+Tabla2[[#This Row],[Meta MKPlace]]</f>
        <v>509272.35989186831</v>
      </c>
      <c r="J39" s="3">
        <v>2362602</v>
      </c>
      <c r="K39" s="3">
        <v>2711541</v>
      </c>
      <c r="L39" s="3">
        <v>24452.586206896543</v>
      </c>
      <c r="M39" s="3">
        <f>13034+9391</f>
        <v>22425</v>
      </c>
      <c r="N39" s="3">
        <v>110188</v>
      </c>
      <c r="O39" s="3">
        <v>48724</v>
      </c>
      <c r="P39" s="3">
        <v>-697</v>
      </c>
      <c r="Q39" s="3">
        <v>4521</v>
      </c>
      <c r="R39" s="3">
        <v>48254</v>
      </c>
      <c r="S39" s="3">
        <v>63963</v>
      </c>
      <c r="T39" s="3">
        <v>151535</v>
      </c>
      <c r="U39" s="3">
        <v>334593</v>
      </c>
      <c r="V39" s="3">
        <v>57305</v>
      </c>
      <c r="W39" s="3">
        <v>91963</v>
      </c>
      <c r="X39" s="3">
        <v>46066</v>
      </c>
      <c r="Y39" s="3">
        <v>28657</v>
      </c>
      <c r="Z39" s="3">
        <v>8095</v>
      </c>
      <c r="AA39" s="3">
        <v>3153</v>
      </c>
      <c r="AB39" s="3">
        <v>0</v>
      </c>
      <c r="AC39" s="3">
        <v>5982</v>
      </c>
      <c r="AD39" s="3">
        <v>0</v>
      </c>
      <c r="AE39" s="3">
        <v>0</v>
      </c>
      <c r="AF39" s="5">
        <f t="shared" si="4"/>
        <v>3315522</v>
      </c>
      <c r="AG39" s="4">
        <f t="shared" si="1"/>
        <v>0.97284315048122538</v>
      </c>
      <c r="AH39" s="5">
        <f t="shared" si="5"/>
        <v>-92552.568197296932</v>
      </c>
      <c r="AI39" s="17">
        <f t="shared" si="6"/>
        <v>0.43416881489632564</v>
      </c>
      <c r="AJ39" s="17">
        <f t="shared" si="7"/>
        <v>7.8628449947565418E-2</v>
      </c>
      <c r="AK39" s="14">
        <f t="shared" si="8"/>
        <v>0.11214876452660191</v>
      </c>
      <c r="AL39" s="14">
        <f t="shared" si="9"/>
        <v>5.5079193644305136E-3</v>
      </c>
      <c r="AN39" s="84">
        <f t="shared" si="10"/>
        <v>46058</v>
      </c>
      <c r="AO39" s="80">
        <f>+Tabla22[[#This Row],[Web + APP 2025]]+Tabla22[[#This Row],[Afiliados 2025]]+Tabla22[[#This Row],[TMK 2025]]+Tabla22[[#This Row],[WA 2025]]+Tabla22[[#This Row],[Ent. en Tienda 2025]]</f>
        <v>2544799.5862068967</v>
      </c>
      <c r="AP39" s="80">
        <f>+Tabla22[[#This Row],[Meli Drop 2025]]+Tabla22[[#This Row],[Meli Full 2025]]+Tabla22[[#This Row],[Amazon Drop 2025]]+Tabla22[[#This Row],[Amazon Full 2025]]+Tabla22[[#This Row],[TikTok 2025]]+Tabla22[[#This Row],[Shein 2025]]</f>
        <v>263001</v>
      </c>
      <c r="AQ39" s="80">
        <f t="shared" si="13"/>
        <v>2851174</v>
      </c>
      <c r="AR39" s="80">
        <f t="shared" si="14"/>
        <v>464348</v>
      </c>
      <c r="AS39" s="74">
        <f t="shared" si="15"/>
        <v>0.12039235445246366</v>
      </c>
      <c r="AT39" s="74">
        <f t="shared" si="16"/>
        <v>0.76557503583636555</v>
      </c>
      <c r="AU39" s="80">
        <f t="shared" si="17"/>
        <v>2898802.2083054287</v>
      </c>
      <c r="AV39" s="80">
        <f t="shared" si="18"/>
        <v>509272.35989186831</v>
      </c>
      <c r="AW39" s="74">
        <f t="shared" si="19"/>
        <v>0.98356969365865388</v>
      </c>
      <c r="AX39" s="74">
        <f t="shared" si="20"/>
        <v>0.91178716256777237</v>
      </c>
      <c r="AY39" s="74">
        <f t="shared" si="21"/>
        <v>0.97284315048122538</v>
      </c>
    </row>
    <row r="40" spans="1:51" hidden="1" x14ac:dyDescent="0.3">
      <c r="A40" s="63">
        <v>45694</v>
      </c>
      <c r="B40" s="3">
        <f>+'BD MD'!B39</f>
        <v>29401665</v>
      </c>
      <c r="C40" s="3">
        <f t="shared" si="11"/>
        <v>2311807.3448275859</v>
      </c>
      <c r="D40" s="4">
        <f t="shared" si="22"/>
        <v>2.9950732559124452E-2</v>
      </c>
      <c r="E40" s="3">
        <v>30256382</v>
      </c>
      <c r="F40" s="7">
        <v>46059</v>
      </c>
      <c r="G40" s="3">
        <f>+Tabla22[[#This Row],[Meta Digital]]+Tabla22[[#This Row],[Meta MKPlace]]</f>
        <v>2806043.939581275</v>
      </c>
      <c r="H40" s="3">
        <f>+Tabla2[[#This Row],[Meta Digital]]</f>
        <v>2386733.6837535328</v>
      </c>
      <c r="I40" s="3">
        <f>+Tabla2[[#This Row],[Meta MKPlace]]</f>
        <v>419310.25582774234</v>
      </c>
      <c r="J40" s="3">
        <v>1988730</v>
      </c>
      <c r="K40" s="3">
        <v>2349247</v>
      </c>
      <c r="L40" s="3">
        <v>22460.344827586192</v>
      </c>
      <c r="M40" s="3">
        <f>13643+8748</f>
        <v>22391</v>
      </c>
      <c r="N40" s="3">
        <v>52855</v>
      </c>
      <c r="O40" s="3">
        <v>29006</v>
      </c>
      <c r="P40" s="3">
        <v>2503</v>
      </c>
      <c r="Q40" s="3">
        <v>4581</v>
      </c>
      <c r="R40" s="3">
        <v>40300</v>
      </c>
      <c r="S40" s="3">
        <v>74959</v>
      </c>
      <c r="T40" s="3">
        <v>119932</v>
      </c>
      <c r="U40" s="3">
        <v>291618</v>
      </c>
      <c r="V40" s="3">
        <v>56342</v>
      </c>
      <c r="W40" s="3">
        <v>85249</v>
      </c>
      <c r="X40" s="3">
        <v>22237</v>
      </c>
      <c r="Y40" s="3">
        <v>20982</v>
      </c>
      <c r="Z40" s="3">
        <v>6448</v>
      </c>
      <c r="AA40" s="3">
        <v>3548</v>
      </c>
      <c r="AB40" s="3">
        <v>0</v>
      </c>
      <c r="AC40" s="3">
        <v>3560</v>
      </c>
      <c r="AD40" s="3">
        <v>0</v>
      </c>
      <c r="AE40" s="3">
        <v>0</v>
      </c>
      <c r="AF40" s="5">
        <f t="shared" si="4"/>
        <v>2885141</v>
      </c>
      <c r="AG40" s="4">
        <f t="shared" si="1"/>
        <v>1.0281881047203161</v>
      </c>
      <c r="AH40" s="5">
        <f t="shared" si="5"/>
        <v>79097.060418725014</v>
      </c>
      <c r="AI40" s="17">
        <f t="shared" si="6"/>
        <v>0.35482282992813063</v>
      </c>
      <c r="AJ40" s="17">
        <f t="shared" si="7"/>
        <v>6.6513666103679037E-2</v>
      </c>
      <c r="AK40" s="14">
        <f t="shared" si="8"/>
        <v>9.5356444137967317E-2</v>
      </c>
      <c r="AL40" s="14">
        <f t="shared" si="9"/>
        <v>-5.4974898087656987E-2</v>
      </c>
      <c r="AN40" s="84">
        <f t="shared" si="10"/>
        <v>46059</v>
      </c>
      <c r="AO40" s="80">
        <f>+Tabla22[[#This Row],[Web + APP 2025]]+Tabla22[[#This Row],[Afiliados 2025]]+Tabla22[[#This Row],[TMK 2025]]+Tabla22[[#This Row],[WA 2025]]+Tabla22[[#This Row],[Ent. en Tienda 2025]]</f>
        <v>2106848.3448275859</v>
      </c>
      <c r="AP40" s="80">
        <f>+Tabla22[[#This Row],[Meli Drop 2025]]+Tabla22[[#This Row],[Meli Full 2025]]+Tabla22[[#This Row],[Amazon Drop 2025]]+Tabla22[[#This Row],[Amazon Full 2025]]+Tabla22[[#This Row],[TikTok 2025]]+Tabla22[[#This Row],[Shein 2025]]</f>
        <v>204959</v>
      </c>
      <c r="AQ40" s="80">
        <f t="shared" si="13"/>
        <v>2480184</v>
      </c>
      <c r="AR40" s="80">
        <f t="shared" si="14"/>
        <v>404957</v>
      </c>
      <c r="AS40" s="74">
        <f t="shared" si="15"/>
        <v>0.17720101026206803</v>
      </c>
      <c r="AT40" s="74">
        <f t="shared" si="16"/>
        <v>0.97579515903180636</v>
      </c>
      <c r="AU40" s="80">
        <f t="shared" si="17"/>
        <v>2386733.6837535328</v>
      </c>
      <c r="AV40" s="80">
        <f t="shared" si="18"/>
        <v>419310.25582774234</v>
      </c>
      <c r="AW40" s="74">
        <f t="shared" si="19"/>
        <v>1.0391540610008492</v>
      </c>
      <c r="AX40" s="74">
        <f t="shared" si="20"/>
        <v>0.96576936617157572</v>
      </c>
      <c r="AY40" s="74">
        <f t="shared" si="21"/>
        <v>1.0281881047203161</v>
      </c>
    </row>
    <row r="41" spans="1:51" hidden="1" x14ac:dyDescent="0.3">
      <c r="A41" s="7">
        <v>45695</v>
      </c>
      <c r="B41" s="3">
        <f>+'BD MD'!B40</f>
        <v>32016485</v>
      </c>
      <c r="C41" s="3">
        <f t="shared" si="11"/>
        <v>2129533.7931034481</v>
      </c>
      <c r="D41" s="4">
        <f t="shared" si="22"/>
        <v>2.758927868949046E-2</v>
      </c>
      <c r="E41" s="3">
        <v>41295456</v>
      </c>
      <c r="F41" s="7">
        <v>46060</v>
      </c>
      <c r="G41" s="3">
        <f>+Tabla22[[#This Row],[Meta Digital]]+Tabla22[[#This Row],[Meta MKPlace]]</f>
        <v>2584802.4956063596</v>
      </c>
      <c r="H41" s="3">
        <f>+Tabla2[[#This Row],[Meta Digital]]</f>
        <v>2198552.5939534931</v>
      </c>
      <c r="I41" s="3">
        <f>+Tabla2[[#This Row],[Meta MKPlace]]</f>
        <v>386249.90165286645</v>
      </c>
      <c r="J41" s="3">
        <v>1675481</v>
      </c>
      <c r="K41" s="3">
        <v>2093587</v>
      </c>
      <c r="L41" s="3">
        <v>23913.793103448268</v>
      </c>
      <c r="M41" s="3">
        <f>14334+12342</f>
        <v>26676</v>
      </c>
      <c r="N41" s="3">
        <v>91347</v>
      </c>
      <c r="O41" s="3">
        <v>31006</v>
      </c>
      <c r="P41" s="3">
        <v>4838</v>
      </c>
      <c r="Q41" s="3">
        <v>2429</v>
      </c>
      <c r="R41" s="3">
        <v>53316</v>
      </c>
      <c r="S41" s="3">
        <v>69984</v>
      </c>
      <c r="T41" s="3">
        <v>166819</v>
      </c>
      <c r="U41" s="3">
        <v>282237</v>
      </c>
      <c r="V41" s="3">
        <v>60494</v>
      </c>
      <c r="W41" s="3">
        <v>81965</v>
      </c>
      <c r="X41" s="3">
        <v>49141</v>
      </c>
      <c r="Y41" s="3">
        <v>25885</v>
      </c>
      <c r="Z41" s="3">
        <v>4184</v>
      </c>
      <c r="AA41" s="3">
        <v>5353</v>
      </c>
      <c r="AB41" s="3">
        <v>0</v>
      </c>
      <c r="AC41" s="3">
        <v>-930</v>
      </c>
      <c r="AD41" s="3">
        <v>0</v>
      </c>
      <c r="AE41" s="3">
        <v>0</v>
      </c>
      <c r="AF41" s="5">
        <f t="shared" si="4"/>
        <v>2618192</v>
      </c>
      <c r="AG41" s="4">
        <f t="shared" si="1"/>
        <v>1.0129176230874102</v>
      </c>
      <c r="AH41" s="5">
        <f t="shared" si="5"/>
        <v>33389.50439364044</v>
      </c>
      <c r="AI41" s="17">
        <f t="shared" si="6"/>
        <v>0.32527597447820367</v>
      </c>
      <c r="AJ41" s="17">
        <f t="shared" si="7"/>
        <v>4.6322878643969896E-2</v>
      </c>
      <c r="AK41" s="14">
        <f t="shared" si="8"/>
        <v>6.3401455114092939E-2</v>
      </c>
      <c r="AL41" s="14">
        <f t="shared" si="9"/>
        <v>-3.1716259113478751E-2</v>
      </c>
      <c r="AN41" s="84">
        <f t="shared" si="10"/>
        <v>46060</v>
      </c>
      <c r="AO41" s="80">
        <f>+Tabla22[[#This Row],[Web + APP 2025]]+Tabla22[[#This Row],[Afiliados 2025]]+Tabla22[[#This Row],[TMK 2025]]+Tabla22[[#This Row],[WA 2025]]+Tabla22[[#This Row],[Ent. en Tienda 2025]]</f>
        <v>1848895.7931034483</v>
      </c>
      <c r="AP41" s="80">
        <f>+Tabla22[[#This Row],[Meli Drop 2025]]+Tabla22[[#This Row],[Meli Full 2025]]+Tabla22[[#This Row],[Amazon Drop 2025]]+Tabla22[[#This Row],[Amazon Full 2025]]+Tabla22[[#This Row],[TikTok 2025]]+Tabla22[[#This Row],[Shein 2025]]</f>
        <v>280638</v>
      </c>
      <c r="AQ41" s="80">
        <f t="shared" si="13"/>
        <v>2223682</v>
      </c>
      <c r="AR41" s="80">
        <f t="shared" si="14"/>
        <v>394510</v>
      </c>
      <c r="AS41" s="74">
        <f t="shared" si="15"/>
        <v>0.2027081289786794</v>
      </c>
      <c r="AT41" s="74">
        <f t="shared" si="16"/>
        <v>0.40576115850312511</v>
      </c>
      <c r="AU41" s="80">
        <f t="shared" si="17"/>
        <v>2198552.5939534931</v>
      </c>
      <c r="AV41" s="80">
        <f t="shared" si="18"/>
        <v>386249.90165286645</v>
      </c>
      <c r="AW41" s="74">
        <f t="shared" si="19"/>
        <v>1.0114299772111972</v>
      </c>
      <c r="AX41" s="74">
        <f t="shared" si="20"/>
        <v>1.0213853733341713</v>
      </c>
      <c r="AY41" s="74">
        <f t="shared" si="21"/>
        <v>1.0129176230874102</v>
      </c>
    </row>
    <row r="42" spans="1:51" hidden="1" x14ac:dyDescent="0.3">
      <c r="A42" s="63">
        <v>45696</v>
      </c>
      <c r="B42" s="3">
        <f>+'BD MD'!B41</f>
        <v>42648094</v>
      </c>
      <c r="C42" s="3">
        <f t="shared" si="11"/>
        <v>1975582.4827586208</v>
      </c>
      <c r="D42" s="4">
        <f t="shared" si="22"/>
        <v>2.5594754996337052E-2</v>
      </c>
      <c r="E42" s="3">
        <v>41339084</v>
      </c>
      <c r="F42" s="7">
        <v>46061</v>
      </c>
      <c r="G42" s="3">
        <f>+Tabla22[[#This Row],[Meta Digital]]+Tabla22[[#This Row],[Meta MKPlace]]</f>
        <v>2397938.2474456131</v>
      </c>
      <c r="H42" s="3">
        <f>+Tabla2[[#This Row],[Meta Digital]]</f>
        <v>2039611.6774968943</v>
      </c>
      <c r="I42" s="3">
        <f>+Tabla2[[#This Row],[Meta MKPlace]]</f>
        <v>358326.56994871871</v>
      </c>
      <c r="J42" s="3">
        <v>1541898</v>
      </c>
      <c r="K42" s="3">
        <v>2397497</v>
      </c>
      <c r="L42" s="3">
        <v>17559.482758620688</v>
      </c>
      <c r="M42" s="3">
        <f>13709+11462</f>
        <v>25171</v>
      </c>
      <c r="N42" s="3">
        <v>13396</v>
      </c>
      <c r="O42" s="3">
        <v>5807</v>
      </c>
      <c r="P42" s="3">
        <v>921</v>
      </c>
      <c r="Q42" s="3">
        <v>4467</v>
      </c>
      <c r="R42" s="3">
        <v>40059</v>
      </c>
      <c r="S42" s="3">
        <v>69643</v>
      </c>
      <c r="T42" s="3">
        <v>260206</v>
      </c>
      <c r="U42" s="3">
        <v>234501</v>
      </c>
      <c r="V42" s="3">
        <v>70792</v>
      </c>
      <c r="W42" s="3">
        <v>58072</v>
      </c>
      <c r="X42" s="3">
        <v>28263</v>
      </c>
      <c r="Y42" s="3">
        <v>17667</v>
      </c>
      <c r="Z42" s="3">
        <v>2488</v>
      </c>
      <c r="AA42" s="3">
        <v>2741</v>
      </c>
      <c r="AB42" s="3">
        <v>0</v>
      </c>
      <c r="AC42" s="3">
        <v>0</v>
      </c>
      <c r="AD42" s="3">
        <v>0</v>
      </c>
      <c r="AE42" s="3">
        <v>0</v>
      </c>
      <c r="AF42" s="5">
        <f t="shared" si="4"/>
        <v>2815566</v>
      </c>
      <c r="AG42" s="4">
        <f t="shared" si="1"/>
        <v>1.1741611790876023</v>
      </c>
      <c r="AH42" s="5">
        <f t="shared" si="5"/>
        <v>417627.75255438685</v>
      </c>
      <c r="AI42" s="17">
        <f t="shared" si="6"/>
        <v>0.21078873712828927</v>
      </c>
      <c r="AJ42" s="17">
        <f t="shared" si="7"/>
        <v>5.5642586853894366E-2</v>
      </c>
      <c r="AK42" s="14">
        <f t="shared" si="8"/>
        <v>6.8109056310971958E-2</v>
      </c>
      <c r="AL42" s="14">
        <f t="shared" si="9"/>
        <v>-1.0830260813277759E-2</v>
      </c>
      <c r="AN42" s="84">
        <f t="shared" si="10"/>
        <v>46061</v>
      </c>
      <c r="AO42" s="80">
        <f>+Tabla22[[#This Row],[Web + APP 2025]]+Tabla22[[#This Row],[Afiliados 2025]]+Tabla22[[#This Row],[TMK 2025]]+Tabla22[[#This Row],[WA 2025]]+Tabla22[[#This Row],[Ent. en Tienda 2025]]</f>
        <v>1613833.4827586208</v>
      </c>
      <c r="AP42" s="80">
        <f>+Tabla22[[#This Row],[Meli Drop 2025]]+Tabla22[[#This Row],[Meli Full 2025]]+Tabla22[[#This Row],[Amazon Drop 2025]]+Tabla22[[#This Row],[Amazon Full 2025]]+Tabla22[[#This Row],[TikTok 2025]]+Tabla22[[#This Row],[Shein 2025]]</f>
        <v>361749</v>
      </c>
      <c r="AQ42" s="80">
        <f t="shared" si="13"/>
        <v>2502585</v>
      </c>
      <c r="AR42" s="80">
        <f t="shared" si="14"/>
        <v>312981</v>
      </c>
      <c r="AS42" s="74">
        <f t="shared" si="15"/>
        <v>0.55070831454195868</v>
      </c>
      <c r="AT42" s="74">
        <f t="shared" si="16"/>
        <v>-0.13481170645945117</v>
      </c>
      <c r="AU42" s="80">
        <f t="shared" si="17"/>
        <v>2039611.6774968943</v>
      </c>
      <c r="AV42" s="80">
        <f t="shared" si="18"/>
        <v>358326.56994871871</v>
      </c>
      <c r="AW42" s="74">
        <f t="shared" si="19"/>
        <v>1.2269909157763246</v>
      </c>
      <c r="AX42" s="74">
        <f t="shared" si="20"/>
        <v>0.87345183485777156</v>
      </c>
      <c r="AY42" s="74">
        <f t="shared" si="21"/>
        <v>1.1741611790876023</v>
      </c>
    </row>
    <row r="43" spans="1:51" hidden="1" x14ac:dyDescent="0.3">
      <c r="A43" s="7">
        <v>45697</v>
      </c>
      <c r="B43" s="3">
        <f>+'BD MD'!B42</f>
        <v>41791699</v>
      </c>
      <c r="C43" s="3">
        <f t="shared" si="11"/>
        <v>2325398.2413793104</v>
      </c>
      <c r="D43" s="4">
        <f t="shared" si="22"/>
        <v>3.0126810080796044E-2</v>
      </c>
      <c r="E43" s="3">
        <v>22422064</v>
      </c>
      <c r="F43" s="7">
        <v>46062</v>
      </c>
      <c r="G43" s="3">
        <f>+Tabla22[[#This Row],[Meta Digital]]+Tabla22[[#This Row],[Meta MKPlace]]</f>
        <v>2822540.4062906527</v>
      </c>
      <c r="H43" s="3">
        <f>+Tabla2[[#This Row],[Meta Digital]]</f>
        <v>2400765.065159508</v>
      </c>
      <c r="I43" s="3">
        <f>+Tabla2[[#This Row],[Meta MKPlace]]</f>
        <v>421775.34113114461</v>
      </c>
      <c r="J43" s="3">
        <v>1896294</v>
      </c>
      <c r="K43" s="3">
        <v>2252123</v>
      </c>
      <c r="L43" s="3">
        <v>21667.241379310333</v>
      </c>
      <c r="M43" s="3">
        <f>6100+3966</f>
        <v>10066</v>
      </c>
      <c r="N43" s="3">
        <v>30139</v>
      </c>
      <c r="O43" s="3">
        <v>16050</v>
      </c>
      <c r="P43" s="3">
        <v>3695</v>
      </c>
      <c r="Q43" s="3">
        <v>1868</v>
      </c>
      <c r="R43" s="3">
        <v>40975</v>
      </c>
      <c r="S43" s="3">
        <v>58213</v>
      </c>
      <c r="T43" s="3">
        <v>191313</v>
      </c>
      <c r="U43" s="3">
        <v>451605</v>
      </c>
      <c r="V43" s="3">
        <v>87339</v>
      </c>
      <c r="W43" s="3">
        <v>67176</v>
      </c>
      <c r="X43" s="3">
        <v>48851</v>
      </c>
      <c r="Y43" s="3">
        <v>11686</v>
      </c>
      <c r="Z43" s="3">
        <v>5125</v>
      </c>
      <c r="AA43" s="3">
        <v>3093</v>
      </c>
      <c r="AB43" s="3">
        <v>0</v>
      </c>
      <c r="AC43" s="3">
        <v>586</v>
      </c>
      <c r="AD43" s="3">
        <v>0</v>
      </c>
      <c r="AE43" s="3">
        <v>0</v>
      </c>
      <c r="AF43" s="5">
        <f t="shared" si="4"/>
        <v>2872466</v>
      </c>
      <c r="AG43" s="4">
        <f t="shared" si="1"/>
        <v>1.0176881767921115</v>
      </c>
      <c r="AH43" s="5">
        <f t="shared" si="5"/>
        <v>49925.593709347304</v>
      </c>
      <c r="AI43" s="17">
        <f t="shared" si="6"/>
        <v>-0.32071831501279491</v>
      </c>
      <c r="AJ43" s="17">
        <f t="shared" si="7"/>
        <v>0.16013515436776288</v>
      </c>
      <c r="AK43" s="14">
        <f t="shared" si="8"/>
        <v>0.12810890201722733</v>
      </c>
      <c r="AL43" s="14">
        <f t="shared" si="9"/>
        <v>-0.15090305379408775</v>
      </c>
      <c r="AN43" s="84">
        <f t="shared" si="10"/>
        <v>46062</v>
      </c>
      <c r="AO43" s="80">
        <f>+Tabla22[[#This Row],[Web + APP 2025]]+Tabla22[[#This Row],[Afiliados 2025]]+Tabla22[[#This Row],[TMK 2025]]+Tabla22[[#This Row],[WA 2025]]+Tabla22[[#This Row],[Ent. en Tienda 2025]]</f>
        <v>1992770.2413793104</v>
      </c>
      <c r="AP43" s="80">
        <f>+Tabla22[[#This Row],[Meli Drop 2025]]+Tabla22[[#This Row],[Meli Full 2025]]+Tabla22[[#This Row],[Amazon Drop 2025]]+Tabla22[[#This Row],[Amazon Full 2025]]+Tabla22[[#This Row],[TikTok 2025]]+Tabla22[[#This Row],[Shein 2025]]</f>
        <v>332628</v>
      </c>
      <c r="AQ43" s="80">
        <f t="shared" si="13"/>
        <v>2338320</v>
      </c>
      <c r="AR43" s="80">
        <f t="shared" si="14"/>
        <v>534146</v>
      </c>
      <c r="AS43" s="74">
        <f t="shared" si="15"/>
        <v>0.17340170554810919</v>
      </c>
      <c r="AT43" s="74">
        <f t="shared" si="16"/>
        <v>0.60583594886780423</v>
      </c>
      <c r="AU43" s="80">
        <f t="shared" si="17"/>
        <v>2400765.065159508</v>
      </c>
      <c r="AV43" s="80">
        <f t="shared" si="18"/>
        <v>421775.34113114461</v>
      </c>
      <c r="AW43" s="74">
        <f t="shared" si="19"/>
        <v>0.97398951439866976</v>
      </c>
      <c r="AX43" s="74">
        <f t="shared" si="20"/>
        <v>1.2664230169727144</v>
      </c>
      <c r="AY43" s="74">
        <f t="shared" si="21"/>
        <v>1.0176881767921115</v>
      </c>
    </row>
    <row r="44" spans="1:51" hidden="1" x14ac:dyDescent="0.3">
      <c r="A44" s="63">
        <v>45698</v>
      </c>
      <c r="B44" s="3">
        <f>+'BD MD'!B43</f>
        <v>26406954</v>
      </c>
      <c r="C44" s="3">
        <f t="shared" si="11"/>
        <v>4228681.6551724132</v>
      </c>
      <c r="D44" s="4">
        <f t="shared" si="22"/>
        <v>5.4784890970744092E-2</v>
      </c>
      <c r="E44" s="3">
        <v>27571599</v>
      </c>
      <c r="F44" s="7">
        <v>46063</v>
      </c>
      <c r="G44" s="3">
        <f>+Tabla22[[#This Row],[Meta Digital]]+Tabla22[[#This Row],[Meta MKPlace]]</f>
        <v>5132722.9137253296</v>
      </c>
      <c r="H44" s="3">
        <f>+Tabla2[[#This Row],[Meta Digital]]</f>
        <v>4365734.4401349127</v>
      </c>
      <c r="I44" s="3">
        <f>+Tabla2[[#This Row],[Meta MKPlace]]</f>
        <v>766988.4735904173</v>
      </c>
      <c r="J44" s="3">
        <v>3630208</v>
      </c>
      <c r="K44" s="3">
        <v>4002151</v>
      </c>
      <c r="L44" s="3">
        <v>20464.655172413786</v>
      </c>
      <c r="M44" s="3">
        <f>10914+11047</f>
        <v>21961</v>
      </c>
      <c r="N44" s="3">
        <v>83992</v>
      </c>
      <c r="O44" s="3">
        <v>55589</v>
      </c>
      <c r="P44" s="3">
        <v>8959</v>
      </c>
      <c r="Q44" s="3">
        <v>3319</v>
      </c>
      <c r="R44" s="3">
        <v>63382</v>
      </c>
      <c r="S44" s="3">
        <v>62975</v>
      </c>
      <c r="T44" s="3">
        <v>281151</v>
      </c>
      <c r="U44" s="3">
        <v>557077</v>
      </c>
      <c r="V44" s="3">
        <v>78555</v>
      </c>
      <c r="W44" s="3">
        <v>78209</v>
      </c>
      <c r="X44" s="3">
        <v>59569</v>
      </c>
      <c r="Y44" s="3">
        <v>21078</v>
      </c>
      <c r="Z44" s="3">
        <v>2401</v>
      </c>
      <c r="AA44" s="3">
        <v>953</v>
      </c>
      <c r="AB44" s="3">
        <v>0</v>
      </c>
      <c r="AC44" s="3">
        <v>844</v>
      </c>
      <c r="AD44" s="3">
        <v>0</v>
      </c>
      <c r="AE44" s="3">
        <v>0</v>
      </c>
      <c r="AF44" s="5">
        <f t="shared" si="4"/>
        <v>4804156</v>
      </c>
      <c r="AG44" s="4">
        <f t="shared" si="1"/>
        <v>0.93598584625585102</v>
      </c>
      <c r="AH44" s="5">
        <f t="shared" si="5"/>
        <v>-328566.91372532956</v>
      </c>
      <c r="AI44" s="17">
        <f t="shared" si="6"/>
        <v>0.34016253170717681</v>
      </c>
      <c r="AJ44" s="17">
        <f t="shared" si="7"/>
        <v>0.12462434560396962</v>
      </c>
      <c r="AK44" s="14">
        <f t="shared" si="8"/>
        <v>0.17424292294400481</v>
      </c>
      <c r="AL44" s="14">
        <f t="shared" si="9"/>
        <v>-4.1471092799337916E-2</v>
      </c>
      <c r="AN44" s="84">
        <f t="shared" si="10"/>
        <v>46063</v>
      </c>
      <c r="AO44" s="80">
        <f>+Tabla22[[#This Row],[Web + APP 2025]]+Tabla22[[#This Row],[Afiliados 2025]]+Tabla22[[#This Row],[TMK 2025]]+Tabla22[[#This Row],[WA 2025]]+Tabla22[[#This Row],[Ent. en Tienda 2025]]</f>
        <v>3807005.6551724137</v>
      </c>
      <c r="AP44" s="80">
        <f>+Tabla22[[#This Row],[Meli Drop 2025]]+Tabla22[[#This Row],[Meli Full 2025]]+Tabla22[[#This Row],[Amazon Drop 2025]]+Tabla22[[#This Row],[Amazon Full 2025]]+Tabla22[[#This Row],[TikTok 2025]]+Tabla22[[#This Row],[Shein 2025]]</f>
        <v>421676</v>
      </c>
      <c r="AQ44" s="80">
        <f t="shared" si="13"/>
        <v>4145995</v>
      </c>
      <c r="AR44" s="80">
        <f t="shared" si="14"/>
        <v>658161</v>
      </c>
      <c r="AS44" s="74">
        <f t="shared" si="15"/>
        <v>8.9043562193561909E-2</v>
      </c>
      <c r="AT44" s="74">
        <f t="shared" si="16"/>
        <v>0.56082157865280458</v>
      </c>
      <c r="AU44" s="80">
        <f t="shared" si="17"/>
        <v>4365734.4401349127</v>
      </c>
      <c r="AV44" s="80">
        <f t="shared" si="18"/>
        <v>766988.4735904173</v>
      </c>
      <c r="AW44" s="74">
        <f t="shared" si="19"/>
        <v>0.94966724542042413</v>
      </c>
      <c r="AX44" s="74">
        <f t="shared" si="20"/>
        <v>0.85811067918533979</v>
      </c>
      <c r="AY44" s="74">
        <f t="shared" si="21"/>
        <v>0.93598584625585102</v>
      </c>
    </row>
    <row r="45" spans="1:51" hidden="1" x14ac:dyDescent="0.3">
      <c r="A45" s="7">
        <v>45699</v>
      </c>
      <c r="B45" s="3">
        <f>+'BD MD'!B44</f>
        <v>28764494</v>
      </c>
      <c r="C45" s="3">
        <f t="shared" si="11"/>
        <v>3584756.2413793104</v>
      </c>
      <c r="D45" s="4">
        <f t="shared" si="22"/>
        <v>4.6442483935966235E-2</v>
      </c>
      <c r="E45" s="3">
        <v>29524043</v>
      </c>
      <c r="F45" s="7">
        <v>46064</v>
      </c>
      <c r="G45" s="3">
        <f>+Tabla22[[#This Row],[Meta Digital]]+Tabla22[[#This Row],[Meta MKPlace]]</f>
        <v>4351133.9941472337</v>
      </c>
      <c r="H45" s="3">
        <f>+Tabla2[[#This Row],[Meta Digital]]</f>
        <v>3700939.2190437065</v>
      </c>
      <c r="I45" s="3">
        <f>+Tabla2[[#This Row],[Meta MKPlace]]</f>
        <v>650194.77510352724</v>
      </c>
      <c r="J45" s="3">
        <v>2855454</v>
      </c>
      <c r="K45" s="3">
        <v>3104553</v>
      </c>
      <c r="L45" s="3">
        <v>16592.241379310341</v>
      </c>
      <c r="M45" s="3">
        <f>12075+10720</f>
        <v>22795</v>
      </c>
      <c r="N45" s="3">
        <v>62364</v>
      </c>
      <c r="O45" s="3">
        <v>17436</v>
      </c>
      <c r="P45" s="3">
        <v>4603</v>
      </c>
      <c r="Q45" s="3">
        <v>696</v>
      </c>
      <c r="R45" s="3">
        <v>42383</v>
      </c>
      <c r="S45" s="3">
        <v>83559</v>
      </c>
      <c r="T45" s="3">
        <v>448251</v>
      </c>
      <c r="U45" s="3">
        <v>555761</v>
      </c>
      <c r="V45" s="3">
        <v>107546</v>
      </c>
      <c r="W45" s="3">
        <v>71762</v>
      </c>
      <c r="X45" s="3">
        <v>43052</v>
      </c>
      <c r="Y45" s="3">
        <v>24671</v>
      </c>
      <c r="Z45" s="3">
        <v>4511</v>
      </c>
      <c r="AA45" s="3">
        <v>4503</v>
      </c>
      <c r="AB45" s="3">
        <v>0</v>
      </c>
      <c r="AC45" s="3">
        <v>-435</v>
      </c>
      <c r="AD45" s="3">
        <v>0</v>
      </c>
      <c r="AE45" s="3">
        <v>0</v>
      </c>
      <c r="AF45" s="5">
        <f t="shared" si="4"/>
        <v>3885301</v>
      </c>
      <c r="AG45" s="4">
        <f t="shared" si="1"/>
        <v>0.89293986469416209</v>
      </c>
      <c r="AH45" s="5">
        <f t="shared" si="5"/>
        <v>-465832.99414723366</v>
      </c>
      <c r="AI45" s="17">
        <f t="shared" si="6"/>
        <v>0.10155406762092167</v>
      </c>
      <c r="AJ45" s="17">
        <f t="shared" si="7"/>
        <v>0.10342440514974581</v>
      </c>
      <c r="AK45" s="14">
        <f t="shared" si="8"/>
        <v>0.13159786415430977</v>
      </c>
      <c r="AL45" s="14">
        <f t="shared" si="9"/>
        <v>-0.13427489939816295</v>
      </c>
      <c r="AN45" s="84">
        <f t="shared" si="10"/>
        <v>46064</v>
      </c>
      <c r="AO45" s="80">
        <f>+Tabla22[[#This Row],[Web + APP 2025]]+Tabla22[[#This Row],[Afiliados 2025]]+Tabla22[[#This Row],[TMK 2025]]+Tabla22[[#This Row],[WA 2025]]+Tabla22[[#This Row],[Ent. en Tienda 2025]]</f>
        <v>2981396.2413793104</v>
      </c>
      <c r="AP45" s="80">
        <f>+Tabla22[[#This Row],[Meli Drop 2025]]+Tabla22[[#This Row],[Meli Full 2025]]+Tabla22[[#This Row],[Amazon Drop 2025]]+Tabla22[[#This Row],[Amazon Full 2025]]+Tabla22[[#This Row],[TikTok 2025]]+Tabla22[[#This Row],[Shein 2025]]</f>
        <v>603360</v>
      </c>
      <c r="AQ45" s="80">
        <f t="shared" si="13"/>
        <v>3229039</v>
      </c>
      <c r="AR45" s="80">
        <f t="shared" si="14"/>
        <v>656262</v>
      </c>
      <c r="AS45" s="74">
        <f t="shared" si="15"/>
        <v>8.3062678883005558E-2</v>
      </c>
      <c r="AT45" s="74">
        <f t="shared" si="16"/>
        <v>8.7678997613365173E-2</v>
      </c>
      <c r="AU45" s="80">
        <f t="shared" si="17"/>
        <v>3700939.2190437065</v>
      </c>
      <c r="AV45" s="80">
        <f t="shared" si="18"/>
        <v>650194.77510352724</v>
      </c>
      <c r="AW45" s="74">
        <f t="shared" si="19"/>
        <v>0.87249176732882372</v>
      </c>
      <c r="AX45" s="74">
        <f t="shared" si="20"/>
        <v>1.0093313959582446</v>
      </c>
      <c r="AY45" s="74">
        <f t="shared" si="21"/>
        <v>0.89293986469416209</v>
      </c>
    </row>
    <row r="46" spans="1:51" hidden="1" x14ac:dyDescent="0.3">
      <c r="A46" s="63">
        <v>45700</v>
      </c>
      <c r="B46" s="3">
        <f>+'BD MD'!B45</f>
        <v>34103254</v>
      </c>
      <c r="C46" s="3">
        <f t="shared" si="11"/>
        <v>3527108.7586206896</v>
      </c>
      <c r="D46" s="4">
        <f t="shared" si="22"/>
        <v>4.5695629167694457E-2</v>
      </c>
      <c r="E46" s="3">
        <v>33200957</v>
      </c>
      <c r="F46" s="7">
        <v>46065</v>
      </c>
      <c r="G46" s="3">
        <f>+Tabla22[[#This Row],[Meta Digital]]+Tabla22[[#This Row],[Meta MKPlace]]</f>
        <v>4281162.1731869495</v>
      </c>
      <c r="H46" s="3">
        <f>+Tabla2[[#This Row],[Meta Digital]]</f>
        <v>3641423.3648392274</v>
      </c>
      <c r="I46" s="3">
        <f>+Tabla2[[#This Row],[Meta MKPlace]]</f>
        <v>639738.8083477224</v>
      </c>
      <c r="J46" s="3">
        <v>2929364</v>
      </c>
      <c r="K46" s="3">
        <v>2317644</v>
      </c>
      <c r="L46" s="3">
        <v>19632.758620689645</v>
      </c>
      <c r="M46" s="3">
        <f>13963+11447</f>
        <v>25410</v>
      </c>
      <c r="N46" s="3">
        <v>23666</v>
      </c>
      <c r="O46" s="3">
        <v>26530</v>
      </c>
      <c r="P46" s="3">
        <v>8628</v>
      </c>
      <c r="Q46" s="3">
        <v>5396</v>
      </c>
      <c r="R46" s="3">
        <v>92989</v>
      </c>
      <c r="S46" s="3">
        <v>99852</v>
      </c>
      <c r="T46" s="3">
        <v>286849</v>
      </c>
      <c r="U46" s="3">
        <v>459284</v>
      </c>
      <c r="V46" s="3">
        <v>127459</v>
      </c>
      <c r="W46" s="3">
        <v>89138</v>
      </c>
      <c r="X46" s="3">
        <v>36103</v>
      </c>
      <c r="Y46" s="3">
        <v>11692</v>
      </c>
      <c r="Z46" s="3">
        <v>2418</v>
      </c>
      <c r="AA46" s="3">
        <v>1959</v>
      </c>
      <c r="AB46" s="3">
        <v>0</v>
      </c>
      <c r="AC46" s="3">
        <v>3313</v>
      </c>
      <c r="AD46" s="3">
        <v>0</v>
      </c>
      <c r="AE46" s="3">
        <v>0</v>
      </c>
      <c r="AF46" s="5">
        <f t="shared" si="4"/>
        <v>3040218</v>
      </c>
      <c r="AG46" s="4">
        <f t="shared" si="1"/>
        <v>0.71013848039697702</v>
      </c>
      <c r="AH46" s="5">
        <f t="shared" si="5"/>
        <v>-1240944.1731869495</v>
      </c>
      <c r="AI46" s="17">
        <f t="shared" si="6"/>
        <v>0.39384321814183254</v>
      </c>
      <c r="AJ46" s="17">
        <f t="shared" si="7"/>
        <v>5.521319907078874E-2</v>
      </c>
      <c r="AK46" s="14">
        <f t="shared" si="8"/>
        <v>9.1570191786941563E-2</v>
      </c>
      <c r="AL46" s="14">
        <f t="shared" si="9"/>
        <v>-0.15956774169704713</v>
      </c>
      <c r="AN46" s="84">
        <f t="shared" si="10"/>
        <v>46065</v>
      </c>
      <c r="AO46" s="80">
        <f>+Tabla22[[#This Row],[Web + APP 2025]]+Tabla22[[#This Row],[Afiliados 2025]]+Tabla22[[#This Row],[TMK 2025]]+Tabla22[[#This Row],[WA 2025]]+Tabla22[[#This Row],[Ent. en Tienda 2025]]</f>
        <v>3074279.7586206896</v>
      </c>
      <c r="AP46" s="80">
        <f>+Tabla22[[#This Row],[Meli Drop 2025]]+Tabla22[[#This Row],[Meli Full 2025]]+Tabla22[[#This Row],[Amazon Drop 2025]]+Tabla22[[#This Row],[Amazon Full 2025]]+Tabla22[[#This Row],[TikTok 2025]]+Tabla22[[#This Row],[Shein 2025]]</f>
        <v>452829</v>
      </c>
      <c r="AQ46" s="80">
        <f t="shared" si="13"/>
        <v>2474832</v>
      </c>
      <c r="AR46" s="80">
        <f t="shared" si="14"/>
        <v>565386</v>
      </c>
      <c r="AS46" s="74">
        <f t="shared" si="15"/>
        <v>-0.19498803156731537</v>
      </c>
      <c r="AT46" s="74">
        <f t="shared" si="16"/>
        <v>0.24856402748057205</v>
      </c>
      <c r="AU46" s="80">
        <f t="shared" si="17"/>
        <v>3641423.3648392274</v>
      </c>
      <c r="AV46" s="80">
        <f t="shared" si="18"/>
        <v>639738.8083477224</v>
      </c>
      <c r="AW46" s="74">
        <f t="shared" si="19"/>
        <v>0.67963314123164753</v>
      </c>
      <c r="AX46" s="74">
        <f t="shared" si="20"/>
        <v>0.88377630467697244</v>
      </c>
      <c r="AY46" s="74">
        <f t="shared" si="21"/>
        <v>0.71013848039697702</v>
      </c>
    </row>
    <row r="47" spans="1:51" hidden="1" x14ac:dyDescent="0.3">
      <c r="A47" s="7">
        <v>45701</v>
      </c>
      <c r="B47" s="3">
        <f>+'BD MD'!B46</f>
        <v>39504620</v>
      </c>
      <c r="C47" s="3">
        <f t="shared" si="11"/>
        <v>2181176.4482758623</v>
      </c>
      <c r="D47" s="4">
        <f t="shared" si="22"/>
        <v>2.825833762174652E-2</v>
      </c>
      <c r="E47" s="3">
        <v>35824613</v>
      </c>
      <c r="F47" s="7">
        <v>46066</v>
      </c>
      <c r="G47" s="3">
        <f>+Tabla22[[#This Row],[Meta Digital]]+Tabla22[[#This Row],[Meta MKPlace]]</f>
        <v>2647485.7290923428</v>
      </c>
      <c r="H47" s="3">
        <f>+Tabla2[[#This Row],[Meta Digital]]</f>
        <v>2251869.0023878915</v>
      </c>
      <c r="I47" s="3">
        <f>+Tabla2[[#This Row],[Meta MKPlace]]</f>
        <v>395616.72670445126</v>
      </c>
      <c r="J47" s="3">
        <v>1665220</v>
      </c>
      <c r="K47" s="3">
        <v>1758784</v>
      </c>
      <c r="L47" s="3">
        <v>18078.448275862062</v>
      </c>
      <c r="M47" s="3">
        <f>8886+9726</f>
        <v>18612</v>
      </c>
      <c r="N47" s="3">
        <v>39150</v>
      </c>
      <c r="O47" s="3">
        <v>25664</v>
      </c>
      <c r="P47" s="3">
        <v>4561</v>
      </c>
      <c r="Q47" s="3">
        <v>3330</v>
      </c>
      <c r="R47" s="3">
        <v>81122</v>
      </c>
      <c r="S47" s="3">
        <v>68260</v>
      </c>
      <c r="T47" s="3">
        <v>288539</v>
      </c>
      <c r="U47" s="3">
        <v>399606</v>
      </c>
      <c r="V47" s="3">
        <v>74526</v>
      </c>
      <c r="W47" s="3">
        <v>59102</v>
      </c>
      <c r="X47" s="3">
        <v>6407</v>
      </c>
      <c r="Y47" s="3">
        <v>14235</v>
      </c>
      <c r="Z47" s="3">
        <v>3573</v>
      </c>
      <c r="AA47" s="3">
        <v>7832</v>
      </c>
      <c r="AB47" s="3">
        <v>0</v>
      </c>
      <c r="AC47" s="3">
        <v>2440</v>
      </c>
      <c r="AD47" s="3">
        <v>0</v>
      </c>
      <c r="AE47" s="3">
        <v>0</v>
      </c>
      <c r="AF47" s="5">
        <f t="shared" si="4"/>
        <v>2357865</v>
      </c>
      <c r="AG47" s="4">
        <f t="shared" si="1"/>
        <v>0.89060536723208872</v>
      </c>
      <c r="AH47" s="5">
        <f t="shared" si="5"/>
        <v>-289620.72909234278</v>
      </c>
      <c r="AI47" s="17">
        <f t="shared" si="6"/>
        <v>0.26356387324255204</v>
      </c>
      <c r="AJ47" s="17">
        <f t="shared" si="7"/>
        <v>5.7251596949853857E-2</v>
      </c>
      <c r="AK47" s="14">
        <f t="shared" si="8"/>
        <v>6.5816900799458747E-2</v>
      </c>
      <c r="AL47" s="14">
        <f t="shared" si="9"/>
        <v>9.912573689391535E-2</v>
      </c>
      <c r="AN47" s="84">
        <f t="shared" si="10"/>
        <v>46066</v>
      </c>
      <c r="AO47" s="80">
        <f>+Tabla22[[#This Row],[Web + APP 2025]]+Tabla22[[#This Row],[Afiliados 2025]]+Tabla22[[#This Row],[TMK 2025]]+Tabla22[[#This Row],[WA 2025]]+Tabla22[[#This Row],[Ent. en Tienda 2025]]</f>
        <v>1808131.448275862</v>
      </c>
      <c r="AP47" s="80">
        <f>+Tabla22[[#This Row],[Meli Drop 2025]]+Tabla22[[#This Row],[Meli Full 2025]]+Tabla22[[#This Row],[Amazon Drop 2025]]+Tabla22[[#This Row],[Amazon Full 2025]]+Tabla22[[#This Row],[TikTok 2025]]+Tabla22[[#This Row],[Shein 2025]]</f>
        <v>373045</v>
      </c>
      <c r="AQ47" s="80">
        <f t="shared" si="13"/>
        <v>1874650</v>
      </c>
      <c r="AR47" s="80">
        <f t="shared" si="14"/>
        <v>483215</v>
      </c>
      <c r="AS47" s="74">
        <f t="shared" si="15"/>
        <v>3.6788559696567802E-2</v>
      </c>
      <c r="AT47" s="74">
        <f t="shared" si="16"/>
        <v>0.29532630111648728</v>
      </c>
      <c r="AU47" s="80">
        <f t="shared" si="17"/>
        <v>2251869.0023878915</v>
      </c>
      <c r="AV47" s="80">
        <f t="shared" si="18"/>
        <v>395616.72670445126</v>
      </c>
      <c r="AW47" s="74">
        <f t="shared" si="19"/>
        <v>0.83248625830903711</v>
      </c>
      <c r="AX47" s="74">
        <f t="shared" si="20"/>
        <v>1.2214220668202176</v>
      </c>
      <c r="AY47" s="74">
        <f t="shared" si="21"/>
        <v>0.89060536723208872</v>
      </c>
    </row>
    <row r="48" spans="1:51" hidden="1" x14ac:dyDescent="0.3">
      <c r="A48" s="63">
        <v>45702</v>
      </c>
      <c r="B48" s="3">
        <f>+'BD MD'!B47</f>
        <v>32593735</v>
      </c>
      <c r="C48" s="3">
        <f t="shared" si="11"/>
        <v>1866043.3793103448</v>
      </c>
      <c r="D48" s="4">
        <f t="shared" si="22"/>
        <v>2.4175615810934793E-2</v>
      </c>
      <c r="E48" s="3">
        <v>40028256</v>
      </c>
      <c r="F48" s="7">
        <v>46067</v>
      </c>
      <c r="G48" s="3">
        <f>+Tabla22[[#This Row],[Meta Digital]]+Tabla22[[#This Row],[Meta MKPlace]]</f>
        <v>2264981.0016500619</v>
      </c>
      <c r="H48" s="3">
        <f>+Tabla2[[#This Row],[Meta Digital]]</f>
        <v>1926522.3802969749</v>
      </c>
      <c r="I48" s="3">
        <f>+Tabla2[[#This Row],[Meta MKPlace]]</f>
        <v>338458.62135308707</v>
      </c>
      <c r="J48" s="3">
        <v>1401802</v>
      </c>
      <c r="K48" s="3">
        <v>1400645</v>
      </c>
      <c r="L48" s="3">
        <v>14241.379310344822</v>
      </c>
      <c r="M48" s="3">
        <f>11423+8165</f>
        <v>19588</v>
      </c>
      <c r="N48" s="3">
        <v>55802</v>
      </c>
      <c r="O48" s="3">
        <v>-861</v>
      </c>
      <c r="P48" s="3">
        <v>2882</v>
      </c>
      <c r="Q48" s="3">
        <v>1446</v>
      </c>
      <c r="R48" s="3">
        <v>95242</v>
      </c>
      <c r="S48" s="3">
        <v>76825</v>
      </c>
      <c r="T48" s="3">
        <v>211719</v>
      </c>
      <c r="U48" s="3">
        <v>365354</v>
      </c>
      <c r="V48" s="3">
        <v>60511</v>
      </c>
      <c r="W48" s="3">
        <v>48474</v>
      </c>
      <c r="X48" s="3">
        <v>20710</v>
      </c>
      <c r="Y48" s="3">
        <v>16510</v>
      </c>
      <c r="Z48" s="3">
        <v>3134</v>
      </c>
      <c r="AA48" s="3">
        <v>7433</v>
      </c>
      <c r="AB48" s="3">
        <v>0</v>
      </c>
      <c r="AC48" s="3">
        <v>0</v>
      </c>
      <c r="AD48" s="3">
        <v>0</v>
      </c>
      <c r="AE48" s="3">
        <v>0</v>
      </c>
      <c r="AF48" s="5">
        <f t="shared" si="4"/>
        <v>1935414</v>
      </c>
      <c r="AG48" s="4">
        <f t="shared" si="1"/>
        <v>0.85449458454178251</v>
      </c>
      <c r="AH48" s="5">
        <f t="shared" si="5"/>
        <v>-329567.00165006192</v>
      </c>
      <c r="AI48" s="17">
        <f t="shared" si="6"/>
        <v>4.2515562088233816E-2</v>
      </c>
      <c r="AJ48" s="17">
        <f t="shared" si="7"/>
        <v>4.3829553983324686E-2</v>
      </c>
      <c r="AK48" s="14">
        <f t="shared" si="8"/>
        <v>4.8351194716052578E-2</v>
      </c>
      <c r="AL48" s="14">
        <f t="shared" si="9"/>
        <v>-5.4976978845317603E-2</v>
      </c>
      <c r="AN48" s="84">
        <f t="shared" si="10"/>
        <v>46067</v>
      </c>
      <c r="AO48" s="80">
        <f>+Tabla22[[#This Row],[Web + APP 2025]]+Tabla22[[#This Row],[Afiliados 2025]]+Tabla22[[#This Row],[TMK 2025]]+Tabla22[[#This Row],[WA 2025]]+Tabla22[[#This Row],[Ent. en Tienda 2025]]</f>
        <v>1569969.3793103448</v>
      </c>
      <c r="AP48" s="80">
        <f>+Tabla22[[#This Row],[Meli Drop 2025]]+Tabla22[[#This Row],[Meli Full 2025]]+Tabla22[[#This Row],[Amazon Drop 2025]]+Tabla22[[#This Row],[Amazon Full 2025]]+Tabla22[[#This Row],[TikTok 2025]]+Tabla22[[#This Row],[Shein 2025]]</f>
        <v>296074</v>
      </c>
      <c r="AQ48" s="80">
        <f t="shared" si="13"/>
        <v>1497643</v>
      </c>
      <c r="AR48" s="80">
        <f t="shared" si="14"/>
        <v>437771</v>
      </c>
      <c r="AS48" s="74">
        <f t="shared" si="15"/>
        <v>-4.6068656028257271E-2</v>
      </c>
      <c r="AT48" s="74">
        <f t="shared" si="16"/>
        <v>0.47858643447246307</v>
      </c>
      <c r="AU48" s="80">
        <f t="shared" si="17"/>
        <v>1926522.3802969749</v>
      </c>
      <c r="AV48" s="80">
        <f t="shared" si="18"/>
        <v>338458.62135308707</v>
      </c>
      <c r="AW48" s="74">
        <f t="shared" si="19"/>
        <v>0.77738157382274331</v>
      </c>
      <c r="AX48" s="74">
        <f t="shared" si="20"/>
        <v>1.2934254658660569</v>
      </c>
      <c r="AY48" s="74">
        <f t="shared" si="21"/>
        <v>0.85449458454178251</v>
      </c>
    </row>
    <row r="49" spans="1:51" hidden="1" x14ac:dyDescent="0.3">
      <c r="A49" s="7">
        <v>45703</v>
      </c>
      <c r="B49" s="3">
        <f>+'BD MD'!B48</f>
        <v>42356911</v>
      </c>
      <c r="C49" s="3">
        <f t="shared" si="11"/>
        <v>1856484.5172413792</v>
      </c>
      <c r="D49" s="4">
        <f t="shared" si="22"/>
        <v>2.4051775508221979E-2</v>
      </c>
      <c r="E49" s="3">
        <v>41384863</v>
      </c>
      <c r="F49" s="7">
        <v>46068</v>
      </c>
      <c r="G49" s="3">
        <f>+Tabla22[[#This Row],[Meta Digital]]+Tabla22[[#This Row],[Meta MKPlace]]</f>
        <v>2253378.5698825847</v>
      </c>
      <c r="H49" s="3">
        <f>+Tabla2[[#This Row],[Meta Digital]]</f>
        <v>1916653.7127674771</v>
      </c>
      <c r="I49" s="3">
        <f>+Tabla2[[#This Row],[Meta MKPlace]]</f>
        <v>336724.8571151077</v>
      </c>
      <c r="J49" s="3">
        <v>1480367</v>
      </c>
      <c r="K49" s="3">
        <v>2149329</v>
      </c>
      <c r="L49" s="3">
        <v>20915.517241379304</v>
      </c>
      <c r="M49" s="3">
        <f>17478+10892</f>
        <v>28370</v>
      </c>
      <c r="N49" s="3">
        <v>13567</v>
      </c>
      <c r="O49" s="3">
        <v>178</v>
      </c>
      <c r="P49" s="3">
        <v>1142</v>
      </c>
      <c r="Q49" s="3">
        <v>0</v>
      </c>
      <c r="R49" s="3">
        <v>55048</v>
      </c>
      <c r="S49" s="3">
        <v>68941</v>
      </c>
      <c r="T49" s="3">
        <v>234704</v>
      </c>
      <c r="U49" s="3">
        <v>492948</v>
      </c>
      <c r="V49" s="3">
        <v>34552</v>
      </c>
      <c r="W49" s="3">
        <v>50253</v>
      </c>
      <c r="X49" s="3">
        <v>16189</v>
      </c>
      <c r="Y49" s="3">
        <v>25710</v>
      </c>
      <c r="Z49" s="3">
        <v>0</v>
      </c>
      <c r="AA49" s="3">
        <v>9189</v>
      </c>
      <c r="AB49" s="3">
        <v>0</v>
      </c>
      <c r="AC49" s="3">
        <v>0</v>
      </c>
      <c r="AD49" s="3">
        <v>0</v>
      </c>
      <c r="AE49" s="3">
        <v>0</v>
      </c>
      <c r="AF49" s="5">
        <f t="shared" si="4"/>
        <v>2824918</v>
      </c>
      <c r="AG49" s="4">
        <f t="shared" si="1"/>
        <v>1.2536366670724113</v>
      </c>
      <c r="AH49" s="5">
        <f t="shared" si="5"/>
        <v>571539.43011741526</v>
      </c>
      <c r="AI49" s="17">
        <f t="shared" si="6"/>
        <v>0.10856448943964403</v>
      </c>
      <c r="AJ49" s="17">
        <f t="shared" si="7"/>
        <v>5.7415459552348488E-2</v>
      </c>
      <c r="AK49" s="14">
        <f t="shared" si="8"/>
        <v>6.8259691955486243E-2</v>
      </c>
      <c r="AL49" s="14">
        <f t="shared" si="9"/>
        <v>-6.7550148833097734E-2</v>
      </c>
      <c r="AN49" s="84">
        <f t="shared" si="10"/>
        <v>46068</v>
      </c>
      <c r="AO49" s="80">
        <f>+Tabla22[[#This Row],[Web + APP 2025]]+Tabla22[[#This Row],[Afiliados 2025]]+Tabla22[[#This Row],[TMK 2025]]+Tabla22[[#This Row],[WA 2025]]+Tabla22[[#This Row],[Ent. en Tienda 2025]]</f>
        <v>1571039.5172413792</v>
      </c>
      <c r="AP49" s="80">
        <f>+Tabla22[[#This Row],[Meli Drop 2025]]+Tabla22[[#This Row],[Meli Full 2025]]+Tabla22[[#This Row],[Amazon Drop 2025]]+Tabla22[[#This Row],[Amazon Full 2025]]+Tabla22[[#This Row],[TikTok 2025]]+Tabla22[[#This Row],[Shein 2025]]</f>
        <v>285445</v>
      </c>
      <c r="AQ49" s="80">
        <f t="shared" si="13"/>
        <v>2246818</v>
      </c>
      <c r="AR49" s="80">
        <f t="shared" si="14"/>
        <v>578100</v>
      </c>
      <c r="AS49" s="74">
        <f t="shared" si="15"/>
        <v>0.43014734851815439</v>
      </c>
      <c r="AT49" s="74">
        <f t="shared" si="16"/>
        <v>1.0252588064250556</v>
      </c>
      <c r="AU49" s="80">
        <f t="shared" si="17"/>
        <v>1916653.7127674771</v>
      </c>
      <c r="AV49" s="80">
        <f t="shared" si="18"/>
        <v>336724.8571151077</v>
      </c>
      <c r="AW49" s="74">
        <f t="shared" si="19"/>
        <v>1.172260792355545</v>
      </c>
      <c r="AX49" s="74">
        <f t="shared" si="20"/>
        <v>1.7168319706269246</v>
      </c>
      <c r="AY49" s="74">
        <f t="shared" si="21"/>
        <v>1.2536366670724113</v>
      </c>
    </row>
    <row r="50" spans="1:51" hidden="1" x14ac:dyDescent="0.3">
      <c r="A50" s="63">
        <v>45704</v>
      </c>
      <c r="B50" s="3">
        <f>+'BD MD'!B49</f>
        <v>44382937</v>
      </c>
      <c r="C50" s="3">
        <f t="shared" si="11"/>
        <v>2548266.7241379311</v>
      </c>
      <c r="D50" s="4">
        <f t="shared" si="22"/>
        <v>3.3014193554983903E-2</v>
      </c>
      <c r="E50" s="3">
        <v>23766868</v>
      </c>
      <c r="F50" s="7">
        <v>46069</v>
      </c>
      <c r="G50" s="3">
        <f>+Tabla22[[#This Row],[Meta Digital]]+Tabla22[[#This Row],[Meta MKPlace]]</f>
        <v>3093055.4891186906</v>
      </c>
      <c r="H50" s="3">
        <f>+Tabla2[[#This Row],[Meta Digital]]</f>
        <v>2630856.7793489159</v>
      </c>
      <c r="I50" s="3">
        <f>+Tabla2[[#This Row],[Meta MKPlace]]</f>
        <v>462198.70976977464</v>
      </c>
      <c r="J50" s="3">
        <v>1932100</v>
      </c>
      <c r="K50" s="3">
        <v>3080170</v>
      </c>
      <c r="L50" s="3">
        <v>24901.724137931022</v>
      </c>
      <c r="M50" s="3">
        <f>12628+12367</f>
        <v>24995</v>
      </c>
      <c r="N50" s="3">
        <v>13663</v>
      </c>
      <c r="O50" s="3">
        <v>27259</v>
      </c>
      <c r="P50" s="3">
        <v>2471</v>
      </c>
      <c r="Q50" s="3">
        <v>2265</v>
      </c>
      <c r="R50" s="3">
        <v>72548</v>
      </c>
      <c r="S50" s="3">
        <v>98172</v>
      </c>
      <c r="T50" s="3">
        <v>370770</v>
      </c>
      <c r="U50" s="3">
        <v>460199</v>
      </c>
      <c r="V50" s="3">
        <v>101714</v>
      </c>
      <c r="W50" s="3">
        <v>48934</v>
      </c>
      <c r="X50" s="3">
        <v>26966</v>
      </c>
      <c r="Y50" s="3">
        <v>24099</v>
      </c>
      <c r="Z50" s="3">
        <v>3133</v>
      </c>
      <c r="AA50" s="3">
        <v>5432</v>
      </c>
      <c r="AB50" s="3">
        <v>0</v>
      </c>
      <c r="AC50" s="3">
        <v>430</v>
      </c>
      <c r="AD50" s="3">
        <v>0</v>
      </c>
      <c r="AE50" s="3">
        <v>0</v>
      </c>
      <c r="AF50" s="5">
        <f t="shared" si="4"/>
        <v>3771955</v>
      </c>
      <c r="AG50" s="4">
        <f t="shared" si="1"/>
        <v>1.2194915394404222</v>
      </c>
      <c r="AH50" s="5">
        <f t="shared" si="5"/>
        <v>678899.5108813094</v>
      </c>
      <c r="AI50" s="17">
        <f t="shared" si="6"/>
        <v>1.1901192684481643E-2</v>
      </c>
      <c r="AJ50" s="17">
        <f t="shared" si="7"/>
        <v>0.15490853877118541</v>
      </c>
      <c r="AK50" s="14">
        <f t="shared" si="8"/>
        <v>0.15870643956957223</v>
      </c>
      <c r="AL50" s="14">
        <f t="shared" si="9"/>
        <v>-1.2313957992503122E-2</v>
      </c>
      <c r="AN50" s="84">
        <f t="shared" si="10"/>
        <v>46069</v>
      </c>
      <c r="AO50" s="80">
        <f>+Tabla22[[#This Row],[Web + APP 2025]]+Tabla22[[#This Row],[Afiliados 2025]]+Tabla22[[#This Row],[TMK 2025]]+Tabla22[[#This Row],[WA 2025]]+Tabla22[[#This Row],[Ent. en Tienda 2025]]</f>
        <v>2045683.7241379311</v>
      </c>
      <c r="AP50" s="80">
        <f>+Tabla22[[#This Row],[Meli Drop 2025]]+Tabla22[[#This Row],[Meli Full 2025]]+Tabla22[[#This Row],[Amazon Drop 2025]]+Tabla22[[#This Row],[Amazon Full 2025]]+Tabla22[[#This Row],[TikTok 2025]]+Tabla22[[#This Row],[Shein 2025]]</f>
        <v>502583</v>
      </c>
      <c r="AQ50" s="80">
        <f t="shared" si="13"/>
        <v>3232861</v>
      </c>
      <c r="AR50" s="80">
        <f t="shared" si="14"/>
        <v>539094</v>
      </c>
      <c r="AS50" s="74">
        <f t="shared" si="15"/>
        <v>0.58033275713837718</v>
      </c>
      <c r="AT50" s="74">
        <f t="shared" si="16"/>
        <v>7.2646707111064135E-2</v>
      </c>
      <c r="AU50" s="80">
        <f t="shared" si="17"/>
        <v>2630856.7793489159</v>
      </c>
      <c r="AV50" s="80">
        <f t="shared" si="18"/>
        <v>462198.70976977464</v>
      </c>
      <c r="AW50" s="74">
        <f t="shared" si="19"/>
        <v>1.2288243987192902</v>
      </c>
      <c r="AX50" s="74">
        <f t="shared" si="20"/>
        <v>1.1663684657807194</v>
      </c>
      <c r="AY50" s="74">
        <f t="shared" si="21"/>
        <v>1.2194915394404222</v>
      </c>
    </row>
    <row r="51" spans="1:51" hidden="1" x14ac:dyDescent="0.3">
      <c r="A51" s="7">
        <v>45705</v>
      </c>
      <c r="B51" s="3">
        <f>+'BD MD'!B50</f>
        <v>24063181</v>
      </c>
      <c r="C51" s="3">
        <f t="shared" si="11"/>
        <v>3727592.2068965519</v>
      </c>
      <c r="D51" s="4">
        <f t="shared" si="22"/>
        <v>4.8293002238281896E-2</v>
      </c>
      <c r="E51" s="3">
        <v>26877030</v>
      </c>
      <c r="F51" s="7">
        <v>46070</v>
      </c>
      <c r="G51" s="3">
        <f>+Tabla22[[#This Row],[Meta Digital]]+Tabla22[[#This Row],[Meta MKPlace]]</f>
        <v>4524506.570495626</v>
      </c>
      <c r="H51" s="3">
        <f>+Tabla2[[#This Row],[Meta Digital]]</f>
        <v>3848404.5391596798</v>
      </c>
      <c r="I51" s="3">
        <f>+Tabla2[[#This Row],[Meta MKPlace]]</f>
        <v>676102.03133594652</v>
      </c>
      <c r="J51" s="3">
        <v>3064112</v>
      </c>
      <c r="K51" s="3">
        <v>3594147</v>
      </c>
      <c r="L51" s="3">
        <v>18136.206896551725</v>
      </c>
      <c r="M51" s="3">
        <f>15370+11491</f>
        <v>26861</v>
      </c>
      <c r="N51" s="3">
        <v>41372</v>
      </c>
      <c r="O51" s="3">
        <v>48038</v>
      </c>
      <c r="P51" s="3">
        <v>9059</v>
      </c>
      <c r="Q51" s="3">
        <v>4918</v>
      </c>
      <c r="R51" s="3">
        <v>59366</v>
      </c>
      <c r="S51" s="3">
        <v>78213</v>
      </c>
      <c r="T51" s="3">
        <v>381579</v>
      </c>
      <c r="U51" s="3">
        <v>470863</v>
      </c>
      <c r="V51" s="3">
        <v>106292</v>
      </c>
      <c r="W51" s="3">
        <v>44216</v>
      </c>
      <c r="X51" s="3">
        <v>40654</v>
      </c>
      <c r="Y51" s="3">
        <v>21475</v>
      </c>
      <c r="Z51" s="3">
        <v>7022</v>
      </c>
      <c r="AA51" s="3">
        <v>6664</v>
      </c>
      <c r="AB51" s="3">
        <v>0</v>
      </c>
      <c r="AC51" s="3">
        <v>0</v>
      </c>
      <c r="AD51" s="3">
        <v>0</v>
      </c>
      <c r="AE51" s="3">
        <v>947</v>
      </c>
      <c r="AF51" s="5">
        <f t="shared" si="4"/>
        <v>4296342</v>
      </c>
      <c r="AG51" s="4">
        <f t="shared" si="1"/>
        <v>0.94957139150079029</v>
      </c>
      <c r="AH51" s="5">
        <f t="shared" si="5"/>
        <v>-228164.57049562596</v>
      </c>
      <c r="AI51" s="17">
        <f t="shared" si="6"/>
        <v>0.18106489174471552</v>
      </c>
      <c r="AJ51" s="17">
        <f t="shared" si="7"/>
        <v>0.12968883163442441</v>
      </c>
      <c r="AK51" s="14">
        <f t="shared" si="8"/>
        <v>0.15985181398391116</v>
      </c>
      <c r="AL51" s="14">
        <f t="shared" si="9"/>
        <v>-4.1794258836333698E-2</v>
      </c>
      <c r="AN51" s="84">
        <f t="shared" si="10"/>
        <v>46070</v>
      </c>
      <c r="AO51" s="80">
        <f>+Tabla22[[#This Row],[Web + APP 2025]]+Tabla22[[#This Row],[Afiliados 2025]]+Tabla22[[#This Row],[TMK 2025]]+Tabla22[[#This Row],[WA 2025]]+Tabla22[[#This Row],[Ent. en Tienda 2025]]</f>
        <v>3192045.2068965519</v>
      </c>
      <c r="AP51" s="80">
        <f>+Tabla22[[#This Row],[Meli Drop 2025]]+Tabla22[[#This Row],[Meli Full 2025]]+Tabla22[[#This Row],[Amazon Drop 2025]]+Tabla22[[#This Row],[Amazon Full 2025]]+Tabla22[[#This Row],[TikTok 2025]]+Tabla22[[#This Row],[Shein 2025]]</f>
        <v>535547</v>
      </c>
      <c r="AQ51" s="80">
        <f t="shared" si="13"/>
        <v>3752177</v>
      </c>
      <c r="AR51" s="80">
        <f t="shared" si="14"/>
        <v>544165</v>
      </c>
      <c r="AS51" s="74">
        <f t="shared" si="15"/>
        <v>0.1754773998479906</v>
      </c>
      <c r="AT51" s="74">
        <f t="shared" si="16"/>
        <v>1.6091958315516575E-2</v>
      </c>
      <c r="AU51" s="80">
        <f t="shared" si="17"/>
        <v>3848404.5391596798</v>
      </c>
      <c r="AV51" s="80">
        <f t="shared" si="18"/>
        <v>676102.03133594652</v>
      </c>
      <c r="AW51" s="74">
        <f t="shared" si="19"/>
        <v>0.97499547197273295</v>
      </c>
      <c r="AX51" s="74">
        <f t="shared" si="20"/>
        <v>0.80485633052270966</v>
      </c>
      <c r="AY51" s="74">
        <f t="shared" si="21"/>
        <v>0.94957139150079029</v>
      </c>
    </row>
    <row r="52" spans="1:51" hidden="1" x14ac:dyDescent="0.3">
      <c r="A52" s="63">
        <v>45706</v>
      </c>
      <c r="B52" s="3">
        <f>+'BD MD'!B51</f>
        <v>28049331</v>
      </c>
      <c r="C52" s="3">
        <f t="shared" si="11"/>
        <v>3637684.9655172415</v>
      </c>
      <c r="D52" s="4">
        <f t="shared" si="22"/>
        <v>4.7128204597291098E-2</v>
      </c>
      <c r="E52" s="3">
        <v>29417270</v>
      </c>
      <c r="F52" s="7">
        <v>46071</v>
      </c>
      <c r="G52" s="3">
        <f>+Tabla22[[#This Row],[Meta Digital]]+Tabla22[[#This Row],[Meta MKPlace]]</f>
        <v>4415378.2426696327</v>
      </c>
      <c r="H52" s="3">
        <f>+Tabla2[[#This Row],[Meta Digital]]</f>
        <v>3755583.3783075572</v>
      </c>
      <c r="I52" s="3">
        <f>+Tabla2[[#This Row],[Meta MKPlace]]</f>
        <v>659794.86436207534</v>
      </c>
      <c r="J52" s="3">
        <v>3088415</v>
      </c>
      <c r="K52" s="3">
        <v>3559563</v>
      </c>
      <c r="L52" s="3">
        <v>23043.965517241366</v>
      </c>
      <c r="M52" s="3">
        <f>13096+10747</f>
        <v>23843</v>
      </c>
      <c r="N52" s="3">
        <v>65981</v>
      </c>
      <c r="O52" s="3">
        <v>14662</v>
      </c>
      <c r="P52" s="3">
        <v>7052</v>
      </c>
      <c r="Q52" s="3">
        <v>1851</v>
      </c>
      <c r="R52" s="3">
        <v>29733</v>
      </c>
      <c r="S52" s="3">
        <v>91613</v>
      </c>
      <c r="T52" s="3">
        <v>361184</v>
      </c>
      <c r="U52" s="3">
        <v>453814</v>
      </c>
      <c r="V52" s="3">
        <v>44740</v>
      </c>
      <c r="W52" s="3">
        <v>39979</v>
      </c>
      <c r="X52" s="3">
        <v>15384</v>
      </c>
      <c r="Y52" s="3">
        <v>30090</v>
      </c>
      <c r="Z52" s="3">
        <v>2152</v>
      </c>
      <c r="AA52" s="3">
        <v>3873</v>
      </c>
      <c r="AB52" s="3">
        <v>0</v>
      </c>
      <c r="AC52" s="3">
        <v>3359</v>
      </c>
      <c r="AD52" s="3">
        <v>0</v>
      </c>
      <c r="AE52" s="3">
        <v>0</v>
      </c>
      <c r="AF52" s="5">
        <f t="shared" si="4"/>
        <v>4222647</v>
      </c>
      <c r="AG52" s="4">
        <f t="shared" si="1"/>
        <v>0.95635000399125414</v>
      </c>
      <c r="AH52" s="5">
        <f t="shared" si="5"/>
        <v>-192731.24266963266</v>
      </c>
      <c r="AI52" s="17">
        <f t="shared" si="6"/>
        <v>0.16932575788320281</v>
      </c>
      <c r="AJ52" s="17">
        <f t="shared" si="7"/>
        <v>0.12503380727632435</v>
      </c>
      <c r="AK52" s="14">
        <f t="shared" si="8"/>
        <v>0.14354312959700202</v>
      </c>
      <c r="AL52" s="14">
        <f t="shared" si="9"/>
        <v>1.8545797802250519E-2</v>
      </c>
      <c r="AN52" s="84">
        <f t="shared" si="10"/>
        <v>46071</v>
      </c>
      <c r="AO52" s="80">
        <f>+Tabla22[[#This Row],[Web + APP 2025]]+Tabla22[[#This Row],[Afiliados 2025]]+Tabla22[[#This Row],[TMK 2025]]+Tabla22[[#This Row],[WA 2025]]+Tabla22[[#This Row],[Ent. en Tienda 2025]]</f>
        <v>3214224.9655172415</v>
      </c>
      <c r="AP52" s="80">
        <f>+Tabla22[[#This Row],[Meli Drop 2025]]+Tabla22[[#This Row],[Meli Full 2025]]+Tabla22[[#This Row],[Amazon Drop 2025]]+Tabla22[[#This Row],[Amazon Full 2025]]+Tabla22[[#This Row],[TikTok 2025]]+Tabla22[[#This Row],[Shein 2025]]</f>
        <v>423460</v>
      </c>
      <c r="AQ52" s="80">
        <f t="shared" si="13"/>
        <v>3691532</v>
      </c>
      <c r="AR52" s="80">
        <f t="shared" si="14"/>
        <v>531115</v>
      </c>
      <c r="AS52" s="74">
        <f t="shared" si="15"/>
        <v>0.14849832840059118</v>
      </c>
      <c r="AT52" s="74">
        <f t="shared" si="16"/>
        <v>0.25422708166060559</v>
      </c>
      <c r="AU52" s="80">
        <f t="shared" si="17"/>
        <v>3755583.3783075572</v>
      </c>
      <c r="AV52" s="80">
        <f t="shared" si="18"/>
        <v>659794.86436207534</v>
      </c>
      <c r="AW52" s="74">
        <f t="shared" si="19"/>
        <v>0.98294502561771857</v>
      </c>
      <c r="AX52" s="74">
        <f t="shared" si="20"/>
        <v>0.80496989092740234</v>
      </c>
      <c r="AY52" s="74">
        <f t="shared" si="21"/>
        <v>0.95635000399125414</v>
      </c>
    </row>
    <row r="53" spans="1:51" hidden="1" x14ac:dyDescent="0.3">
      <c r="A53" s="7">
        <v>45707</v>
      </c>
      <c r="B53" s="3">
        <f>+'BD MD'!B52</f>
        <v>28881637</v>
      </c>
      <c r="C53" s="3">
        <f t="shared" si="11"/>
        <v>3611181.0344827585</v>
      </c>
      <c r="D53" s="4">
        <f t="shared" si="22"/>
        <v>4.6784831628970291E-2</v>
      </c>
      <c r="E53" s="3">
        <v>35456665</v>
      </c>
      <c r="F53" s="7">
        <v>46072</v>
      </c>
      <c r="G53" s="3">
        <f>+Tabla22[[#This Row],[Meta Digital]]+Tabla22[[#This Row],[Meta MKPlace]]</f>
        <v>4383208.0900741797</v>
      </c>
      <c r="H53" s="3">
        <f>+Tabla2[[#This Row],[Meta Digital]]</f>
        <v>3728220.4472685959</v>
      </c>
      <c r="I53" s="3">
        <f>+Tabla2[[#This Row],[Meta MKPlace]]</f>
        <v>654987.64280558412</v>
      </c>
      <c r="J53" s="3">
        <v>3113676</v>
      </c>
      <c r="K53" s="3">
        <v>3329797</v>
      </c>
      <c r="L53" s="3">
        <v>21506.034482758616</v>
      </c>
      <c r="M53" s="3">
        <f>15937+12034</f>
        <v>27971</v>
      </c>
      <c r="N53" s="3">
        <v>65670</v>
      </c>
      <c r="O53" s="3">
        <v>23965</v>
      </c>
      <c r="P53" s="3">
        <v>2633</v>
      </c>
      <c r="Q53" s="3">
        <v>344</v>
      </c>
      <c r="R53" s="3">
        <v>66784</v>
      </c>
      <c r="S53" s="3">
        <v>65256</v>
      </c>
      <c r="T53" s="3">
        <v>295101</v>
      </c>
      <c r="U53" s="3">
        <v>368888</v>
      </c>
      <c r="V53" s="3">
        <v>30136</v>
      </c>
      <c r="W53" s="3">
        <v>35313</v>
      </c>
      <c r="X53" s="3">
        <v>13695</v>
      </c>
      <c r="Y53" s="3">
        <v>25716</v>
      </c>
      <c r="Z53" s="3">
        <v>1980</v>
      </c>
      <c r="AA53" s="3">
        <v>7482</v>
      </c>
      <c r="AB53" s="3">
        <v>0</v>
      </c>
      <c r="AC53" s="3">
        <v>1990</v>
      </c>
      <c r="AD53" s="3">
        <v>0</v>
      </c>
      <c r="AE53" s="3">
        <v>689</v>
      </c>
      <c r="AF53" s="5">
        <f t="shared" si="4"/>
        <v>3887411</v>
      </c>
      <c r="AG53" s="4">
        <f t="shared" si="1"/>
        <v>0.88688716577318849</v>
      </c>
      <c r="AH53" s="5">
        <f t="shared" si="5"/>
        <v>-495797.09007417969</v>
      </c>
      <c r="AI53" s="17">
        <f t="shared" si="6"/>
        <v>0.30409152807698292</v>
      </c>
      <c r="AJ53" s="17">
        <f t="shared" si="7"/>
        <v>8.2832267329381856E-2</v>
      </c>
      <c r="AK53" s="14">
        <f t="shared" si="8"/>
        <v>0.10963837123429403</v>
      </c>
      <c r="AL53" s="14">
        <f t="shared" si="9"/>
        <v>-1.4753166618853841E-2</v>
      </c>
      <c r="AN53" s="84">
        <f t="shared" si="10"/>
        <v>46072</v>
      </c>
      <c r="AO53" s="80">
        <f>+Tabla22[[#This Row],[Web + APP 2025]]+Tabla22[[#This Row],[Afiliados 2025]]+Tabla22[[#This Row],[TMK 2025]]+Tabla22[[#This Row],[WA 2025]]+Tabla22[[#This Row],[Ent. en Tienda 2025]]</f>
        <v>3270269.0344827585</v>
      </c>
      <c r="AP53" s="80">
        <f>+Tabla22[[#This Row],[Meli Drop 2025]]+Tabla22[[#This Row],[Meli Full 2025]]+Tabla22[[#This Row],[Amazon Drop 2025]]+Tabla22[[#This Row],[Amazon Full 2025]]+Tabla22[[#This Row],[TikTok 2025]]+Tabla22[[#This Row],[Shein 2025]]</f>
        <v>340912</v>
      </c>
      <c r="AQ53" s="80">
        <f t="shared" si="13"/>
        <v>3447333</v>
      </c>
      <c r="AR53" s="80">
        <f t="shared" si="14"/>
        <v>440078</v>
      </c>
      <c r="AS53" s="74">
        <f t="shared" si="15"/>
        <v>5.4143547105826029E-2</v>
      </c>
      <c r="AT53" s="74">
        <f t="shared" si="16"/>
        <v>0.29088445111935046</v>
      </c>
      <c r="AU53" s="80">
        <f t="shared" si="17"/>
        <v>3728220.4472685959</v>
      </c>
      <c r="AV53" s="80">
        <f t="shared" si="18"/>
        <v>654987.64280558412</v>
      </c>
      <c r="AW53" s="74">
        <f t="shared" si="19"/>
        <v>0.92465910982426425</v>
      </c>
      <c r="AX53" s="74">
        <f t="shared" si="20"/>
        <v>0.67188748495309492</v>
      </c>
      <c r="AY53" s="74">
        <f t="shared" si="21"/>
        <v>0.88688716577318849</v>
      </c>
    </row>
    <row r="54" spans="1:51" hidden="1" x14ac:dyDescent="0.3">
      <c r="A54" s="63">
        <v>45708</v>
      </c>
      <c r="B54" s="3">
        <f>+'BD MD'!B53</f>
        <v>35987596</v>
      </c>
      <c r="C54" s="3">
        <f t="shared" si="11"/>
        <v>2980934.1724137929</v>
      </c>
      <c r="D54" s="4">
        <f t="shared" si="22"/>
        <v>3.861963773671593E-2</v>
      </c>
      <c r="E54" s="3">
        <v>36977163</v>
      </c>
      <c r="F54" s="7">
        <v>46073</v>
      </c>
      <c r="G54" s="3">
        <f>+Tabla22[[#This Row],[Meta Digital]]+Tabla22[[#This Row],[Meta MKPlace]]</f>
        <v>3618222.0319990725</v>
      </c>
      <c r="H54" s="3">
        <f>+Tabla2[[#This Row],[Meta Digital]]</f>
        <v>3077547.1036850493</v>
      </c>
      <c r="I54" s="3">
        <f>+Tabla2[[#This Row],[Meta MKPlace]]</f>
        <v>540674.92831402307</v>
      </c>
      <c r="J54" s="3">
        <v>2421357</v>
      </c>
      <c r="K54" s="3">
        <v>2545784</v>
      </c>
      <c r="L54" s="3">
        <v>22405.172413793087</v>
      </c>
      <c r="M54" s="3">
        <f>11741+8386</f>
        <v>20127</v>
      </c>
      <c r="N54" s="3">
        <v>55891</v>
      </c>
      <c r="O54" s="3">
        <v>11485</v>
      </c>
      <c r="P54" s="3">
        <v>2576</v>
      </c>
      <c r="Q54" s="3">
        <v>1656</v>
      </c>
      <c r="R54" s="3">
        <v>61430</v>
      </c>
      <c r="S54" s="3">
        <v>148228</v>
      </c>
      <c r="T54" s="3">
        <v>357973</v>
      </c>
      <c r="U54" s="3">
        <v>360812</v>
      </c>
      <c r="V54" s="3">
        <v>24350</v>
      </c>
      <c r="W54" s="3">
        <v>21316</v>
      </c>
      <c r="X54" s="3">
        <v>28074</v>
      </c>
      <c r="Y54" s="3">
        <v>16275</v>
      </c>
      <c r="Z54" s="3">
        <v>6878</v>
      </c>
      <c r="AA54" s="3">
        <v>3147</v>
      </c>
      <c r="AB54" s="3">
        <v>0</v>
      </c>
      <c r="AC54" s="3">
        <v>1306</v>
      </c>
      <c r="AD54" s="3">
        <v>0</v>
      </c>
      <c r="AE54" s="3">
        <v>0</v>
      </c>
      <c r="AF54" s="5">
        <f t="shared" si="4"/>
        <v>3130136</v>
      </c>
      <c r="AG54" s="4">
        <f t="shared" si="1"/>
        <v>0.86510334974401659</v>
      </c>
      <c r="AH54" s="5">
        <f t="shared" si="5"/>
        <v>-488086.03199907253</v>
      </c>
      <c r="AI54" s="17">
        <f t="shared" si="6"/>
        <v>0.2648172257583794</v>
      </c>
      <c r="AJ54" s="17">
        <f t="shared" si="7"/>
        <v>6.8589700146051091E-2</v>
      </c>
      <c r="AK54" s="14">
        <f t="shared" si="8"/>
        <v>8.4650517942655573E-2</v>
      </c>
      <c r="AL54" s="14">
        <f t="shared" si="9"/>
        <v>2.4842332483971941E-2</v>
      </c>
      <c r="AN54" s="84">
        <f t="shared" si="10"/>
        <v>46073</v>
      </c>
      <c r="AO54" s="80">
        <f>+Tabla22[[#This Row],[Web + APP 2025]]+Tabla22[[#This Row],[Afiliados 2025]]+Tabla22[[#This Row],[TMK 2025]]+Tabla22[[#This Row],[WA 2025]]+Tabla22[[#This Row],[Ent. en Tienda 2025]]</f>
        <v>2563659.1724137929</v>
      </c>
      <c r="AP54" s="80">
        <f>+Tabla22[[#This Row],[Meli Drop 2025]]+Tabla22[[#This Row],[Meli Full 2025]]+Tabla22[[#This Row],[Amazon Drop 2025]]+Tabla22[[#This Row],[Amazon Full 2025]]+Tabla22[[#This Row],[TikTok 2025]]+Tabla22[[#This Row],[Shein 2025]]</f>
        <v>417275</v>
      </c>
      <c r="AQ54" s="80">
        <f t="shared" si="13"/>
        <v>2727280</v>
      </c>
      <c r="AR54" s="80">
        <f t="shared" si="14"/>
        <v>402856</v>
      </c>
      <c r="AS54" s="74">
        <f t="shared" si="15"/>
        <v>6.3823159235379734E-2</v>
      </c>
      <c r="AT54" s="74">
        <f t="shared" si="16"/>
        <v>-3.4555149481756642E-2</v>
      </c>
      <c r="AU54" s="80">
        <f t="shared" si="17"/>
        <v>3077547.1036850493</v>
      </c>
      <c r="AV54" s="80">
        <f t="shared" si="18"/>
        <v>540674.92831402307</v>
      </c>
      <c r="AW54" s="74">
        <f t="shared" si="19"/>
        <v>0.88618627371596026</v>
      </c>
      <c r="AX54" s="74">
        <f t="shared" si="20"/>
        <v>0.74509835559828641</v>
      </c>
      <c r="AY54" s="74">
        <f t="shared" si="21"/>
        <v>0.86510334974401659</v>
      </c>
    </row>
    <row r="55" spans="1:51" hidden="1" x14ac:dyDescent="0.3">
      <c r="A55" s="7">
        <v>45709</v>
      </c>
      <c r="B55" s="3">
        <f>+'BD MD'!B54</f>
        <v>36080831</v>
      </c>
      <c r="C55" s="3">
        <f t="shared" si="11"/>
        <v>2474773.3793103448</v>
      </c>
      <c r="D55" s="4">
        <f t="shared" si="22"/>
        <v>3.2062046949544898E-2</v>
      </c>
      <c r="E55" s="3">
        <v>49550104</v>
      </c>
      <c r="F55" s="7">
        <v>46074</v>
      </c>
      <c r="G55" s="3">
        <f>+Tabla22[[#This Row],[Meta Digital]]+Tabla22[[#This Row],[Meta MKPlace]]</f>
        <v>3003850.1514358544</v>
      </c>
      <c r="H55" s="3">
        <f>+Tabla2[[#This Row],[Meta Digital]]</f>
        <v>2554981.4941422259</v>
      </c>
      <c r="I55" s="3">
        <f>+Tabla2[[#This Row],[Meta MKPlace]]</f>
        <v>448868.65729362855</v>
      </c>
      <c r="J55" s="3">
        <v>1897795</v>
      </c>
      <c r="K55" s="3">
        <v>2157328</v>
      </c>
      <c r="L55" s="3">
        <v>20191.379310344822</v>
      </c>
      <c r="M55" s="3">
        <f>16471+12358</f>
        <v>28829</v>
      </c>
      <c r="N55" s="3">
        <v>54966</v>
      </c>
      <c r="O55" s="3">
        <v>12510</v>
      </c>
      <c r="P55" s="3">
        <v>2375</v>
      </c>
      <c r="Q55" s="3">
        <v>215</v>
      </c>
      <c r="R55" s="3">
        <v>91325</v>
      </c>
      <c r="S55" s="3">
        <v>61838</v>
      </c>
      <c r="T55" s="3">
        <v>346747</v>
      </c>
      <c r="U55" s="3">
        <v>366612</v>
      </c>
      <c r="V55" s="3">
        <v>33465</v>
      </c>
      <c r="W55" s="3">
        <v>23690</v>
      </c>
      <c r="X55" s="3">
        <v>19690</v>
      </c>
      <c r="Y55" s="3">
        <v>14858</v>
      </c>
      <c r="Z55" s="3">
        <v>8219</v>
      </c>
      <c r="AA55" s="3">
        <v>4463</v>
      </c>
      <c r="AB55" s="3">
        <v>0</v>
      </c>
      <c r="AC55" s="3">
        <v>1379</v>
      </c>
      <c r="AD55" s="3">
        <v>0</v>
      </c>
      <c r="AE55" s="3">
        <v>0</v>
      </c>
      <c r="AF55" s="5">
        <f t="shared" si="4"/>
        <v>2671722</v>
      </c>
      <c r="AG55" s="4">
        <f t="shared" si="1"/>
        <v>0.88943251670623602</v>
      </c>
      <c r="AH55" s="5">
        <f t="shared" si="5"/>
        <v>-332128.15143585438</v>
      </c>
      <c r="AI55" s="17">
        <f t="shared" si="6"/>
        <v>0.20995999008294253</v>
      </c>
      <c r="AJ55" s="17">
        <f t="shared" si="7"/>
        <v>4.6938850337801472E-2</v>
      </c>
      <c r="AK55" s="14">
        <f t="shared" si="8"/>
        <v>5.3919604285795245E-2</v>
      </c>
      <c r="AL55" s="14">
        <f t="shared" si="9"/>
        <v>5.3311344575149633E-2</v>
      </c>
      <c r="AN55" s="84">
        <f t="shared" si="10"/>
        <v>46074</v>
      </c>
      <c r="AO55" s="80">
        <f>+Tabla22[[#This Row],[Web + APP 2025]]+Tabla22[[#This Row],[Afiliados 2025]]+Tabla22[[#This Row],[TMK 2025]]+Tabla22[[#This Row],[WA 2025]]+Tabla22[[#This Row],[Ent. en Tienda 2025]]</f>
        <v>2066652.3793103448</v>
      </c>
      <c r="AP55" s="80">
        <f>+Tabla22[[#This Row],[Meli Drop 2025]]+Tabla22[[#This Row],[Meli Full 2025]]+Tabla22[[#This Row],[Amazon Drop 2025]]+Tabla22[[#This Row],[Amazon Full 2025]]+Tabla22[[#This Row],[TikTok 2025]]+Tabla22[[#This Row],[Shein 2025]]</f>
        <v>408121</v>
      </c>
      <c r="AQ55" s="80">
        <f t="shared" si="13"/>
        <v>2260720</v>
      </c>
      <c r="AR55" s="80">
        <f t="shared" si="14"/>
        <v>411002</v>
      </c>
      <c r="AS55" s="74">
        <f t="shared" si="15"/>
        <v>9.3904336613406025E-2</v>
      </c>
      <c r="AT55" s="74">
        <f t="shared" si="16"/>
        <v>7.0591809781903603E-3</v>
      </c>
      <c r="AU55" s="80">
        <f t="shared" si="17"/>
        <v>2554981.4941422259</v>
      </c>
      <c r="AV55" s="80">
        <f t="shared" si="18"/>
        <v>448868.65729362855</v>
      </c>
      <c r="AW55" s="74">
        <f t="shared" si="19"/>
        <v>0.88482832661728639</v>
      </c>
      <c r="AX55" s="74">
        <f t="shared" si="20"/>
        <v>0.91563978308947069</v>
      </c>
      <c r="AY55" s="74">
        <f t="shared" si="21"/>
        <v>0.88943251670623602</v>
      </c>
    </row>
    <row r="56" spans="1:51" hidden="1" x14ac:dyDescent="0.3">
      <c r="A56" s="63">
        <v>45710</v>
      </c>
      <c r="B56" s="3">
        <f>+'BD MD'!B55</f>
        <v>47042220</v>
      </c>
      <c r="C56" s="3">
        <f t="shared" si="11"/>
        <v>2208107.7241379311</v>
      </c>
      <c r="D56" s="4">
        <f t="shared" si="22"/>
        <v>2.860724707677768E-2</v>
      </c>
      <c r="E56" s="3">
        <v>40534030</v>
      </c>
      <c r="F56" s="7">
        <v>46075</v>
      </c>
      <c r="G56" s="3">
        <f>+Tabla22[[#This Row],[Meta Digital]]+Tabla22[[#This Row],[Meta MKPlace]]</f>
        <v>2680174.5876977234</v>
      </c>
      <c r="H56" s="3">
        <f>+Tabla2[[#This Row],[Meta Digital]]</f>
        <v>2279673.128622836</v>
      </c>
      <c r="I56" s="3">
        <f>+Tabla2[[#This Row],[Meta MKPlace]]</f>
        <v>400501.45907488751</v>
      </c>
      <c r="J56" s="3">
        <v>1719612</v>
      </c>
      <c r="K56" s="3">
        <v>2371363</v>
      </c>
      <c r="L56" s="3">
        <v>22776.724137931029</v>
      </c>
      <c r="M56" s="3">
        <f>18154+11801</f>
        <v>29955</v>
      </c>
      <c r="N56" s="3">
        <v>25877</v>
      </c>
      <c r="O56" s="3">
        <v>-835</v>
      </c>
      <c r="P56" s="3">
        <v>3459</v>
      </c>
      <c r="Q56" s="3">
        <v>361</v>
      </c>
      <c r="R56" s="3">
        <v>44179</v>
      </c>
      <c r="S56" s="3">
        <v>73803</v>
      </c>
      <c r="T56" s="3">
        <v>327055</v>
      </c>
      <c r="U56" s="3">
        <v>303085</v>
      </c>
      <c r="V56" s="3">
        <v>34049</v>
      </c>
      <c r="W56" s="3">
        <v>29461</v>
      </c>
      <c r="X56" s="3">
        <v>21382</v>
      </c>
      <c r="Y56" s="3">
        <v>21582</v>
      </c>
      <c r="Z56" s="3">
        <v>9718</v>
      </c>
      <c r="AA56" s="3">
        <v>4347</v>
      </c>
      <c r="AB56" s="3">
        <v>0</v>
      </c>
      <c r="AC56" s="3">
        <v>413</v>
      </c>
      <c r="AD56" s="3">
        <v>0</v>
      </c>
      <c r="AE56" s="3">
        <v>0</v>
      </c>
      <c r="AF56" s="5">
        <f t="shared" si="4"/>
        <v>2833535</v>
      </c>
      <c r="AG56" s="4">
        <f t="shared" si="1"/>
        <v>1.0572203068435231</v>
      </c>
      <c r="AH56" s="5">
        <f t="shared" si="5"/>
        <v>153360.41230227659</v>
      </c>
      <c r="AI56" s="17">
        <f t="shared" si="6"/>
        <v>0.11313551139709799</v>
      </c>
      <c r="AJ56" s="17">
        <f t="shared" si="7"/>
        <v>5.5149192652612408E-2</v>
      </c>
      <c r="AK56" s="14">
        <f t="shared" si="8"/>
        <v>6.9905089624693134E-2</v>
      </c>
      <c r="AL56" s="14">
        <f t="shared" si="9"/>
        <v>-0.12183039752776392</v>
      </c>
      <c r="AN56" s="84">
        <f t="shared" si="10"/>
        <v>46075</v>
      </c>
      <c r="AO56" s="80">
        <f>+Tabla22[[#This Row],[Web + APP 2025]]+Tabla22[[#This Row],[Afiliados 2025]]+Tabla22[[#This Row],[TMK 2025]]+Tabla22[[#This Row],[WA 2025]]+Tabla22[[#This Row],[Ent. en Tienda 2025]]</f>
        <v>1815903.7241379311</v>
      </c>
      <c r="AP56" s="80">
        <f>+Tabla22[[#This Row],[Meli Drop 2025]]+Tabla22[[#This Row],[Meli Full 2025]]+Tabla22[[#This Row],[Amazon Drop 2025]]+Tabla22[[#This Row],[Amazon Full 2025]]+Tabla22[[#This Row],[TikTok 2025]]+Tabla22[[#This Row],[Shein 2025]]</f>
        <v>392204</v>
      </c>
      <c r="AQ56" s="80">
        <f t="shared" si="13"/>
        <v>2474647</v>
      </c>
      <c r="AR56" s="80">
        <f t="shared" si="14"/>
        <v>358888</v>
      </c>
      <c r="AS56" s="74">
        <f t="shared" si="15"/>
        <v>0.3627633266597301</v>
      </c>
      <c r="AT56" s="74">
        <f t="shared" si="16"/>
        <v>-8.4945589540137312E-2</v>
      </c>
      <c r="AU56" s="80">
        <f t="shared" si="17"/>
        <v>2279673.128622836</v>
      </c>
      <c r="AV56" s="80">
        <f t="shared" si="18"/>
        <v>400501.45907488751</v>
      </c>
      <c r="AW56" s="74">
        <f t="shared" si="19"/>
        <v>1.0855271174315015</v>
      </c>
      <c r="AX56" s="74">
        <f t="shared" si="20"/>
        <v>0.89609661055665113</v>
      </c>
      <c r="AY56" s="74">
        <f t="shared" si="21"/>
        <v>1.0572203068435231</v>
      </c>
    </row>
    <row r="57" spans="1:51" hidden="1" x14ac:dyDescent="0.3">
      <c r="A57" s="7">
        <v>45711</v>
      </c>
      <c r="B57" s="3">
        <f>+'BD MD'!B56</f>
        <v>46157405</v>
      </c>
      <c r="C57" s="3">
        <f t="shared" si="11"/>
        <v>2545543.6206896552</v>
      </c>
      <c r="D57" s="4">
        <f t="shared" si="22"/>
        <v>3.2978914255740989E-2</v>
      </c>
      <c r="E57" s="3">
        <v>22062756</v>
      </c>
      <c r="F57" s="7">
        <v>46076</v>
      </c>
      <c r="G57" s="3">
        <f>+Tabla22[[#This Row],[Meta Digital]]+Tabla22[[#This Row],[Meta MKPlace]]</f>
        <v>3089750.2189174416</v>
      </c>
      <c r="H57" s="3">
        <f>+Tabla2[[#This Row],[Meta Digital]]</f>
        <v>2628045.4193370678</v>
      </c>
      <c r="I57" s="3">
        <f>+Tabla2[[#This Row],[Meta MKPlace]]</f>
        <v>461704.79958037386</v>
      </c>
      <c r="J57" s="3">
        <v>1980647</v>
      </c>
      <c r="K57" s="3">
        <v>3389716</v>
      </c>
      <c r="L57" s="3">
        <v>20783.620689655167</v>
      </c>
      <c r="M57" s="3">
        <f>12794+10935</f>
        <v>23729</v>
      </c>
      <c r="N57" s="3">
        <v>20320</v>
      </c>
      <c r="O57" s="3">
        <v>28866</v>
      </c>
      <c r="P57" s="3">
        <v>1308</v>
      </c>
      <c r="Q57" s="3">
        <v>2677</v>
      </c>
      <c r="R57" s="3">
        <v>92867</v>
      </c>
      <c r="S57" s="3">
        <v>76508</v>
      </c>
      <c r="T57" s="3">
        <v>375118</v>
      </c>
      <c r="U57" s="3">
        <v>327888</v>
      </c>
      <c r="V57" s="3">
        <v>29980</v>
      </c>
      <c r="W57" s="3">
        <v>34023</v>
      </c>
      <c r="X57" s="3">
        <v>15301</v>
      </c>
      <c r="Y57" s="3">
        <v>20904</v>
      </c>
      <c r="Z57" s="3">
        <v>9219</v>
      </c>
      <c r="AA57" s="3">
        <v>3447</v>
      </c>
      <c r="AB57" s="3">
        <v>0</v>
      </c>
      <c r="AC57" s="3">
        <v>430</v>
      </c>
      <c r="AD57" s="3">
        <v>0</v>
      </c>
      <c r="AE57" s="3">
        <v>0</v>
      </c>
      <c r="AF57" s="5">
        <f t="shared" si="4"/>
        <v>3908188</v>
      </c>
      <c r="AG57" s="4">
        <f t="shared" si="1"/>
        <v>1.2648880081216776</v>
      </c>
      <c r="AH57" s="5">
        <f t="shared" si="5"/>
        <v>818437.78108255845</v>
      </c>
      <c r="AI57" s="17">
        <f t="shared" si="6"/>
        <v>0.17535265131514843</v>
      </c>
      <c r="AJ57" s="17">
        <f t="shared" si="7"/>
        <v>0.12579301541915833</v>
      </c>
      <c r="AK57" s="14">
        <f t="shared" si="8"/>
        <v>0.17713961030072581</v>
      </c>
      <c r="AL57" s="14">
        <f t="shared" si="9"/>
        <v>-0.16534108921865864</v>
      </c>
      <c r="AN57" s="84">
        <f t="shared" si="10"/>
        <v>46076</v>
      </c>
      <c r="AO57" s="80">
        <f>+Tabla22[[#This Row],[Web + APP 2025]]+Tabla22[[#This Row],[Afiliados 2025]]+Tabla22[[#This Row],[TMK 2025]]+Tabla22[[#This Row],[WA 2025]]+Tabla22[[#This Row],[Ent. en Tienda 2025]]</f>
        <v>2115925.6206896552</v>
      </c>
      <c r="AP57" s="80">
        <f>+Tabla22[[#This Row],[Meli Drop 2025]]+Tabla22[[#This Row],[Meli Full 2025]]+Tabla22[[#This Row],[Amazon Drop 2025]]+Tabla22[[#This Row],[Amazon Full 2025]]+Tabla22[[#This Row],[TikTok 2025]]+Tabla22[[#This Row],[Shein 2025]]</f>
        <v>429618</v>
      </c>
      <c r="AQ57" s="80">
        <f t="shared" si="13"/>
        <v>3521496</v>
      </c>
      <c r="AR57" s="80">
        <f t="shared" si="14"/>
        <v>386692</v>
      </c>
      <c r="AS57" s="74">
        <f t="shared" si="15"/>
        <v>0.66428156338133459</v>
      </c>
      <c r="AT57" s="74">
        <f t="shared" si="16"/>
        <v>-9.9916670158140541E-2</v>
      </c>
      <c r="AU57" s="80">
        <f t="shared" si="17"/>
        <v>2628045.4193370678</v>
      </c>
      <c r="AV57" s="80">
        <f t="shared" si="18"/>
        <v>461704.79958037386</v>
      </c>
      <c r="AW57" s="74">
        <f t="shared" si="19"/>
        <v>1.3399677091152815</v>
      </c>
      <c r="AX57" s="74">
        <f t="shared" si="20"/>
        <v>0.83753082132013756</v>
      </c>
      <c r="AY57" s="74">
        <f t="shared" si="21"/>
        <v>1.2648880081216776</v>
      </c>
    </row>
    <row r="58" spans="1:51" hidden="1" x14ac:dyDescent="0.3">
      <c r="A58" s="63">
        <v>45712</v>
      </c>
      <c r="B58" s="3">
        <f>+'BD MD'!B57</f>
        <v>26433260</v>
      </c>
      <c r="C58" s="3">
        <f t="shared" si="11"/>
        <v>3325119.4827586208</v>
      </c>
      <c r="D58" s="4">
        <f t="shared" si="22"/>
        <v>4.307874727453341E-2</v>
      </c>
      <c r="E58" s="3">
        <v>27778475</v>
      </c>
      <c r="F58" s="7">
        <v>46077</v>
      </c>
      <c r="G58" s="3">
        <f>+Tabla22[[#This Row],[Meta Digital]]+Tabla22[[#This Row],[Meta MKPlace]]</f>
        <v>4035990.0204721922</v>
      </c>
      <c r="H58" s="3">
        <f>+Tabla2[[#This Row],[Meta Digital]]</f>
        <v>3432887.5586287244</v>
      </c>
      <c r="I58" s="3">
        <f>+Tabla2[[#This Row],[Meta MKPlace]]</f>
        <v>603102.46184346778</v>
      </c>
      <c r="J58" s="3">
        <v>2773046</v>
      </c>
      <c r="K58" s="3">
        <v>3790804</v>
      </c>
      <c r="L58" s="3">
        <v>19384.482758620681</v>
      </c>
      <c r="M58" s="3">
        <f>11627+12049</f>
        <v>23676</v>
      </c>
      <c r="N58" s="3">
        <v>44133</v>
      </c>
      <c r="O58" s="3">
        <v>53511</v>
      </c>
      <c r="P58" s="3">
        <v>1728</v>
      </c>
      <c r="Q58" s="3">
        <v>3950</v>
      </c>
      <c r="R58" s="3">
        <v>54932</v>
      </c>
      <c r="S58" s="3">
        <v>71433</v>
      </c>
      <c r="T58" s="3">
        <v>362431</v>
      </c>
      <c r="U58" s="3">
        <v>328991</v>
      </c>
      <c r="V58" s="3">
        <v>32310</v>
      </c>
      <c r="W58" s="3">
        <v>44374</v>
      </c>
      <c r="X58" s="3">
        <v>32251</v>
      </c>
      <c r="Y58" s="3">
        <v>15412</v>
      </c>
      <c r="Z58" s="3">
        <v>4904</v>
      </c>
      <c r="AA58" s="3">
        <v>2538</v>
      </c>
      <c r="AB58" s="3">
        <v>0</v>
      </c>
      <c r="AC58" s="3">
        <v>-680</v>
      </c>
      <c r="AD58" s="3">
        <v>0</v>
      </c>
      <c r="AE58" s="3">
        <v>0</v>
      </c>
      <c r="AF58" s="5">
        <f t="shared" si="4"/>
        <v>4334009</v>
      </c>
      <c r="AG58" s="4">
        <f t="shared" si="1"/>
        <v>1.0738403658126343</v>
      </c>
      <c r="AH58" s="5">
        <f t="shared" si="5"/>
        <v>298018.97952780779</v>
      </c>
      <c r="AI58" s="17">
        <f t="shared" si="6"/>
        <v>0.14375854625265472</v>
      </c>
      <c r="AJ58" s="17">
        <f t="shared" si="7"/>
        <v>0.12892126095068315</v>
      </c>
      <c r="AK58" s="14">
        <f t="shared" si="8"/>
        <v>0.15602040788776203</v>
      </c>
      <c r="AL58" s="14">
        <f t="shared" si="9"/>
        <v>-5.4900599208223211E-2</v>
      </c>
      <c r="AN58" s="84">
        <f t="shared" si="10"/>
        <v>46077</v>
      </c>
      <c r="AO58" s="80">
        <f>+Tabla22[[#This Row],[Web + APP 2025]]+Tabla22[[#This Row],[Afiliados 2025]]+Tabla22[[#This Row],[TMK 2025]]+Tabla22[[#This Row],[WA 2025]]+Tabla22[[#This Row],[Ent. en Tienda 2025]]</f>
        <v>2893223.4827586208</v>
      </c>
      <c r="AP58" s="80">
        <f>+Tabla22[[#This Row],[Meli Drop 2025]]+Tabla22[[#This Row],[Meli Full 2025]]+Tabla22[[#This Row],[Amazon Drop 2025]]+Tabla22[[#This Row],[Amazon Full 2025]]+Tabla22[[#This Row],[TikTok 2025]]+Tabla22[[#This Row],[Shein 2025]]</f>
        <v>431896</v>
      </c>
      <c r="AQ58" s="80">
        <f t="shared" si="13"/>
        <v>3943374</v>
      </c>
      <c r="AR58" s="80">
        <f t="shared" si="14"/>
        <v>390635</v>
      </c>
      <c r="AS58" s="74">
        <f t="shared" si="15"/>
        <v>0.36296902866282754</v>
      </c>
      <c r="AT58" s="74">
        <f t="shared" si="16"/>
        <v>-9.5534573137977641E-2</v>
      </c>
      <c r="AU58" s="80">
        <f t="shared" si="17"/>
        <v>3432887.5586287244</v>
      </c>
      <c r="AV58" s="80">
        <f t="shared" si="18"/>
        <v>603102.46184346778</v>
      </c>
      <c r="AW58" s="74">
        <f t="shared" si="19"/>
        <v>1.1487046786860653</v>
      </c>
      <c r="AX58" s="74">
        <f t="shared" si="20"/>
        <v>0.6477091783143597</v>
      </c>
      <c r="AY58" s="74">
        <f t="shared" si="21"/>
        <v>1.0738403658126343</v>
      </c>
    </row>
    <row r="59" spans="1:51" hidden="1" x14ac:dyDescent="0.3">
      <c r="A59" s="7">
        <v>45713</v>
      </c>
      <c r="B59" s="3">
        <f>+'BD MD'!B58</f>
        <v>29392120</v>
      </c>
      <c r="C59" s="3">
        <f t="shared" si="11"/>
        <v>3789269.1724137929</v>
      </c>
      <c r="D59" s="4">
        <f t="shared" si="22"/>
        <v>4.9092061166526195E-2</v>
      </c>
      <c r="E59" s="3">
        <v>31602573</v>
      </c>
      <c r="F59" s="7">
        <v>46078</v>
      </c>
      <c r="G59" s="3">
        <f>+Tabla22[[#This Row],[Meta Digital]]+Tabla22[[#This Row],[Meta MKPlace]]</f>
        <v>4599369.3291457528</v>
      </c>
      <c r="H59" s="3">
        <f>+Tabla2[[#This Row],[Meta Digital]]</f>
        <v>3912080.4728143862</v>
      </c>
      <c r="I59" s="3">
        <f>+Tabla2[[#This Row],[Meta MKPlace]]</f>
        <v>687288.8563313667</v>
      </c>
      <c r="J59" s="3">
        <v>3237704</v>
      </c>
      <c r="K59" s="3">
        <v>3614722</v>
      </c>
      <c r="L59" s="3">
        <v>19955.172413793101</v>
      </c>
      <c r="M59" s="3">
        <f>16122+15095</f>
        <v>31217</v>
      </c>
      <c r="N59" s="3">
        <v>86781</v>
      </c>
      <c r="O59" s="3">
        <v>80631</v>
      </c>
      <c r="P59" s="3">
        <v>8087</v>
      </c>
      <c r="Q59" s="3">
        <v>-491</v>
      </c>
      <c r="R59" s="3">
        <v>28472</v>
      </c>
      <c r="S59" s="3">
        <v>33888</v>
      </c>
      <c r="T59" s="3">
        <v>347028</v>
      </c>
      <c r="U59" s="3">
        <v>578952</v>
      </c>
      <c r="V59" s="3">
        <v>43531</v>
      </c>
      <c r="W59" s="3">
        <v>54562</v>
      </c>
      <c r="X59" s="3">
        <v>10995</v>
      </c>
      <c r="Y59" s="3">
        <v>28200</v>
      </c>
      <c r="Z59" s="3">
        <v>6716</v>
      </c>
      <c r="AA59" s="3">
        <v>5951</v>
      </c>
      <c r="AB59" s="3">
        <v>0</v>
      </c>
      <c r="AC59" s="3">
        <v>7009</v>
      </c>
      <c r="AD59" s="3">
        <v>0</v>
      </c>
      <c r="AE59" s="3">
        <v>775</v>
      </c>
      <c r="AF59" s="5">
        <f t="shared" si="4"/>
        <v>4435416</v>
      </c>
      <c r="AG59" s="4">
        <f t="shared" si="1"/>
        <v>0.96435308464862857</v>
      </c>
      <c r="AH59" s="5">
        <f t="shared" si="5"/>
        <v>-163953.32914575282</v>
      </c>
      <c r="AI59" s="17">
        <f t="shared" si="6"/>
        <v>0.29205398994384768</v>
      </c>
      <c r="AJ59" s="17">
        <f t="shared" si="7"/>
        <v>0.10405971627835513</v>
      </c>
      <c r="AK59" s="14">
        <f t="shared" si="8"/>
        <v>0.14034983797047157</v>
      </c>
      <c r="AL59" s="14">
        <f t="shared" si="9"/>
        <v>-4.2031159037313692E-2</v>
      </c>
      <c r="AN59" s="84">
        <f t="shared" si="10"/>
        <v>46078</v>
      </c>
      <c r="AO59" s="80">
        <f>+Tabla22[[#This Row],[Web + APP 2025]]+Tabla22[[#This Row],[Afiliados 2025]]+Tabla22[[#This Row],[TMK 2025]]+Tabla22[[#This Row],[WA 2025]]+Tabla22[[#This Row],[Ent. en Tienda 2025]]</f>
        <v>3380999.1724137929</v>
      </c>
      <c r="AP59" s="80">
        <f>+Tabla22[[#This Row],[Meli Drop 2025]]+Tabla22[[#This Row],[Meli Full 2025]]+Tabla22[[#This Row],[Amazon Drop 2025]]+Tabla22[[#This Row],[Amazon Full 2025]]+Tabla22[[#This Row],[TikTok 2025]]+Tabla22[[#This Row],[Shein 2025]]</f>
        <v>408270</v>
      </c>
      <c r="AQ59" s="80">
        <f t="shared" si="13"/>
        <v>3759967</v>
      </c>
      <c r="AR59" s="80">
        <f t="shared" si="14"/>
        <v>675449</v>
      </c>
      <c r="AS59" s="74">
        <f t="shared" si="15"/>
        <v>0.11208752450408066</v>
      </c>
      <c r="AT59" s="74">
        <f t="shared" si="16"/>
        <v>0.65441741984471058</v>
      </c>
      <c r="AU59" s="80">
        <f t="shared" si="17"/>
        <v>3912080.4728143862</v>
      </c>
      <c r="AV59" s="80">
        <f t="shared" si="18"/>
        <v>687288.8563313667</v>
      </c>
      <c r="AW59" s="74">
        <f t="shared" si="19"/>
        <v>0.96111698778400778</v>
      </c>
      <c r="AX59" s="74">
        <f t="shared" si="20"/>
        <v>0.98277310009860208</v>
      </c>
      <c r="AY59" s="74">
        <f t="shared" si="21"/>
        <v>0.96435308464862857</v>
      </c>
    </row>
    <row r="60" spans="1:51" hidden="1" x14ac:dyDescent="0.3">
      <c r="A60" s="63">
        <v>45714</v>
      </c>
      <c r="B60" s="3">
        <f>+'BD MD'!B59</f>
        <v>32989145</v>
      </c>
      <c r="C60" s="3">
        <f t="shared" si="11"/>
        <v>3432841.0689655175</v>
      </c>
      <c r="D60" s="4">
        <f t="shared" si="22"/>
        <v>4.4474339526866205E-2</v>
      </c>
      <c r="E60" s="3">
        <v>36200123</v>
      </c>
      <c r="F60" s="7">
        <v>46079</v>
      </c>
      <c r="G60" s="3">
        <f>+Tabla22[[#This Row],[Meta Digital]]+Tabla22[[#This Row],[Meta MKPlace]]</f>
        <v>4166741.1857084488</v>
      </c>
      <c r="H60" s="3">
        <f>+Tabla2[[#This Row],[Meta Digital]]</f>
        <v>3544100.432332322</v>
      </c>
      <c r="I60" s="3">
        <f>+Tabla2[[#This Row],[Meta MKPlace]]</f>
        <v>622640.75337612687</v>
      </c>
      <c r="J60" s="3">
        <v>2904631</v>
      </c>
      <c r="K60" s="3">
        <v>2872787</v>
      </c>
      <c r="L60" s="3">
        <v>19587.068965517239</v>
      </c>
      <c r="M60" s="3">
        <f>12579+13284</f>
        <v>25863</v>
      </c>
      <c r="N60" s="3">
        <v>64657</v>
      </c>
      <c r="O60" s="3">
        <v>7979</v>
      </c>
      <c r="P60" s="3">
        <v>3724</v>
      </c>
      <c r="Q60" s="3">
        <v>0</v>
      </c>
      <c r="R60" s="3">
        <v>45659</v>
      </c>
      <c r="S60" s="3">
        <v>126103</v>
      </c>
      <c r="T60" s="3">
        <v>329946</v>
      </c>
      <c r="U60" s="3">
        <v>530958</v>
      </c>
      <c r="V60" s="3">
        <v>38488</v>
      </c>
      <c r="W60" s="3">
        <v>91753</v>
      </c>
      <c r="X60" s="3">
        <v>17323</v>
      </c>
      <c r="Y60" s="3">
        <v>15632</v>
      </c>
      <c r="Z60" s="3">
        <v>8826</v>
      </c>
      <c r="AA60" s="3">
        <v>4939</v>
      </c>
      <c r="AB60" s="3">
        <v>0</v>
      </c>
      <c r="AC60" s="3">
        <v>5544</v>
      </c>
      <c r="AD60" s="3">
        <v>0</v>
      </c>
      <c r="AE60" s="3">
        <v>0</v>
      </c>
      <c r="AF60" s="5">
        <f t="shared" si="4"/>
        <v>3681558</v>
      </c>
      <c r="AG60" s="4">
        <f t="shared" si="1"/>
        <v>0.88355811794296613</v>
      </c>
      <c r="AH60" s="5">
        <f t="shared" si="5"/>
        <v>-485183.18570844876</v>
      </c>
      <c r="AI60" s="17">
        <f t="shared" si="6"/>
        <v>0.21363309419086285</v>
      </c>
      <c r="AJ60" s="17">
        <f t="shared" si="7"/>
        <v>8.2068617583025028E-2</v>
      </c>
      <c r="AK60" s="14">
        <f t="shared" si="8"/>
        <v>0.10170015168180506</v>
      </c>
      <c r="AL60" s="14">
        <f t="shared" si="9"/>
        <v>-2.0638724267775688E-2</v>
      </c>
      <c r="AN60" s="84">
        <f t="shared" si="10"/>
        <v>46079</v>
      </c>
      <c r="AO60" s="80">
        <f>+Tabla22[[#This Row],[Web + APP 2025]]+Tabla22[[#This Row],[Afiliados 2025]]+Tabla22[[#This Row],[TMK 2025]]+Tabla22[[#This Row],[WA 2025]]+Tabla22[[#This Row],[Ent. en Tienda 2025]]</f>
        <v>3038258.0689655175</v>
      </c>
      <c r="AP60" s="80">
        <f>+Tabla22[[#This Row],[Meli Drop 2025]]+Tabla22[[#This Row],[Meli Full 2025]]+Tabla22[[#This Row],[Amazon Drop 2025]]+Tabla22[[#This Row],[Amazon Full 2025]]+Tabla22[[#This Row],[TikTok 2025]]+Tabla22[[#This Row],[Shein 2025]]</f>
        <v>394583</v>
      </c>
      <c r="AQ60" s="80">
        <f t="shared" si="13"/>
        <v>3032732</v>
      </c>
      <c r="AR60" s="80">
        <f t="shared" si="14"/>
        <v>648826</v>
      </c>
      <c r="AS60" s="74">
        <f t="shared" si="15"/>
        <v>-1.8188280389884737E-3</v>
      </c>
      <c r="AT60" s="74">
        <f t="shared" si="16"/>
        <v>0.64433338486452785</v>
      </c>
      <c r="AU60" s="80">
        <f t="shared" si="17"/>
        <v>3544100.432332322</v>
      </c>
      <c r="AV60" s="80">
        <f t="shared" si="18"/>
        <v>622640.75337612687</v>
      </c>
      <c r="AW60" s="74">
        <f t="shared" si="19"/>
        <v>0.85571277053348127</v>
      </c>
      <c r="AX60" s="74">
        <f t="shared" si="20"/>
        <v>1.042055144129082</v>
      </c>
      <c r="AY60" s="74">
        <f t="shared" si="21"/>
        <v>0.88355811794296613</v>
      </c>
    </row>
    <row r="61" spans="1:51" hidden="1" x14ac:dyDescent="0.3">
      <c r="A61" s="7">
        <v>45715</v>
      </c>
      <c r="B61" s="3">
        <f>+'BD MD'!B60</f>
        <v>36962992</v>
      </c>
      <c r="C61" s="3">
        <f t="shared" si="11"/>
        <v>3033501.6551724137</v>
      </c>
      <c r="D61" s="4">
        <f t="shared" si="22"/>
        <v>3.9300678317771467E-2</v>
      </c>
      <c r="E61" s="3">
        <v>42656916</v>
      </c>
      <c r="F61" s="7">
        <v>46080</v>
      </c>
      <c r="G61" s="3">
        <f>+Tabla22[[#This Row],[Meta Digital]]+Tabla22[[#This Row],[Meta MKPlace]]</f>
        <v>3682027.8100817055</v>
      </c>
      <c r="H61" s="3">
        <f>+Tabla2[[#This Row],[Meta Digital]]</f>
        <v>3131818.313632905</v>
      </c>
      <c r="I61" s="3">
        <f>+Tabla2[[#This Row],[Meta MKPlace]]</f>
        <v>550209.49644880055</v>
      </c>
      <c r="J61" s="3">
        <v>2452213</v>
      </c>
      <c r="K61" s="3">
        <v>2328816</v>
      </c>
      <c r="L61" s="3">
        <v>20014.655172413793</v>
      </c>
      <c r="M61" s="3">
        <f>11774+8876</f>
        <v>20650</v>
      </c>
      <c r="N61" s="3">
        <v>22443</v>
      </c>
      <c r="O61" s="3">
        <v>23531</v>
      </c>
      <c r="P61" s="3">
        <v>8872</v>
      </c>
      <c r="Q61" s="3">
        <v>6440</v>
      </c>
      <c r="R61" s="3">
        <v>97686</v>
      </c>
      <c r="S61" s="3">
        <v>122038</v>
      </c>
      <c r="T61" s="3">
        <v>371645</v>
      </c>
      <c r="U61" s="3">
        <v>450008</v>
      </c>
      <c r="V61" s="3">
        <v>41902</v>
      </c>
      <c r="W61" s="3">
        <v>106960</v>
      </c>
      <c r="X61" s="3">
        <v>12405</v>
      </c>
      <c r="Y61" s="3">
        <v>15315</v>
      </c>
      <c r="Z61" s="3">
        <v>6321</v>
      </c>
      <c r="AA61" s="3">
        <v>3641</v>
      </c>
      <c r="AB61" s="3">
        <v>0</v>
      </c>
      <c r="AC61" s="3">
        <v>2547</v>
      </c>
      <c r="AD61" s="3">
        <v>0</v>
      </c>
      <c r="AE61" s="3">
        <v>775</v>
      </c>
      <c r="AF61" s="5">
        <f t="shared" si="4"/>
        <v>3080721</v>
      </c>
      <c r="AG61" s="4">
        <f t="shared" si="1"/>
        <v>0.83669139911565138</v>
      </c>
      <c r="AH61" s="5">
        <f t="shared" si="5"/>
        <v>-601306.81008170545</v>
      </c>
      <c r="AI61" s="17">
        <f t="shared" si="6"/>
        <v>0.2786062921043817</v>
      </c>
      <c r="AJ61" s="17">
        <f t="shared" si="7"/>
        <v>5.6436306533633455E-2</v>
      </c>
      <c r="AK61" s="14">
        <f t="shared" si="8"/>
        <v>7.2220903170777742E-2</v>
      </c>
      <c r="AL61" s="14">
        <f t="shared" si="9"/>
        <v>-8.4582899216778529E-4</v>
      </c>
      <c r="AN61" s="84">
        <f t="shared" si="10"/>
        <v>46080</v>
      </c>
      <c r="AO61" s="80">
        <f>+Tabla22[[#This Row],[Web + APP 2025]]+Tabla22[[#This Row],[Afiliados 2025]]+Tabla22[[#This Row],[TMK 2025]]+Tabla22[[#This Row],[WA 2025]]+Tabla22[[#This Row],[Ent. en Tienda 2025]]</f>
        <v>2601228.6551724137</v>
      </c>
      <c r="AP61" s="80">
        <f>+Tabla22[[#This Row],[Meli Drop 2025]]+Tabla22[[#This Row],[Meli Full 2025]]+Tabla22[[#This Row],[Amazon Drop 2025]]+Tabla22[[#This Row],[Amazon Full 2025]]+Tabla22[[#This Row],[TikTok 2025]]+Tabla22[[#This Row],[Shein 2025]]</f>
        <v>432273</v>
      </c>
      <c r="AQ61" s="80">
        <f t="shared" si="13"/>
        <v>2501475</v>
      </c>
      <c r="AR61" s="80">
        <f t="shared" si="14"/>
        <v>579246</v>
      </c>
      <c r="AS61" s="74">
        <f t="shared" si="15"/>
        <v>-3.8348668416387954E-2</v>
      </c>
      <c r="AT61" s="74">
        <f t="shared" si="16"/>
        <v>0.34000041640352285</v>
      </c>
      <c r="AU61" s="80">
        <f t="shared" si="17"/>
        <v>3131818.313632905</v>
      </c>
      <c r="AV61" s="80">
        <f t="shared" si="18"/>
        <v>550209.49644880055</v>
      </c>
      <c r="AW61" s="74">
        <f t="shared" si="19"/>
        <v>0.79872928423433742</v>
      </c>
      <c r="AX61" s="74">
        <f t="shared" si="20"/>
        <v>1.0527735412394894</v>
      </c>
      <c r="AY61" s="74">
        <f t="shared" si="21"/>
        <v>0.83669139911565138</v>
      </c>
    </row>
    <row r="62" spans="1:51" hidden="1" x14ac:dyDescent="0.3">
      <c r="A62" s="63">
        <v>45716</v>
      </c>
      <c r="B62" s="3">
        <f>+'BD MD'!B61</f>
        <v>42693027</v>
      </c>
      <c r="C62" s="3">
        <f t="shared" si="11"/>
        <v>2409436.7586206896</v>
      </c>
      <c r="D62" s="4">
        <f t="shared" si="22"/>
        <v>3.1215575180618686E-2</v>
      </c>
      <c r="E62" s="3">
        <v>51597186</v>
      </c>
      <c r="F62" s="7">
        <v>46081</v>
      </c>
      <c r="G62" s="3">
        <f>+Tabla22[[#This Row],[Meta Digital]]+Tabla22[[#This Row],[Meta MKPlace]]</f>
        <v>2924545.347370272</v>
      </c>
      <c r="H62" s="3">
        <f>+Tabla2[[#This Row],[Meta Digital]]</f>
        <v>2487527.2948416104</v>
      </c>
      <c r="I62" s="3">
        <f>+Tabla2[[#This Row],[Meta MKPlace]]</f>
        <v>437018.05252866162</v>
      </c>
      <c r="J62" s="3">
        <v>1747242</v>
      </c>
      <c r="K62" s="3">
        <v>2298757</v>
      </c>
      <c r="L62" s="3">
        <v>17482.758620689652</v>
      </c>
      <c r="M62" s="3">
        <f>17672+10634</f>
        <v>28306</v>
      </c>
      <c r="N62" s="3">
        <v>73006</v>
      </c>
      <c r="O62" s="3">
        <v>7846</v>
      </c>
      <c r="P62" s="3">
        <v>3125</v>
      </c>
      <c r="Q62" s="3">
        <v>0</v>
      </c>
      <c r="R62" s="3">
        <v>104847</v>
      </c>
      <c r="S62" s="3">
        <v>67232</v>
      </c>
      <c r="T62" s="3">
        <v>394351</v>
      </c>
      <c r="U62" s="3">
        <v>415460</v>
      </c>
      <c r="V62" s="3">
        <v>40984</v>
      </c>
      <c r="W62" s="3">
        <v>103810</v>
      </c>
      <c r="X62" s="3">
        <v>18424</v>
      </c>
      <c r="Y62" s="3">
        <v>16109</v>
      </c>
      <c r="Z62" s="3">
        <v>9975</v>
      </c>
      <c r="AA62" s="3">
        <v>3746</v>
      </c>
      <c r="AB62" s="3">
        <v>0</v>
      </c>
      <c r="AC62" s="3">
        <v>-5</v>
      </c>
      <c r="AD62" s="3">
        <v>0</v>
      </c>
      <c r="AE62" s="3">
        <v>1895</v>
      </c>
      <c r="AF62" s="5">
        <f t="shared" si="4"/>
        <v>2943156</v>
      </c>
      <c r="AG62" s="4">
        <f t="shared" si="1"/>
        <v>1.0063636054221086</v>
      </c>
      <c r="AH62" s="5">
        <f t="shared" si="5"/>
        <v>18610.652629727963</v>
      </c>
      <c r="AI62" s="17">
        <f t="shared" si="6"/>
        <v>0.42723697090105572</v>
      </c>
      <c r="AJ62" s="17">
        <f t="shared" si="7"/>
        <v>4.0564099050365177E-2</v>
      </c>
      <c r="AK62" s="14">
        <f t="shared" si="8"/>
        <v>5.7041017702011886E-2</v>
      </c>
      <c r="AL62" s="14">
        <f t="shared" si="9"/>
        <v>1.4964041462597999E-2</v>
      </c>
      <c r="AN62" s="84">
        <f t="shared" si="10"/>
        <v>46081</v>
      </c>
      <c r="AO62" s="80">
        <f>+Tabla22[[#This Row],[Web + APP 2025]]+Tabla22[[#This Row],[Afiliados 2025]]+Tabla22[[#This Row],[TMK 2025]]+Tabla22[[#This Row],[WA 2025]]+Tabla22[[#This Row],[Ent. en Tienda 2025]]</f>
        <v>1945702.7586206896</v>
      </c>
      <c r="AP62" s="80">
        <f>+Tabla22[[#This Row],[Meli Drop 2025]]+Tabla22[[#This Row],[Meli Full 2025]]+Tabla22[[#This Row],[Amazon Drop 2025]]+Tabla22[[#This Row],[Amazon Full 2025]]+Tabla22[[#This Row],[TikTok 2025]]+Tabla22[[#This Row],[Shein 2025]]</f>
        <v>463734</v>
      </c>
      <c r="AQ62" s="80">
        <f t="shared" si="13"/>
        <v>2402141</v>
      </c>
      <c r="AR62" s="80">
        <f t="shared" si="14"/>
        <v>541015</v>
      </c>
      <c r="AS62" s="74">
        <f t="shared" si="15"/>
        <v>0.23458785744996313</v>
      </c>
      <c r="AT62" s="74">
        <f t="shared" si="16"/>
        <v>0.16664941539762013</v>
      </c>
      <c r="AU62" s="80">
        <f t="shared" si="17"/>
        <v>2487527.2948416104</v>
      </c>
      <c r="AV62" s="80">
        <f t="shared" si="18"/>
        <v>437018.05252866162</v>
      </c>
      <c r="AW62" s="74">
        <f t="shared" si="19"/>
        <v>0.96567422796980917</v>
      </c>
      <c r="AX62" s="74">
        <f t="shared" si="20"/>
        <v>1.2379694542813373</v>
      </c>
      <c r="AY62" s="74">
        <f t="shared" si="21"/>
        <v>1.0063636054221086</v>
      </c>
    </row>
    <row r="63" spans="1:51" x14ac:dyDescent="0.3">
      <c r="A63" s="7">
        <v>45717</v>
      </c>
      <c r="B63" s="3">
        <f>+'BD MD'!B62</f>
        <v>50836467</v>
      </c>
      <c r="C63" s="3">
        <f t="shared" si="11"/>
        <v>2062135.4827586208</v>
      </c>
      <c r="D63" s="4">
        <f>+C63/(SUM($C$63:$C$93))</f>
        <v>2.2488732254430814E-2</v>
      </c>
      <c r="E63" s="3">
        <v>52843119</v>
      </c>
      <c r="F63" s="7">
        <v>46082</v>
      </c>
      <c r="G63" s="3">
        <f>+Tabla22[[#This Row],[Meta Digital]]+Tabla22[[#This Row],[Meta MKPlace]]</f>
        <v>2880353.390492721</v>
      </c>
      <c r="H63" s="3">
        <f>+Tabla2[[#This Row],[Meta Digital]]</f>
        <v>2211486.390492721</v>
      </c>
      <c r="I63" s="3">
        <f>+Tabla2[[#This Row],[Meta MKPlace]]</f>
        <v>668867</v>
      </c>
      <c r="J63" s="3">
        <v>1522696</v>
      </c>
      <c r="K63" s="3">
        <v>2769749</v>
      </c>
      <c r="L63" s="3">
        <v>23759.482758620685</v>
      </c>
      <c r="M63" s="3">
        <f>19644+14270</f>
        <v>33914</v>
      </c>
      <c r="N63" s="3">
        <v>41023</v>
      </c>
      <c r="O63" s="3">
        <v>26512</v>
      </c>
      <c r="P63" s="3">
        <v>2722</v>
      </c>
      <c r="Q63" s="3">
        <v>0</v>
      </c>
      <c r="R63" s="3">
        <v>37541</v>
      </c>
      <c r="S63" s="3">
        <v>96454</v>
      </c>
      <c r="T63" s="3">
        <v>384483</v>
      </c>
      <c r="U63" s="3">
        <v>447295</v>
      </c>
      <c r="V63" s="3">
        <v>29795</v>
      </c>
      <c r="W63" s="3">
        <v>95383</v>
      </c>
      <c r="X63" s="3">
        <v>13746</v>
      </c>
      <c r="Y63" s="3">
        <v>21210</v>
      </c>
      <c r="Z63" s="3">
        <v>6370</v>
      </c>
      <c r="AA63" s="3">
        <v>3536</v>
      </c>
      <c r="AB63" s="3">
        <v>0</v>
      </c>
      <c r="AC63" s="3">
        <v>430</v>
      </c>
      <c r="AD63" s="3">
        <v>0</v>
      </c>
      <c r="AE63" s="3">
        <v>0</v>
      </c>
      <c r="AF63" s="5">
        <f t="shared" si="4"/>
        <v>3494483</v>
      </c>
      <c r="AG63" s="4">
        <f t="shared" si="1"/>
        <v>1.2132132854025333</v>
      </c>
      <c r="AH63" s="5">
        <f t="shared" si="5"/>
        <v>614129.609507279</v>
      </c>
      <c r="AI63" s="17">
        <f t="shared" si="6"/>
        <v>0.31045607450207369</v>
      </c>
      <c r="AJ63" s="17">
        <f t="shared" si="7"/>
        <v>5.555161841927285E-2</v>
      </c>
      <c r="AK63" s="14">
        <f t="shared" si="8"/>
        <v>6.6129385738945501E-2</v>
      </c>
      <c r="AL63" s="14">
        <f t="shared" si="9"/>
        <v>0.1008412522284261</v>
      </c>
      <c r="AN63" s="84">
        <f>+F63</f>
        <v>46082</v>
      </c>
      <c r="AO63" s="80">
        <f>+Tabla22[[#This Row],[Web + APP 2025]]+Tabla22[[#This Row],[Afiliados 2025]]+Tabla22[[#This Row],[TMK 2025]]+Tabla22[[#This Row],[WA 2025]]+Tabla22[[#This Row],[Ent. en Tienda 2025]]</f>
        <v>1627741.4827586208</v>
      </c>
      <c r="AP63" s="80">
        <f>+Tabla22[[#This Row],[Meli Drop 2025]]+Tabla22[[#This Row],[Meli Full 2025]]+Tabla22[[#This Row],[Amazon Drop 2025]]+Tabla22[[#This Row],[Amazon Full 2025]]+Tabla22[[#This Row],[TikTok 2025]]+Tabla22[[#This Row],[Shein 2025]]</f>
        <v>434394</v>
      </c>
      <c r="AQ63" s="80">
        <f t="shared" si="13"/>
        <v>2926629</v>
      </c>
      <c r="AR63" s="80">
        <f t="shared" si="14"/>
        <v>567854</v>
      </c>
      <c r="AS63" s="74">
        <f t="shared" si="15"/>
        <v>0.79796916832277631</v>
      </c>
      <c r="AT63" s="74">
        <f t="shared" si="16"/>
        <v>0.30723260450190382</v>
      </c>
      <c r="AU63" s="80">
        <f t="shared" si="17"/>
        <v>2211486.390492721</v>
      </c>
      <c r="AV63" s="80">
        <f t="shared" si="18"/>
        <v>668867</v>
      </c>
      <c r="AW63" s="74">
        <f t="shared" si="19"/>
        <v>1.3233764460779451</v>
      </c>
      <c r="AX63" s="74">
        <f t="shared" si="20"/>
        <v>0.84897894499205373</v>
      </c>
      <c r="AY63" s="74">
        <f t="shared" si="21"/>
        <v>1.2132132854025333</v>
      </c>
    </row>
    <row r="64" spans="1:51" x14ac:dyDescent="0.3">
      <c r="A64" s="63">
        <v>45718</v>
      </c>
      <c r="B64" s="3">
        <f>+'BD MD'!B63</f>
        <v>48002488</v>
      </c>
      <c r="C64" s="3">
        <f t="shared" si="11"/>
        <v>2666615.8965517241</v>
      </c>
      <c r="D64" s="4">
        <f t="shared" ref="D64:D93" si="23">+C64/(SUM($C$63:$C$93))</f>
        <v>2.9080926750136443E-2</v>
      </c>
      <c r="E64" s="3">
        <v>29862876</v>
      </c>
      <c r="F64" s="7">
        <v>46083</v>
      </c>
      <c r="G64" s="3">
        <f>+Tabla22[[#This Row],[Meta Digital]]+Tabla22[[#This Row],[Meta MKPlace]]</f>
        <v>3627549.5167549164</v>
      </c>
      <c r="H64" s="3">
        <f>+Tabla2[[#This Row],[Meta Digital]]</f>
        <v>2859746.5167549164</v>
      </c>
      <c r="I64" s="3">
        <f>+Tabla2[[#This Row],[Meta MKPlace]]</f>
        <v>767803</v>
      </c>
      <c r="J64" s="3">
        <v>2021359</v>
      </c>
      <c r="K64" s="3">
        <v>3687641</v>
      </c>
      <c r="L64" s="3">
        <v>23281.896551724138</v>
      </c>
      <c r="M64" s="3">
        <v>26936</v>
      </c>
      <c r="N64" s="3">
        <v>3956</v>
      </c>
      <c r="O64" s="3">
        <v>15825</v>
      </c>
      <c r="P64" s="3">
        <v>7228</v>
      </c>
      <c r="Q64" s="3">
        <v>7457</v>
      </c>
      <c r="R64" s="3">
        <v>118573</v>
      </c>
      <c r="S64" s="3">
        <v>107185</v>
      </c>
      <c r="T64" s="3">
        <v>444525</v>
      </c>
      <c r="U64" s="3">
        <v>452113</v>
      </c>
      <c r="V64" s="3">
        <v>31189</v>
      </c>
      <c r="W64" s="3">
        <v>85564</v>
      </c>
      <c r="X64" s="3">
        <v>12849</v>
      </c>
      <c r="Y64" s="3">
        <v>6520</v>
      </c>
      <c r="Z64" s="3">
        <v>3655</v>
      </c>
      <c r="AA64" s="3">
        <v>4483</v>
      </c>
      <c r="AB64" s="3">
        <v>0</v>
      </c>
      <c r="AC64" s="3">
        <v>515</v>
      </c>
      <c r="AD64" s="3">
        <v>0</v>
      </c>
      <c r="AE64" s="3">
        <v>0</v>
      </c>
      <c r="AF64" s="5">
        <f t="shared" si="4"/>
        <v>4394239</v>
      </c>
      <c r="AG64" s="4">
        <f t="shared" si="1"/>
        <v>1.2113519001474411</v>
      </c>
      <c r="AH64" s="5">
        <f t="shared" si="5"/>
        <v>766689.4832450836</v>
      </c>
      <c r="AI64" s="17">
        <f t="shared" si="6"/>
        <v>0.22894204690263287</v>
      </c>
      <c r="AJ64" s="17">
        <f t="shared" si="7"/>
        <v>0.12385099496173829</v>
      </c>
      <c r="AK64" s="14">
        <f t="shared" si="8"/>
        <v>0.1471472138182538</v>
      </c>
      <c r="AL64" s="14">
        <f t="shared" si="9"/>
        <v>3.4377011359524756E-2</v>
      </c>
      <c r="AN64" s="84">
        <f t="shared" ref="AN64:AN93" si="24">+F64</f>
        <v>46083</v>
      </c>
      <c r="AO64" s="80">
        <f>+Tabla22[[#This Row],[Web + APP 2025]]+Tabla22[[#This Row],[Afiliados 2025]]+Tabla22[[#This Row],[TMK 2025]]+Tabla22[[#This Row],[WA 2025]]+Tabla22[[#This Row],[Ent. en Tienda 2025]]</f>
        <v>2174397.8965517241</v>
      </c>
      <c r="AP64" s="80">
        <f>+Tabla22[[#This Row],[Meli Drop 2025]]+Tabla22[[#This Row],[Meli Full 2025]]+Tabla22[[#This Row],[Amazon Drop 2025]]+Tabla22[[#This Row],[Amazon Full 2025]]+Tabla22[[#This Row],[TikTok 2025]]+Tabla22[[#This Row],[Shein 2025]]</f>
        <v>492218</v>
      </c>
      <c r="AQ64" s="80">
        <f t="shared" ref="AQ64:AQ93" si="25">+K64+M64+O64+Q64+S64</f>
        <v>3845044</v>
      </c>
      <c r="AR64" s="80">
        <f t="shared" ref="AR64:AR93" si="26">+U64+W64+Y64+AA64+AC64+AE64</f>
        <v>549195</v>
      </c>
      <c r="AS64" s="74">
        <f t="shared" ref="AS64:AS93" si="27">+AQ64/AO64-1</f>
        <v>0.76832584601818987</v>
      </c>
      <c r="AT64" s="74">
        <f t="shared" ref="AT64:AT93" si="28">+AR64/AP64-1</f>
        <v>0.11575562047710575</v>
      </c>
      <c r="AU64" s="80">
        <f t="shared" ref="AU64:AU93" si="29">+H64</f>
        <v>2859746.5167549164</v>
      </c>
      <c r="AV64" s="80">
        <f t="shared" ref="AV64:AV93" si="30">+I64</f>
        <v>767803</v>
      </c>
      <c r="AW64" s="74">
        <f t="shared" ref="AW64:AW93" si="31">+AQ64/AU64</f>
        <v>1.3445401462935063</v>
      </c>
      <c r="AX64" s="74">
        <f t="shared" ref="AX64:AX93" si="32">+AR64/AV64</f>
        <v>0.71528113331153953</v>
      </c>
      <c r="AY64" s="74">
        <f t="shared" ref="AY64:AY93" si="33">+(AQ64+AR64)/(AU64+AV64)</f>
        <v>1.2113519001474411</v>
      </c>
    </row>
    <row r="65" spans="1:51" x14ac:dyDescent="0.3">
      <c r="A65" s="7">
        <v>45719</v>
      </c>
      <c r="B65" s="3">
        <f>+'BD MD'!B64</f>
        <v>28870398</v>
      </c>
      <c r="C65" s="3">
        <f t="shared" si="11"/>
        <v>3575627.5172413792</v>
      </c>
      <c r="D65" s="4">
        <f t="shared" si="23"/>
        <v>3.8994203120566236E-2</v>
      </c>
      <c r="E65" s="3">
        <v>33171704</v>
      </c>
      <c r="F65" s="7">
        <v>46084</v>
      </c>
      <c r="G65" s="3">
        <f>+Tabla22[[#This Row],[Meta Digital]]+Tabla22[[#This Row],[Meta MKPlace]]</f>
        <v>4500020.6326513309</v>
      </c>
      <c r="H65" s="3">
        <f>+Tabla2[[#This Row],[Meta Digital]]</f>
        <v>3834593.6326513314</v>
      </c>
      <c r="I65" s="3">
        <f>+Tabla2[[#This Row],[Meta MKPlace]]</f>
        <v>665427</v>
      </c>
      <c r="J65" s="3">
        <v>2894647</v>
      </c>
      <c r="K65" s="3">
        <v>4158362</v>
      </c>
      <c r="L65" s="3">
        <v>17015.517241379308</v>
      </c>
      <c r="M65" s="3">
        <f>15135+6897</f>
        <v>22032</v>
      </c>
      <c r="N65" s="3">
        <v>70126</v>
      </c>
      <c r="O65" s="3">
        <v>47632</v>
      </c>
      <c r="P65" s="3">
        <v>2478</v>
      </c>
      <c r="Q65" s="3">
        <v>2071</v>
      </c>
      <c r="R65" s="3">
        <v>47499</v>
      </c>
      <c r="S65" s="3">
        <v>74989</v>
      </c>
      <c r="T65" s="3">
        <v>481304</v>
      </c>
      <c r="U65" s="3">
        <v>653421</v>
      </c>
      <c r="V65" s="3">
        <v>33324</v>
      </c>
      <c r="W65" s="3">
        <v>126548</v>
      </c>
      <c r="X65" s="3">
        <v>22831</v>
      </c>
      <c r="Y65" s="3">
        <v>5908</v>
      </c>
      <c r="Z65" s="3">
        <v>6403</v>
      </c>
      <c r="AA65" s="3">
        <v>4036</v>
      </c>
      <c r="AB65" s="3">
        <v>0</v>
      </c>
      <c r="AC65" s="3">
        <v>2049</v>
      </c>
      <c r="AD65" s="3">
        <v>0</v>
      </c>
      <c r="AE65" s="3">
        <v>775</v>
      </c>
      <c r="AF65" s="5">
        <f t="shared" si="4"/>
        <v>5097823</v>
      </c>
      <c r="AG65" s="4">
        <f t="shared" si="1"/>
        <v>1.1328443614260619</v>
      </c>
      <c r="AH65" s="5">
        <f t="shared" si="5"/>
        <v>597802.3673486691</v>
      </c>
      <c r="AI65" s="17">
        <f t="shared" si="6"/>
        <v>0.31489767230607613</v>
      </c>
      <c r="AJ65" s="17">
        <f t="shared" si="7"/>
        <v>0.12872553508669304</v>
      </c>
      <c r="AK65" s="14">
        <f t="shared" si="8"/>
        <v>0.15367986522489166</v>
      </c>
      <c r="AL65" s="14">
        <f t="shared" si="9"/>
        <v>0.10138635405590835</v>
      </c>
      <c r="AN65" s="84">
        <f t="shared" si="24"/>
        <v>46084</v>
      </c>
      <c r="AO65" s="80">
        <f>+Tabla22[[#This Row],[Web + APP 2025]]+Tabla22[[#This Row],[Afiliados 2025]]+Tabla22[[#This Row],[TMK 2025]]+Tabla22[[#This Row],[WA 2025]]+Tabla22[[#This Row],[Ent. en Tienda 2025]]</f>
        <v>3031765.5172413792</v>
      </c>
      <c r="AP65" s="80">
        <f>+Tabla22[[#This Row],[Meli Drop 2025]]+Tabla22[[#This Row],[Meli Full 2025]]+Tabla22[[#This Row],[Amazon Drop 2025]]+Tabla22[[#This Row],[Amazon Full 2025]]+Tabla22[[#This Row],[TikTok 2025]]+Tabla22[[#This Row],[Shein 2025]]</f>
        <v>543862</v>
      </c>
      <c r="AQ65" s="80">
        <f t="shared" si="25"/>
        <v>4305086</v>
      </c>
      <c r="AR65" s="80">
        <f t="shared" si="26"/>
        <v>792737</v>
      </c>
      <c r="AS65" s="74">
        <f t="shared" si="27"/>
        <v>0.419993061969127</v>
      </c>
      <c r="AT65" s="74">
        <f t="shared" si="28"/>
        <v>0.45760689292504342</v>
      </c>
      <c r="AU65" s="80">
        <f t="shared" si="29"/>
        <v>3834593.6326513314</v>
      </c>
      <c r="AV65" s="80">
        <f t="shared" si="30"/>
        <v>665427</v>
      </c>
      <c r="AW65" s="74">
        <f t="shared" si="31"/>
        <v>1.122696799823182</v>
      </c>
      <c r="AX65" s="74">
        <f t="shared" si="32"/>
        <v>1.1913207609549958</v>
      </c>
      <c r="AY65" s="74">
        <f t="shared" si="33"/>
        <v>1.1328443614260619</v>
      </c>
    </row>
    <row r="66" spans="1:51" x14ac:dyDescent="0.3">
      <c r="A66" s="63">
        <v>45720</v>
      </c>
      <c r="B66" s="3">
        <f>+'BD MD'!B65</f>
        <v>30118136</v>
      </c>
      <c r="C66" s="3">
        <f t="shared" si="11"/>
        <v>3876973.1724137929</v>
      </c>
      <c r="D66" s="4">
        <f t="shared" si="23"/>
        <v>4.2280544785248071E-2</v>
      </c>
      <c r="E66" s="3">
        <v>34892813</v>
      </c>
      <c r="F66" s="7">
        <v>46085</v>
      </c>
      <c r="G66" s="3">
        <f>+Tabla22[[#This Row],[Meta Digital]]+Tabla22[[#This Row],[Meta MKPlace]]</f>
        <v>4785964.3558263183</v>
      </c>
      <c r="H66" s="3">
        <f>+Tabla2[[#This Row],[Meta Digital]]</f>
        <v>4157764.3558263187</v>
      </c>
      <c r="I66" s="3">
        <f>+Tabla2[[#This Row],[Meta MKPlace]]</f>
        <v>628200</v>
      </c>
      <c r="J66" s="3">
        <v>3324837</v>
      </c>
      <c r="K66" s="3">
        <v>4047073</v>
      </c>
      <c r="L66" s="3">
        <v>20705.172413793101</v>
      </c>
      <c r="M66" s="3">
        <v>21637</v>
      </c>
      <c r="N66" s="3">
        <v>55930</v>
      </c>
      <c r="O66" s="3">
        <v>50390</v>
      </c>
      <c r="P66" s="3">
        <v>5121</v>
      </c>
      <c r="Q66" s="3">
        <v>7095</v>
      </c>
      <c r="R66" s="3">
        <v>33120</v>
      </c>
      <c r="S66" s="3">
        <v>81778</v>
      </c>
      <c r="T66" s="3">
        <v>340219</v>
      </c>
      <c r="U66" s="3">
        <v>480522</v>
      </c>
      <c r="V66" s="3">
        <v>73972</v>
      </c>
      <c r="W66" s="3">
        <v>55623</v>
      </c>
      <c r="X66" s="3">
        <v>16003</v>
      </c>
      <c r="Y66" s="3">
        <v>12102</v>
      </c>
      <c r="Z66" s="3">
        <v>7066</v>
      </c>
      <c r="AA66" s="3">
        <v>6133</v>
      </c>
      <c r="AB66" s="3">
        <v>0</v>
      </c>
      <c r="AC66" s="3">
        <v>1534</v>
      </c>
      <c r="AD66" s="3">
        <v>0</v>
      </c>
      <c r="AE66" s="3">
        <v>0</v>
      </c>
      <c r="AF66" s="5">
        <f t="shared" si="4"/>
        <v>4763887</v>
      </c>
      <c r="AG66" s="4">
        <f t="shared" si="1"/>
        <v>0.9953870622125629</v>
      </c>
      <c r="AH66" s="5">
        <f t="shared" si="5"/>
        <v>-22077.355826318264</v>
      </c>
      <c r="AI66" s="17">
        <f t="shared" si="6"/>
        <v>0.29042927228845472</v>
      </c>
      <c r="AJ66" s="17">
        <f t="shared" si="7"/>
        <v>0.11482938776878547</v>
      </c>
      <c r="AK66" s="14">
        <f t="shared" si="8"/>
        <v>0.13652917579330734</v>
      </c>
      <c r="AL66" s="14">
        <f t="shared" si="9"/>
        <v>8.532994823122908E-2</v>
      </c>
      <c r="AN66" s="84">
        <f t="shared" si="24"/>
        <v>46085</v>
      </c>
      <c r="AO66" s="80">
        <f>+Tabla22[[#This Row],[Web + APP 2025]]+Tabla22[[#This Row],[Afiliados 2025]]+Tabla22[[#This Row],[TMK 2025]]+Tabla22[[#This Row],[WA 2025]]+Tabla22[[#This Row],[Ent. en Tienda 2025]]</f>
        <v>3439713.1724137929</v>
      </c>
      <c r="AP66" s="80">
        <f>+Tabla22[[#This Row],[Meli Drop 2025]]+Tabla22[[#This Row],[Meli Full 2025]]+Tabla22[[#This Row],[Amazon Drop 2025]]+Tabla22[[#This Row],[Amazon Full 2025]]+Tabla22[[#This Row],[TikTok 2025]]+Tabla22[[#This Row],[Shein 2025]]</f>
        <v>437260</v>
      </c>
      <c r="AQ66" s="80">
        <f t="shared" si="25"/>
        <v>4207973</v>
      </c>
      <c r="AR66" s="80">
        <f t="shared" si="26"/>
        <v>555914</v>
      </c>
      <c r="AS66" s="74">
        <f t="shared" si="27"/>
        <v>0.22334996817397035</v>
      </c>
      <c r="AT66" s="74">
        <f t="shared" si="28"/>
        <v>0.2713580021040114</v>
      </c>
      <c r="AU66" s="80">
        <f t="shared" si="29"/>
        <v>4157764.3558263187</v>
      </c>
      <c r="AV66" s="80">
        <f t="shared" si="30"/>
        <v>628200</v>
      </c>
      <c r="AW66" s="74">
        <f t="shared" si="31"/>
        <v>1.012075875368772</v>
      </c>
      <c r="AX66" s="74">
        <f t="shared" si="32"/>
        <v>0.88493155046163641</v>
      </c>
      <c r="AY66" s="74">
        <f t="shared" si="33"/>
        <v>0.9953870622125629</v>
      </c>
    </row>
    <row r="67" spans="1:51" x14ac:dyDescent="0.3">
      <c r="A67" s="7">
        <v>45721</v>
      </c>
      <c r="B67" s="3">
        <f>+'BD MD'!B66</f>
        <v>32149498</v>
      </c>
      <c r="C67" s="3">
        <f t="shared" si="11"/>
        <v>3691707.1724137929</v>
      </c>
      <c r="D67" s="4">
        <f t="shared" si="23"/>
        <v>4.0260116202992274E-2</v>
      </c>
      <c r="E67" s="3">
        <v>38712693</v>
      </c>
      <c r="F67" s="7">
        <v>46086</v>
      </c>
      <c r="G67" s="3">
        <f>+Tabla22[[#This Row],[Meta Digital]]+Tabla22[[#This Row],[Meta MKPlace]]</f>
        <v>4626496.3988086497</v>
      </c>
      <c r="H67" s="3">
        <f>+Tabla2[[#This Row],[Meta Digital]]</f>
        <v>3959080.3988086497</v>
      </c>
      <c r="I67" s="3">
        <f>+Tabla2[[#This Row],[Meta MKPlace]]</f>
        <v>667416</v>
      </c>
      <c r="J67" s="3">
        <v>3006578</v>
      </c>
      <c r="K67" s="3">
        <v>3273154</v>
      </c>
      <c r="L67" s="3">
        <v>20405.172413793101</v>
      </c>
      <c r="M67" s="3">
        <f>15908+12659</f>
        <v>28567</v>
      </c>
      <c r="N67" s="3">
        <v>61036</v>
      </c>
      <c r="O67" s="3">
        <v>21743</v>
      </c>
      <c r="P67" s="3">
        <v>128</v>
      </c>
      <c r="Q67" s="3">
        <v>154</v>
      </c>
      <c r="R67" s="3">
        <v>94925</v>
      </c>
      <c r="S67" s="3">
        <v>89264</v>
      </c>
      <c r="T67" s="3">
        <v>365903</v>
      </c>
      <c r="U67" s="3">
        <v>393807</v>
      </c>
      <c r="V67" s="3">
        <v>115450</v>
      </c>
      <c r="W67" s="3">
        <v>40051</v>
      </c>
      <c r="X67" s="3">
        <v>19487</v>
      </c>
      <c r="Y67" s="3">
        <v>5342</v>
      </c>
      <c r="Z67" s="3">
        <v>7795</v>
      </c>
      <c r="AA67" s="3">
        <v>5065</v>
      </c>
      <c r="AB67" s="3">
        <v>0</v>
      </c>
      <c r="AC67" s="3">
        <v>560</v>
      </c>
      <c r="AD67" s="3">
        <v>0</v>
      </c>
      <c r="AE67" s="3">
        <v>0</v>
      </c>
      <c r="AF67" s="5">
        <f t="shared" si="4"/>
        <v>3857707</v>
      </c>
      <c r="AG67" s="4">
        <f t="shared" si="1"/>
        <v>0.83382902902364353</v>
      </c>
      <c r="AH67" s="5">
        <f t="shared" si="5"/>
        <v>-768789.39880864974</v>
      </c>
      <c r="AI67" s="17">
        <f t="shared" si="6"/>
        <v>0.38792892478117325</v>
      </c>
      <c r="AJ67" s="17">
        <f t="shared" si="7"/>
        <v>7.4081218780168781E-2</v>
      </c>
      <c r="AK67" s="14">
        <f t="shared" si="8"/>
        <v>9.9649667875081699E-2</v>
      </c>
      <c r="AL67" s="14">
        <f t="shared" si="9"/>
        <v>3.1809423157640682E-2</v>
      </c>
      <c r="AN67" s="84">
        <f t="shared" si="24"/>
        <v>46086</v>
      </c>
      <c r="AO67" s="80">
        <f>+Tabla22[[#This Row],[Web + APP 2025]]+Tabla22[[#This Row],[Afiliados 2025]]+Tabla22[[#This Row],[TMK 2025]]+Tabla22[[#This Row],[WA 2025]]+Tabla22[[#This Row],[Ent. en Tienda 2025]]</f>
        <v>3183072.1724137929</v>
      </c>
      <c r="AP67" s="80">
        <f>+Tabla22[[#This Row],[Meli Drop 2025]]+Tabla22[[#This Row],[Meli Full 2025]]+Tabla22[[#This Row],[Amazon Drop 2025]]+Tabla22[[#This Row],[Amazon Full 2025]]+Tabla22[[#This Row],[TikTok 2025]]+Tabla22[[#This Row],[Shein 2025]]</f>
        <v>508635</v>
      </c>
      <c r="AQ67" s="80">
        <f t="shared" si="25"/>
        <v>3412882</v>
      </c>
      <c r="AR67" s="80">
        <f t="shared" si="26"/>
        <v>444825</v>
      </c>
      <c r="AS67" s="74">
        <f t="shared" si="27"/>
        <v>7.2197491963224003E-2</v>
      </c>
      <c r="AT67" s="74">
        <f t="shared" si="28"/>
        <v>-0.12545341944616473</v>
      </c>
      <c r="AU67" s="80">
        <f t="shared" si="29"/>
        <v>3959080.3988086497</v>
      </c>
      <c r="AV67" s="80">
        <f t="shared" si="30"/>
        <v>667416</v>
      </c>
      <c r="AW67" s="74">
        <f t="shared" si="31"/>
        <v>0.86203907377758493</v>
      </c>
      <c r="AX67" s="74">
        <f t="shared" si="32"/>
        <v>0.66648836707540726</v>
      </c>
      <c r="AY67" s="74">
        <f t="shared" si="33"/>
        <v>0.83382902902364353</v>
      </c>
    </row>
    <row r="68" spans="1:51" x14ac:dyDescent="0.3">
      <c r="A68" s="63">
        <v>45722</v>
      </c>
      <c r="B68" s="3">
        <f>+'BD MD'!B67</f>
        <v>37519228</v>
      </c>
      <c r="C68" s="3">
        <f t="shared" si="11"/>
        <v>2779470.1379310344</v>
      </c>
      <c r="D68" s="4">
        <f t="shared" si="23"/>
        <v>3.0311664904528256E-2</v>
      </c>
      <c r="E68" s="3">
        <v>39872258</v>
      </c>
      <c r="F68" s="7">
        <v>46087</v>
      </c>
      <c r="G68" s="3">
        <f>+Tabla22[[#This Row],[Meta Digital]]+Tabla22[[#This Row],[Meta MKPlace]]</f>
        <v>3599466.2673592828</v>
      </c>
      <c r="H68" s="3">
        <f>+Tabla2[[#This Row],[Meta Digital]]</f>
        <v>2980774.2673592828</v>
      </c>
      <c r="I68" s="3">
        <f>+Tabla2[[#This Row],[Meta MKPlace]]</f>
        <v>618692</v>
      </c>
      <c r="J68" s="3">
        <v>2158066</v>
      </c>
      <c r="K68" s="3">
        <v>2313818</v>
      </c>
      <c r="L68" s="3">
        <v>20349.137931034478</v>
      </c>
      <c r="M68" s="3">
        <v>23488</v>
      </c>
      <c r="N68" s="3">
        <v>52546</v>
      </c>
      <c r="O68" s="3">
        <v>32023</v>
      </c>
      <c r="P68" s="3">
        <v>1600</v>
      </c>
      <c r="Q68" s="3">
        <v>1687</v>
      </c>
      <c r="R68" s="3">
        <v>74876</v>
      </c>
      <c r="S68" s="3">
        <v>118330</v>
      </c>
      <c r="T68" s="3">
        <v>330846</v>
      </c>
      <c r="U68" s="3">
        <v>299324</v>
      </c>
      <c r="V68" s="3">
        <v>120380</v>
      </c>
      <c r="W68" s="3">
        <v>33674</v>
      </c>
      <c r="X68" s="3">
        <v>14076</v>
      </c>
      <c r="Y68" s="3">
        <v>6895</v>
      </c>
      <c r="Z68" s="3">
        <v>6731</v>
      </c>
      <c r="AA68" s="3">
        <v>6866</v>
      </c>
      <c r="AB68" s="3">
        <v>0</v>
      </c>
      <c r="AC68" s="3">
        <v>387</v>
      </c>
      <c r="AD68" s="3">
        <v>0</v>
      </c>
      <c r="AE68" s="3">
        <v>0</v>
      </c>
      <c r="AF68" s="5">
        <f t="shared" ref="AF68:AF131" si="34">+AE68+AC68+AA68+Y68+W68+U68+S68+Q68+O68+M68+K68</f>
        <v>2836492</v>
      </c>
      <c r="AG68" s="4">
        <f t="shared" ref="AG68:AG131" si="35">+AF68/G68</f>
        <v>0.78803127722626709</v>
      </c>
      <c r="AH68" s="5">
        <f t="shared" ref="AH68:AH131" si="36">+AF68-G68</f>
        <v>-762974.26735928282</v>
      </c>
      <c r="AI68" s="17">
        <f t="shared" ref="AI68:AI80" si="37">+AF68/C69-1</f>
        <v>6.4668878159658494E-2</v>
      </c>
      <c r="AJ68" s="17">
        <f t="shared" ref="AJ68:AJ80" si="38">+C69/B69</f>
        <v>6.740842649129003E-2</v>
      </c>
      <c r="AK68" s="14">
        <f t="shared" ref="AK68:AK80" si="39">+AF68/E68</f>
        <v>7.1139487510338648E-2</v>
      </c>
      <c r="AL68" s="14">
        <f t="shared" ref="AL68:AL80" si="40">+E68/B69-1</f>
        <v>8.8300650262573832E-3</v>
      </c>
      <c r="AN68" s="84">
        <f t="shared" si="24"/>
        <v>46087</v>
      </c>
      <c r="AO68" s="80">
        <f>+Tabla22[[#This Row],[Web + APP 2025]]+Tabla22[[#This Row],[Afiliados 2025]]+Tabla22[[#This Row],[TMK 2025]]+Tabla22[[#This Row],[WA 2025]]+Tabla22[[#This Row],[Ent. en Tienda 2025]]</f>
        <v>2307437.1379310344</v>
      </c>
      <c r="AP68" s="80">
        <f>+Tabla22[[#This Row],[Meli Drop 2025]]+Tabla22[[#This Row],[Meli Full 2025]]+Tabla22[[#This Row],[Amazon Drop 2025]]+Tabla22[[#This Row],[Amazon Full 2025]]+Tabla22[[#This Row],[TikTok 2025]]+Tabla22[[#This Row],[Shein 2025]]</f>
        <v>472033</v>
      </c>
      <c r="AQ68" s="80">
        <f t="shared" si="25"/>
        <v>2489346</v>
      </c>
      <c r="AR68" s="80">
        <f t="shared" si="26"/>
        <v>347146</v>
      </c>
      <c r="AS68" s="74">
        <f t="shared" si="27"/>
        <v>7.8835890728565783E-2</v>
      </c>
      <c r="AT68" s="74">
        <f t="shared" si="28"/>
        <v>-0.26457260403404004</v>
      </c>
      <c r="AU68" s="80">
        <f t="shared" si="29"/>
        <v>2980774.2673592828</v>
      </c>
      <c r="AV68" s="80">
        <f t="shared" si="30"/>
        <v>618692</v>
      </c>
      <c r="AW68" s="74">
        <f t="shared" si="31"/>
        <v>0.83513402113651258</v>
      </c>
      <c r="AX68" s="74">
        <f t="shared" si="32"/>
        <v>0.56109663612912397</v>
      </c>
      <c r="AY68" s="74">
        <f t="shared" si="33"/>
        <v>0.78803127722626709</v>
      </c>
    </row>
    <row r="69" spans="1:51" x14ac:dyDescent="0.3">
      <c r="A69" s="7">
        <v>45723</v>
      </c>
      <c r="B69" s="3">
        <f>+'BD MD'!B68</f>
        <v>39523265</v>
      </c>
      <c r="C69" s="3">
        <f t="shared" ref="C69:C132" si="41">+J69+L69+N69+P69+R69+T69+V69+X69+Z69+AB69+AD69</f>
        <v>2664201.1034482759</v>
      </c>
      <c r="D69" s="4">
        <f t="shared" si="23"/>
        <v>2.9054592090747018E-2</v>
      </c>
      <c r="E69" s="3">
        <v>52578844</v>
      </c>
      <c r="F69" s="7">
        <v>46088</v>
      </c>
      <c r="G69" s="3">
        <f>+Tabla22[[#This Row],[Meta Digital]]+Tabla22[[#This Row],[Meta MKPlace]]</f>
        <v>3399016.831388081</v>
      </c>
      <c r="H69" s="3">
        <f>+Tabla2[[#This Row],[Meta Digital]]</f>
        <v>2857156.831388081</v>
      </c>
      <c r="I69" s="3">
        <f>+Tabla2[[#This Row],[Meta MKPlace]]</f>
        <v>541860</v>
      </c>
      <c r="J69" s="3">
        <v>2008601</v>
      </c>
      <c r="K69" s="3">
        <v>2036782</v>
      </c>
      <c r="L69" s="3">
        <v>17718.103448275862</v>
      </c>
      <c r="M69" s="3">
        <v>29622</v>
      </c>
      <c r="N69" s="3">
        <v>60599</v>
      </c>
      <c r="O69" s="3">
        <v>12659</v>
      </c>
      <c r="P69" s="3">
        <v>1392</v>
      </c>
      <c r="Q69" s="3">
        <v>1118</v>
      </c>
      <c r="R69" s="3">
        <v>69932</v>
      </c>
      <c r="S69" s="3">
        <v>33500</v>
      </c>
      <c r="T69" s="3">
        <v>369062</v>
      </c>
      <c r="U69" s="3">
        <v>318037</v>
      </c>
      <c r="V69" s="3">
        <v>123391</v>
      </c>
      <c r="W69" s="3">
        <v>29312</v>
      </c>
      <c r="X69" s="3">
        <v>10054</v>
      </c>
      <c r="Y69" s="3">
        <v>16246</v>
      </c>
      <c r="Z69" s="3">
        <v>3452</v>
      </c>
      <c r="AA69" s="3">
        <v>7308</v>
      </c>
      <c r="AB69" s="3">
        <v>0</v>
      </c>
      <c r="AC69" s="3">
        <v>430</v>
      </c>
      <c r="AD69" s="3">
        <v>0</v>
      </c>
      <c r="AE69" s="3">
        <v>0</v>
      </c>
      <c r="AF69" s="5">
        <f t="shared" si="34"/>
        <v>2485014</v>
      </c>
      <c r="AG69" s="4">
        <f t="shared" si="35"/>
        <v>0.73109788014352872</v>
      </c>
      <c r="AH69" s="5">
        <f t="shared" si="36"/>
        <v>-914002.83138808096</v>
      </c>
      <c r="AI69" s="17">
        <f t="shared" si="37"/>
        <v>0.16337189623481763</v>
      </c>
      <c r="AJ69" s="17">
        <f t="shared" si="38"/>
        <v>4.3608026603249569E-2</v>
      </c>
      <c r="AK69" s="14">
        <f t="shared" si="39"/>
        <v>4.726262144523375E-2</v>
      </c>
      <c r="AL69" s="14">
        <f t="shared" si="40"/>
        <v>7.341385325542471E-2</v>
      </c>
      <c r="AN69" s="84">
        <f t="shared" si="24"/>
        <v>46088</v>
      </c>
      <c r="AO69" s="80">
        <f>+Tabla22[[#This Row],[Web + APP 2025]]+Tabla22[[#This Row],[Afiliados 2025]]+Tabla22[[#This Row],[TMK 2025]]+Tabla22[[#This Row],[WA 2025]]+Tabla22[[#This Row],[Ent. en Tienda 2025]]</f>
        <v>2158242.1034482759</v>
      </c>
      <c r="AP69" s="80">
        <f>+Tabla22[[#This Row],[Meli Drop 2025]]+Tabla22[[#This Row],[Meli Full 2025]]+Tabla22[[#This Row],[Amazon Drop 2025]]+Tabla22[[#This Row],[Amazon Full 2025]]+Tabla22[[#This Row],[TikTok 2025]]+Tabla22[[#This Row],[Shein 2025]]</f>
        <v>505959</v>
      </c>
      <c r="AQ69" s="80">
        <f t="shared" si="25"/>
        <v>2113681</v>
      </c>
      <c r="AR69" s="80">
        <f t="shared" si="26"/>
        <v>371333</v>
      </c>
      <c r="AS69" s="74">
        <f t="shared" si="27"/>
        <v>-2.0646943814634833E-2</v>
      </c>
      <c r="AT69" s="74">
        <f t="shared" si="28"/>
        <v>-0.26608084844819446</v>
      </c>
      <c r="AU69" s="80">
        <f t="shared" si="29"/>
        <v>2857156.831388081</v>
      </c>
      <c r="AV69" s="80">
        <f t="shared" si="30"/>
        <v>541860</v>
      </c>
      <c r="AW69" s="74">
        <f t="shared" si="31"/>
        <v>0.73978473172336112</v>
      </c>
      <c r="AX69" s="74">
        <f t="shared" si="32"/>
        <v>0.68529324917875467</v>
      </c>
      <c r="AY69" s="74">
        <f t="shared" si="33"/>
        <v>0.73109788014352872</v>
      </c>
    </row>
    <row r="70" spans="1:51" x14ac:dyDescent="0.3">
      <c r="A70" s="63">
        <v>45724</v>
      </c>
      <c r="B70" s="3">
        <f>+'BD MD'!B69</f>
        <v>48982826</v>
      </c>
      <c r="C70" s="3">
        <f t="shared" si="41"/>
        <v>2136044.3793103448</v>
      </c>
      <c r="D70" s="4">
        <f t="shared" si="23"/>
        <v>2.3294749802583687E-2</v>
      </c>
      <c r="E70" s="3">
        <v>53652093</v>
      </c>
      <c r="F70" s="7">
        <v>46089</v>
      </c>
      <c r="G70" s="3">
        <f>+Tabla22[[#This Row],[Meta Digital]]+Tabla22[[#This Row],[Meta MKPlace]]</f>
        <v>2964233.16559288</v>
      </c>
      <c r="H70" s="3">
        <f>+Tabla2[[#This Row],[Meta Digital]]</f>
        <v>2290748.16559288</v>
      </c>
      <c r="I70" s="3">
        <f>+Tabla2[[#This Row],[Meta MKPlace]]</f>
        <v>673485</v>
      </c>
      <c r="J70" s="3">
        <v>1587947</v>
      </c>
      <c r="K70" s="3">
        <v>4090457</v>
      </c>
      <c r="L70" s="3">
        <v>16966.379310344826</v>
      </c>
      <c r="M70" s="3">
        <f>10745+11208</f>
        <v>21953</v>
      </c>
      <c r="N70" s="3">
        <v>27670</v>
      </c>
      <c r="O70" s="3">
        <v>-800</v>
      </c>
      <c r="P70" s="3">
        <v>257</v>
      </c>
      <c r="Q70" s="3">
        <v>2170</v>
      </c>
      <c r="R70" s="3">
        <v>58244</v>
      </c>
      <c r="S70" s="3">
        <v>76790</v>
      </c>
      <c r="T70" s="3">
        <v>305214</v>
      </c>
      <c r="U70" s="3">
        <v>438569</v>
      </c>
      <c r="V70" s="3">
        <v>118323</v>
      </c>
      <c r="W70" s="3">
        <v>28025</v>
      </c>
      <c r="X70" s="3">
        <v>13685</v>
      </c>
      <c r="Y70" s="3">
        <v>15404</v>
      </c>
      <c r="Z70" s="3">
        <v>7738</v>
      </c>
      <c r="AA70" s="3">
        <v>5875</v>
      </c>
      <c r="AB70" s="3">
        <v>0</v>
      </c>
      <c r="AC70" s="3">
        <v>0</v>
      </c>
      <c r="AD70" s="3">
        <v>0</v>
      </c>
      <c r="AE70" s="3">
        <v>0</v>
      </c>
      <c r="AF70" s="5">
        <f t="shared" si="34"/>
        <v>4678443</v>
      </c>
      <c r="AG70" s="4">
        <f t="shared" si="35"/>
        <v>1.5782979066237721</v>
      </c>
      <c r="AH70" s="5">
        <f t="shared" si="36"/>
        <v>1714209.83440712</v>
      </c>
      <c r="AI70" s="17">
        <f t="shared" si="37"/>
        <v>0.85470209787104845</v>
      </c>
      <c r="AJ70" s="17">
        <f t="shared" si="38"/>
        <v>5.2312195274323695E-2</v>
      </c>
      <c r="AK70" s="14">
        <f t="shared" si="39"/>
        <v>8.7199636368333291E-2</v>
      </c>
      <c r="AL70" s="14">
        <f t="shared" si="40"/>
        <v>0.11265989584748293</v>
      </c>
      <c r="AN70" s="84">
        <f t="shared" si="24"/>
        <v>46089</v>
      </c>
      <c r="AO70" s="80">
        <f>+Tabla22[[#This Row],[Web + APP 2025]]+Tabla22[[#This Row],[Afiliados 2025]]+Tabla22[[#This Row],[TMK 2025]]+Tabla22[[#This Row],[WA 2025]]+Tabla22[[#This Row],[Ent. en Tienda 2025]]</f>
        <v>1691084.3793103448</v>
      </c>
      <c r="AP70" s="80">
        <f>+Tabla22[[#This Row],[Meli Drop 2025]]+Tabla22[[#This Row],[Meli Full 2025]]+Tabla22[[#This Row],[Amazon Drop 2025]]+Tabla22[[#This Row],[Amazon Full 2025]]+Tabla22[[#This Row],[TikTok 2025]]+Tabla22[[#This Row],[Shein 2025]]</f>
        <v>444960</v>
      </c>
      <c r="AQ70" s="80">
        <f t="shared" si="25"/>
        <v>4190570</v>
      </c>
      <c r="AR70" s="80">
        <f t="shared" si="26"/>
        <v>487873</v>
      </c>
      <c r="AS70" s="74">
        <f t="shared" si="27"/>
        <v>1.4780371998403719</v>
      </c>
      <c r="AT70" s="74">
        <f t="shared" si="28"/>
        <v>9.6442376842862387E-2</v>
      </c>
      <c r="AU70" s="80">
        <f t="shared" si="29"/>
        <v>2290748.16559288</v>
      </c>
      <c r="AV70" s="80">
        <f t="shared" si="30"/>
        <v>673485</v>
      </c>
      <c r="AW70" s="74">
        <f t="shared" si="31"/>
        <v>1.8293455661964559</v>
      </c>
      <c r="AX70" s="74">
        <f t="shared" si="32"/>
        <v>0.72440069192335388</v>
      </c>
      <c r="AY70" s="74">
        <f t="shared" si="33"/>
        <v>1.5782979066237721</v>
      </c>
    </row>
    <row r="71" spans="1:51" x14ac:dyDescent="0.3">
      <c r="A71" s="7">
        <v>45725</v>
      </c>
      <c r="B71" s="3">
        <f>+'BD MD'!B70</f>
        <v>48219670</v>
      </c>
      <c r="C71" s="3">
        <f t="shared" si="41"/>
        <v>2522476.7931034481</v>
      </c>
      <c r="D71" s="4">
        <f t="shared" si="23"/>
        <v>2.7509009806781361E-2</v>
      </c>
      <c r="E71" s="3">
        <v>31554878</v>
      </c>
      <c r="F71" s="7">
        <v>46090</v>
      </c>
      <c r="G71" s="3">
        <f>+Tabla22[[#This Row],[Meta Digital]]+Tabla22[[#This Row],[Meta MKPlace]]</f>
        <v>3478724.0866377731</v>
      </c>
      <c r="H71" s="3">
        <f>+Tabla2[[#This Row],[Meta Digital]]</f>
        <v>2705168.0866377731</v>
      </c>
      <c r="I71" s="3">
        <f>+Tabla2[[#This Row],[Meta MKPlace]]</f>
        <v>773556</v>
      </c>
      <c r="J71" s="3">
        <v>1877757</v>
      </c>
      <c r="K71" s="3">
        <v>3929406</v>
      </c>
      <c r="L71" s="3">
        <v>21363.793103448268</v>
      </c>
      <c r="M71" s="3">
        <f>19021+12762</f>
        <v>31783</v>
      </c>
      <c r="N71" s="3">
        <v>18440</v>
      </c>
      <c r="O71" s="3">
        <v>29516</v>
      </c>
      <c r="P71" s="3">
        <v>10318</v>
      </c>
      <c r="Q71" s="3">
        <v>5855</v>
      </c>
      <c r="R71" s="3">
        <v>85023</v>
      </c>
      <c r="S71" s="3">
        <v>97853</v>
      </c>
      <c r="T71" s="3">
        <v>365073</v>
      </c>
      <c r="U71" s="3">
        <v>392149</v>
      </c>
      <c r="V71" s="3">
        <v>119743</v>
      </c>
      <c r="W71" s="3">
        <v>38657</v>
      </c>
      <c r="X71" s="3">
        <v>17150</v>
      </c>
      <c r="Y71" s="3">
        <v>9352</v>
      </c>
      <c r="Z71" s="3">
        <v>7609</v>
      </c>
      <c r="AA71" s="3">
        <v>7473</v>
      </c>
      <c r="AB71" s="3">
        <v>0</v>
      </c>
      <c r="AC71" s="3">
        <v>0</v>
      </c>
      <c r="AD71" s="3">
        <v>0</v>
      </c>
      <c r="AE71" s="3">
        <v>0</v>
      </c>
      <c r="AF71" s="5">
        <f t="shared" si="34"/>
        <v>4542044</v>
      </c>
      <c r="AG71" s="4">
        <f t="shared" si="35"/>
        <v>1.3056637683473016</v>
      </c>
      <c r="AH71" s="5">
        <f t="shared" si="36"/>
        <v>1063319.9133622269</v>
      </c>
      <c r="AI71" s="17">
        <f t="shared" si="37"/>
        <v>0.21772260215400885</v>
      </c>
      <c r="AJ71" s="17">
        <f t="shared" si="38"/>
        <v>0.12791823517822315</v>
      </c>
      <c r="AK71" s="14">
        <f t="shared" si="39"/>
        <v>0.14394110476358046</v>
      </c>
      <c r="AL71" s="14">
        <f t="shared" si="40"/>
        <v>8.2171256501197609E-2</v>
      </c>
      <c r="AN71" s="84">
        <f t="shared" si="24"/>
        <v>46090</v>
      </c>
      <c r="AO71" s="80">
        <f>+Tabla22[[#This Row],[Web + APP 2025]]+Tabla22[[#This Row],[Afiliados 2025]]+Tabla22[[#This Row],[TMK 2025]]+Tabla22[[#This Row],[WA 2025]]+Tabla22[[#This Row],[Ent. en Tienda 2025]]</f>
        <v>2012901.7931034483</v>
      </c>
      <c r="AP71" s="80">
        <f>+Tabla22[[#This Row],[Meli Drop 2025]]+Tabla22[[#This Row],[Meli Full 2025]]+Tabla22[[#This Row],[Amazon Drop 2025]]+Tabla22[[#This Row],[Amazon Full 2025]]+Tabla22[[#This Row],[TikTok 2025]]+Tabla22[[#This Row],[Shein 2025]]</f>
        <v>509575</v>
      </c>
      <c r="AQ71" s="80">
        <f t="shared" si="25"/>
        <v>4094413</v>
      </c>
      <c r="AR71" s="80">
        <f t="shared" si="26"/>
        <v>447631</v>
      </c>
      <c r="AS71" s="74">
        <f t="shared" si="27"/>
        <v>1.0340848291894673</v>
      </c>
      <c r="AT71" s="74">
        <f t="shared" si="28"/>
        <v>-0.12156012363243884</v>
      </c>
      <c r="AU71" s="80">
        <f t="shared" si="29"/>
        <v>2705168.0866377731</v>
      </c>
      <c r="AV71" s="80">
        <f t="shared" si="30"/>
        <v>773556</v>
      </c>
      <c r="AW71" s="74">
        <f t="shared" si="31"/>
        <v>1.5135521597435766</v>
      </c>
      <c r="AX71" s="74">
        <f t="shared" si="32"/>
        <v>0.57866657359001805</v>
      </c>
      <c r="AY71" s="74">
        <f t="shared" si="33"/>
        <v>1.3056637683473016</v>
      </c>
    </row>
    <row r="72" spans="1:51" x14ac:dyDescent="0.3">
      <c r="A72" s="63">
        <v>45726</v>
      </c>
      <c r="B72" s="3">
        <f>+'BD MD'!B71</f>
        <v>29158858</v>
      </c>
      <c r="C72" s="3">
        <f t="shared" si="41"/>
        <v>3729949.6551724137</v>
      </c>
      <c r="D72" s="4">
        <f t="shared" si="23"/>
        <v>4.06771717081683E-2</v>
      </c>
      <c r="E72" s="3">
        <v>32083406</v>
      </c>
      <c r="F72" s="7">
        <v>46091</v>
      </c>
      <c r="G72" s="3">
        <f>+Tabla22[[#This Row],[Meta Digital]]+Tabla22[[#This Row],[Meta MKPlace]]</f>
        <v>4699432.6072044848</v>
      </c>
      <c r="H72" s="3">
        <f>+Tabla2[[#This Row],[Meta Digital]]</f>
        <v>4000092.6072044848</v>
      </c>
      <c r="I72" s="3">
        <f>+Tabla2[[#This Row],[Meta MKPlace]]</f>
        <v>699340</v>
      </c>
      <c r="J72" s="3">
        <v>3068514</v>
      </c>
      <c r="K72" s="3">
        <v>3911691</v>
      </c>
      <c r="L72" s="3">
        <v>17939.655172413786</v>
      </c>
      <c r="M72" s="3">
        <v>24886</v>
      </c>
      <c r="N72" s="3">
        <v>54141</v>
      </c>
      <c r="O72" s="3">
        <v>70786</v>
      </c>
      <c r="P72" s="3">
        <v>9922</v>
      </c>
      <c r="Q72" s="3">
        <v>1807</v>
      </c>
      <c r="R72" s="3">
        <v>44926</v>
      </c>
      <c r="S72" s="3">
        <v>118012</v>
      </c>
      <c r="T72" s="3">
        <v>397940</v>
      </c>
      <c r="U72" s="3">
        <v>576157</v>
      </c>
      <c r="V72" s="3">
        <v>105887</v>
      </c>
      <c r="W72" s="3">
        <v>72081</v>
      </c>
      <c r="X72" s="3">
        <v>23153</v>
      </c>
      <c r="Y72" s="3">
        <v>6863</v>
      </c>
      <c r="Z72" s="3">
        <v>7527</v>
      </c>
      <c r="AA72" s="3">
        <v>7574</v>
      </c>
      <c r="AB72" s="3">
        <v>0</v>
      </c>
      <c r="AC72" s="3">
        <v>0</v>
      </c>
      <c r="AD72" s="3">
        <v>0</v>
      </c>
      <c r="AE72" s="3">
        <v>0</v>
      </c>
      <c r="AF72" s="5">
        <f t="shared" si="34"/>
        <v>4789857</v>
      </c>
      <c r="AG72" s="4">
        <f t="shared" si="35"/>
        <v>1.0192415553862586</v>
      </c>
      <c r="AH72" s="5">
        <f t="shared" si="36"/>
        <v>90424.392795515247</v>
      </c>
      <c r="AI72" s="17">
        <f t="shared" si="37"/>
        <v>0.23295100326028573</v>
      </c>
      <c r="AJ72" s="17">
        <f t="shared" si="38"/>
        <v>0.11915767010749831</v>
      </c>
      <c r="AK72" s="14">
        <f t="shared" si="39"/>
        <v>0.14929390601484144</v>
      </c>
      <c r="AL72" s="14">
        <f t="shared" si="40"/>
        <v>-1.5930570598151617E-2</v>
      </c>
      <c r="AN72" s="84">
        <f t="shared" si="24"/>
        <v>46091</v>
      </c>
      <c r="AO72" s="80">
        <f>+Tabla22[[#This Row],[Web + APP 2025]]+Tabla22[[#This Row],[Afiliados 2025]]+Tabla22[[#This Row],[TMK 2025]]+Tabla22[[#This Row],[WA 2025]]+Tabla22[[#This Row],[Ent. en Tienda 2025]]</f>
        <v>3195442.6551724137</v>
      </c>
      <c r="AP72" s="80">
        <f>+Tabla22[[#This Row],[Meli Drop 2025]]+Tabla22[[#This Row],[Meli Full 2025]]+Tabla22[[#This Row],[Amazon Drop 2025]]+Tabla22[[#This Row],[Amazon Full 2025]]+Tabla22[[#This Row],[TikTok 2025]]+Tabla22[[#This Row],[Shein 2025]]</f>
        <v>534507</v>
      </c>
      <c r="AQ72" s="80">
        <f t="shared" si="25"/>
        <v>4127182</v>
      </c>
      <c r="AR72" s="80">
        <f t="shared" si="26"/>
        <v>662675</v>
      </c>
      <c r="AS72" s="74">
        <f t="shared" si="27"/>
        <v>0.29158381024907287</v>
      </c>
      <c r="AT72" s="74">
        <f t="shared" si="28"/>
        <v>0.23978731803325304</v>
      </c>
      <c r="AU72" s="80">
        <f t="shared" si="29"/>
        <v>4000092.6072044848</v>
      </c>
      <c r="AV72" s="80">
        <f t="shared" si="30"/>
        <v>699340</v>
      </c>
      <c r="AW72" s="74">
        <f t="shared" si="31"/>
        <v>1.0317716126288219</v>
      </c>
      <c r="AX72" s="74">
        <f t="shared" si="32"/>
        <v>0.9475719964537993</v>
      </c>
      <c r="AY72" s="74">
        <f t="shared" si="33"/>
        <v>1.0192415553862586</v>
      </c>
    </row>
    <row r="73" spans="1:51" x14ac:dyDescent="0.3">
      <c r="A73" s="7">
        <v>45727</v>
      </c>
      <c r="B73" s="3">
        <f>+'BD MD'!B72</f>
        <v>32602787</v>
      </c>
      <c r="C73" s="3">
        <f t="shared" si="41"/>
        <v>3884872.1379310344</v>
      </c>
      <c r="D73" s="4">
        <f t="shared" si="23"/>
        <v>4.2366687389402573E-2</v>
      </c>
      <c r="E73" s="3">
        <v>34020740</v>
      </c>
      <c r="F73" s="7">
        <v>46092</v>
      </c>
      <c r="G73" s="3">
        <f>+Tabla22[[#This Row],[Meta Digital]]+Tabla22[[#This Row],[Meta MKPlace]]</f>
        <v>4928401.4067763668</v>
      </c>
      <c r="H73" s="3">
        <f>+Tabla2[[#This Row],[Meta Digital]]</f>
        <v>4166235.4067763672</v>
      </c>
      <c r="I73" s="3">
        <f>+Tabla2[[#This Row],[Meta MKPlace]]</f>
        <v>762166</v>
      </c>
      <c r="J73" s="3">
        <v>3074978</v>
      </c>
      <c r="K73" s="3">
        <v>3585730</v>
      </c>
      <c r="L73" s="3">
        <v>18699.137931034478</v>
      </c>
      <c r="M73" s="3">
        <f>13903+11090</f>
        <v>24993</v>
      </c>
      <c r="N73" s="3">
        <v>92616</v>
      </c>
      <c r="O73" s="3">
        <v>75058</v>
      </c>
      <c r="P73" s="3">
        <v>13747</v>
      </c>
      <c r="Q73" s="3">
        <v>1008</v>
      </c>
      <c r="R73" s="3">
        <v>83805</v>
      </c>
      <c r="S73" s="3">
        <v>94735</v>
      </c>
      <c r="T73" s="3">
        <v>459672</v>
      </c>
      <c r="U73" s="3">
        <v>482545</v>
      </c>
      <c r="V73" s="3">
        <v>109568</v>
      </c>
      <c r="W73" s="3">
        <v>88078</v>
      </c>
      <c r="X73" s="3">
        <v>23342</v>
      </c>
      <c r="Y73" s="3">
        <v>16703</v>
      </c>
      <c r="Z73" s="3">
        <v>8445</v>
      </c>
      <c r="AA73" s="3">
        <v>11247</v>
      </c>
      <c r="AB73" s="3">
        <v>0</v>
      </c>
      <c r="AC73" s="3">
        <v>0</v>
      </c>
      <c r="AD73" s="3">
        <v>0</v>
      </c>
      <c r="AE73" s="3">
        <v>0</v>
      </c>
      <c r="AF73" s="5">
        <f t="shared" si="34"/>
        <v>4380097</v>
      </c>
      <c r="AG73" s="4">
        <f t="shared" si="35"/>
        <v>0.88874599256008879</v>
      </c>
      <c r="AH73" s="5">
        <f t="shared" si="36"/>
        <v>-548304.40677636676</v>
      </c>
      <c r="AI73" s="17">
        <f t="shared" si="37"/>
        <v>0.18507980251607714</v>
      </c>
      <c r="AJ73" s="17">
        <f t="shared" si="38"/>
        <v>0.10641747296972097</v>
      </c>
      <c r="AK73" s="14">
        <f t="shared" si="39"/>
        <v>0.12874784616677945</v>
      </c>
      <c r="AL73" s="14">
        <f t="shared" si="40"/>
        <v>-2.0463630219876627E-2</v>
      </c>
      <c r="AN73" s="84">
        <f t="shared" si="24"/>
        <v>46092</v>
      </c>
      <c r="AO73" s="80">
        <f>+Tabla22[[#This Row],[Web + APP 2025]]+Tabla22[[#This Row],[Afiliados 2025]]+Tabla22[[#This Row],[TMK 2025]]+Tabla22[[#This Row],[WA 2025]]+Tabla22[[#This Row],[Ent. en Tienda 2025]]</f>
        <v>3283845.1379310344</v>
      </c>
      <c r="AP73" s="80">
        <f>+Tabla22[[#This Row],[Meli Drop 2025]]+Tabla22[[#This Row],[Meli Full 2025]]+Tabla22[[#This Row],[Amazon Drop 2025]]+Tabla22[[#This Row],[Amazon Full 2025]]+Tabla22[[#This Row],[TikTok 2025]]+Tabla22[[#This Row],[Shein 2025]]</f>
        <v>601027</v>
      </c>
      <c r="AQ73" s="80">
        <f t="shared" si="25"/>
        <v>3781524</v>
      </c>
      <c r="AR73" s="80">
        <f t="shared" si="26"/>
        <v>598573</v>
      </c>
      <c r="AS73" s="74">
        <f t="shared" si="27"/>
        <v>0.15155369427150411</v>
      </c>
      <c r="AT73" s="74">
        <f t="shared" si="28"/>
        <v>-4.0830112457510559E-3</v>
      </c>
      <c r="AU73" s="80">
        <f t="shared" si="29"/>
        <v>4166235.4067763672</v>
      </c>
      <c r="AV73" s="80">
        <f t="shared" si="30"/>
        <v>762166</v>
      </c>
      <c r="AW73" s="74">
        <f t="shared" si="31"/>
        <v>0.90765970493394699</v>
      </c>
      <c r="AX73" s="74">
        <f t="shared" si="32"/>
        <v>0.785357782950171</v>
      </c>
      <c r="AY73" s="74">
        <f t="shared" si="33"/>
        <v>0.88874599256008879</v>
      </c>
    </row>
    <row r="74" spans="1:51" x14ac:dyDescent="0.3">
      <c r="A74" s="63">
        <v>45728</v>
      </c>
      <c r="B74" s="3">
        <f>+'BD MD'!B73</f>
        <v>34731472</v>
      </c>
      <c r="C74" s="3">
        <f t="shared" si="41"/>
        <v>3696035.4827586208</v>
      </c>
      <c r="D74" s="4">
        <f t="shared" si="23"/>
        <v>4.0307318830207002E-2</v>
      </c>
      <c r="E74" s="3">
        <v>39021599</v>
      </c>
      <c r="F74" s="7">
        <v>46093</v>
      </c>
      <c r="G74" s="3">
        <f>+Tabla22[[#This Row],[Meta Digital]]+Tabla22[[#This Row],[Meta MKPlace]]</f>
        <v>4653118.1885947455</v>
      </c>
      <c r="H74" s="3">
        <f>+Tabla2[[#This Row],[Meta Digital]]</f>
        <v>3963722.1885947459</v>
      </c>
      <c r="I74" s="3">
        <f>+Tabla2[[#This Row],[Meta MKPlace]]</f>
        <v>689396</v>
      </c>
      <c r="J74" s="3">
        <v>3121984</v>
      </c>
      <c r="K74" s="3">
        <v>2569096</v>
      </c>
      <c r="L74" s="3">
        <v>20284.482758620685</v>
      </c>
      <c r="M74" s="3">
        <f>14742+11047</f>
        <v>25789</v>
      </c>
      <c r="N74" s="3">
        <v>49307</v>
      </c>
      <c r="O74" s="3">
        <v>27546</v>
      </c>
      <c r="P74" s="3">
        <v>2001</v>
      </c>
      <c r="Q74" s="3">
        <v>2372</v>
      </c>
      <c r="R74" s="3">
        <v>60084</v>
      </c>
      <c r="S74" s="3">
        <v>82817</v>
      </c>
      <c r="T74" s="3">
        <v>316270</v>
      </c>
      <c r="U74" s="3">
        <v>528144</v>
      </c>
      <c r="V74" s="3">
        <v>103062</v>
      </c>
      <c r="W74" s="3">
        <v>114102</v>
      </c>
      <c r="X74" s="3">
        <v>15545</v>
      </c>
      <c r="Y74" s="3">
        <v>9692</v>
      </c>
      <c r="Z74" s="3">
        <v>7498</v>
      </c>
      <c r="AA74" s="3">
        <v>6730</v>
      </c>
      <c r="AB74" s="3">
        <v>0</v>
      </c>
      <c r="AC74" s="3">
        <v>430</v>
      </c>
      <c r="AD74" s="3">
        <v>0</v>
      </c>
      <c r="AE74" s="3">
        <v>0</v>
      </c>
      <c r="AF74" s="5">
        <f t="shared" si="34"/>
        <v>3366718</v>
      </c>
      <c r="AG74" s="4">
        <f t="shared" si="35"/>
        <v>0.72354018607396653</v>
      </c>
      <c r="AH74" s="5">
        <f t="shared" si="36"/>
        <v>-1286400.1885947455</v>
      </c>
      <c r="AI74" s="17">
        <f t="shared" si="37"/>
        <v>0.15309682737115193</v>
      </c>
      <c r="AJ74" s="17">
        <f t="shared" si="38"/>
        <v>7.3916050844220316E-2</v>
      </c>
      <c r="AK74" s="14">
        <f t="shared" si="39"/>
        <v>8.627831986075199E-2</v>
      </c>
      <c r="AL74" s="14">
        <f t="shared" si="40"/>
        <v>-1.2123047159065092E-2</v>
      </c>
      <c r="AN74" s="84">
        <f t="shared" si="24"/>
        <v>46093</v>
      </c>
      <c r="AO74" s="80">
        <f>+Tabla22[[#This Row],[Web + APP 2025]]+Tabla22[[#This Row],[Afiliados 2025]]+Tabla22[[#This Row],[TMK 2025]]+Tabla22[[#This Row],[WA 2025]]+Tabla22[[#This Row],[Ent. en Tienda 2025]]</f>
        <v>3253660.4827586208</v>
      </c>
      <c r="AP74" s="80">
        <f>+Tabla22[[#This Row],[Meli Drop 2025]]+Tabla22[[#This Row],[Meli Full 2025]]+Tabla22[[#This Row],[Amazon Drop 2025]]+Tabla22[[#This Row],[Amazon Full 2025]]+Tabla22[[#This Row],[TikTok 2025]]+Tabla22[[#This Row],[Shein 2025]]</f>
        <v>442375</v>
      </c>
      <c r="AQ74" s="80">
        <f t="shared" si="25"/>
        <v>2707620</v>
      </c>
      <c r="AR74" s="80">
        <f t="shared" si="26"/>
        <v>659098</v>
      </c>
      <c r="AS74" s="74">
        <f t="shared" si="27"/>
        <v>-0.16782343629648155</v>
      </c>
      <c r="AT74" s="74">
        <f t="shared" si="28"/>
        <v>0.48990788358293313</v>
      </c>
      <c r="AU74" s="80">
        <f t="shared" si="29"/>
        <v>3963722.1885947459</v>
      </c>
      <c r="AV74" s="80">
        <f t="shared" si="30"/>
        <v>689396</v>
      </c>
      <c r="AW74" s="74">
        <f t="shared" si="31"/>
        <v>0.68310034638424788</v>
      </c>
      <c r="AX74" s="74">
        <f t="shared" si="32"/>
        <v>0.95605138411014856</v>
      </c>
      <c r="AY74" s="74">
        <f t="shared" si="33"/>
        <v>0.72354018607396653</v>
      </c>
    </row>
    <row r="75" spans="1:51" x14ac:dyDescent="0.3">
      <c r="A75" s="7">
        <v>45729</v>
      </c>
      <c r="B75" s="3">
        <f>+'BD MD'!B74</f>
        <v>39500465</v>
      </c>
      <c r="C75" s="3">
        <f t="shared" si="41"/>
        <v>2919718.3793103448</v>
      </c>
      <c r="D75" s="4">
        <f t="shared" si="23"/>
        <v>3.1841149836970631E-2</v>
      </c>
      <c r="E75" s="3">
        <v>42853042</v>
      </c>
      <c r="F75" s="7">
        <v>46094</v>
      </c>
      <c r="G75" s="3">
        <f>+Tabla22[[#This Row],[Meta Digital]]+Tabla22[[#This Row],[Meta MKPlace]]</f>
        <v>3814645.0383156943</v>
      </c>
      <c r="H75" s="3">
        <f>+Tabla2[[#This Row],[Meta Digital]]</f>
        <v>3131180.0383156943</v>
      </c>
      <c r="I75" s="3">
        <f>+Tabla2[[#This Row],[Meta MKPlace]]</f>
        <v>683465</v>
      </c>
      <c r="J75" s="3">
        <v>2241196</v>
      </c>
      <c r="K75" s="3">
        <v>2352964</v>
      </c>
      <c r="L75" s="3">
        <v>20541.379310344826</v>
      </c>
      <c r="M75" s="3">
        <f>13533+11707</f>
        <v>25240</v>
      </c>
      <c r="N75" s="3">
        <v>35516</v>
      </c>
      <c r="O75" s="3">
        <v>10254</v>
      </c>
      <c r="P75" s="3">
        <v>3738</v>
      </c>
      <c r="Q75" s="3">
        <v>1229</v>
      </c>
      <c r="R75" s="3">
        <v>80503</v>
      </c>
      <c r="S75" s="3">
        <v>84747</v>
      </c>
      <c r="T75" s="3">
        <v>406345</v>
      </c>
      <c r="U75" s="3">
        <v>449788</v>
      </c>
      <c r="V75" s="3">
        <v>108540</v>
      </c>
      <c r="W75" s="3">
        <v>88592</v>
      </c>
      <c r="X75" s="3">
        <v>17978</v>
      </c>
      <c r="Y75" s="3">
        <v>15754</v>
      </c>
      <c r="Z75" s="3">
        <v>5361</v>
      </c>
      <c r="AA75" s="3">
        <v>13891</v>
      </c>
      <c r="AB75" s="3">
        <v>0</v>
      </c>
      <c r="AC75" s="3">
        <v>0</v>
      </c>
      <c r="AD75" s="3">
        <v>0</v>
      </c>
      <c r="AE75" s="3">
        <v>0</v>
      </c>
      <c r="AF75" s="5">
        <f t="shared" si="34"/>
        <v>3042459</v>
      </c>
      <c r="AG75" s="4">
        <f t="shared" si="35"/>
        <v>0.79757329173236979</v>
      </c>
      <c r="AH75" s="5">
        <f t="shared" si="36"/>
        <v>-772186.03831569431</v>
      </c>
      <c r="AI75" s="17">
        <f t="shared" si="37"/>
        <v>0.14681627126009222</v>
      </c>
      <c r="AJ75" s="17">
        <f t="shared" si="38"/>
        <v>6.5490743870490892E-2</v>
      </c>
      <c r="AK75" s="14">
        <f t="shared" si="39"/>
        <v>7.0997503514452956E-2</v>
      </c>
      <c r="AL75" s="14">
        <f t="shared" si="40"/>
        <v>5.7866079365971101E-2</v>
      </c>
      <c r="AN75" s="84">
        <f t="shared" si="24"/>
        <v>46094</v>
      </c>
      <c r="AO75" s="80">
        <f>+Tabla22[[#This Row],[Web + APP 2025]]+Tabla22[[#This Row],[Afiliados 2025]]+Tabla22[[#This Row],[TMK 2025]]+Tabla22[[#This Row],[WA 2025]]+Tabla22[[#This Row],[Ent. en Tienda 2025]]</f>
        <v>2381494.3793103448</v>
      </c>
      <c r="AP75" s="80">
        <f>+Tabla22[[#This Row],[Meli Drop 2025]]+Tabla22[[#This Row],[Meli Full 2025]]+Tabla22[[#This Row],[Amazon Drop 2025]]+Tabla22[[#This Row],[Amazon Full 2025]]+Tabla22[[#This Row],[TikTok 2025]]+Tabla22[[#This Row],[Shein 2025]]</f>
        <v>538224</v>
      </c>
      <c r="AQ75" s="80">
        <f t="shared" si="25"/>
        <v>2474434</v>
      </c>
      <c r="AR75" s="80">
        <f t="shared" si="26"/>
        <v>568025</v>
      </c>
      <c r="AS75" s="74">
        <f t="shared" si="27"/>
        <v>3.9025756893270369E-2</v>
      </c>
      <c r="AT75" s="74">
        <f t="shared" si="28"/>
        <v>5.5369139986325422E-2</v>
      </c>
      <c r="AU75" s="80">
        <f t="shared" si="29"/>
        <v>3131180.0383156943</v>
      </c>
      <c r="AV75" s="80">
        <f t="shared" si="30"/>
        <v>683465</v>
      </c>
      <c r="AW75" s="74">
        <f t="shared" si="31"/>
        <v>0.79025605992654224</v>
      </c>
      <c r="AX75" s="74">
        <f t="shared" si="32"/>
        <v>0.83109595955901183</v>
      </c>
      <c r="AY75" s="74">
        <f t="shared" si="33"/>
        <v>0.79757329173236979</v>
      </c>
    </row>
    <row r="76" spans="1:51" x14ac:dyDescent="0.3">
      <c r="A76" s="63">
        <v>45730</v>
      </c>
      <c r="B76" s="3">
        <f>+'BD MD'!B75</f>
        <v>40508948</v>
      </c>
      <c r="C76" s="3">
        <f t="shared" si="41"/>
        <v>2652961.1379310344</v>
      </c>
      <c r="D76" s="4">
        <f t="shared" si="23"/>
        <v>2.893201402680326E-2</v>
      </c>
      <c r="E76" s="3">
        <v>51179806</v>
      </c>
      <c r="F76" s="7">
        <v>46095</v>
      </c>
      <c r="G76" s="3">
        <f>+Tabla22[[#This Row],[Meta Digital]]+Tabla22[[#This Row],[Meta MKPlace]]</f>
        <v>3453431.8073053691</v>
      </c>
      <c r="H76" s="3">
        <f>+Tabla2[[#This Row],[Meta Digital]]</f>
        <v>2845102.8073053691</v>
      </c>
      <c r="I76" s="3">
        <f>+Tabla2[[#This Row],[Meta MKPlace]]</f>
        <v>608329</v>
      </c>
      <c r="J76" s="3">
        <v>2063367</v>
      </c>
      <c r="K76" s="3">
        <v>2001768</v>
      </c>
      <c r="L76" s="3">
        <v>19974.137931034475</v>
      </c>
      <c r="M76" s="3">
        <f>16990+11226</f>
        <v>28216</v>
      </c>
      <c r="N76" s="3">
        <v>42958</v>
      </c>
      <c r="O76" s="3">
        <v>14927</v>
      </c>
      <c r="P76" s="3">
        <v>2014</v>
      </c>
      <c r="Q76" s="3">
        <v>2224</v>
      </c>
      <c r="R76" s="3">
        <v>70950</v>
      </c>
      <c r="S76" s="3">
        <v>87934</v>
      </c>
      <c r="T76" s="3">
        <v>344615</v>
      </c>
      <c r="U76" s="3">
        <v>481251</v>
      </c>
      <c r="V76" s="3">
        <v>79899</v>
      </c>
      <c r="W76" s="3">
        <v>65098</v>
      </c>
      <c r="X76" s="3">
        <v>19325</v>
      </c>
      <c r="Y76" s="3">
        <v>17234</v>
      </c>
      <c r="Z76" s="3">
        <v>9859</v>
      </c>
      <c r="AA76" s="3">
        <v>7560</v>
      </c>
      <c r="AB76" s="3">
        <v>0</v>
      </c>
      <c r="AC76" s="3">
        <v>0</v>
      </c>
      <c r="AD76" s="3">
        <v>0</v>
      </c>
      <c r="AE76" s="3">
        <v>603</v>
      </c>
      <c r="AF76" s="5">
        <f t="shared" si="34"/>
        <v>2706815</v>
      </c>
      <c r="AG76" s="4">
        <f t="shared" si="35"/>
        <v>0.78380438677666076</v>
      </c>
      <c r="AH76" s="5">
        <f t="shared" si="36"/>
        <v>-746616.80730536906</v>
      </c>
      <c r="AI76" s="17">
        <f t="shared" si="37"/>
        <v>0.13570951176692003</v>
      </c>
      <c r="AJ76" s="17">
        <f t="shared" si="38"/>
        <v>4.6929898180670719E-2</v>
      </c>
      <c r="AK76" s="14">
        <f t="shared" si="39"/>
        <v>5.288834037393577E-2</v>
      </c>
      <c r="AL76" s="14">
        <f t="shared" si="40"/>
        <v>7.7595812839552636E-3</v>
      </c>
      <c r="AN76" s="84">
        <f t="shared" si="24"/>
        <v>46095</v>
      </c>
      <c r="AO76" s="80">
        <f>+Tabla22[[#This Row],[Web + APP 2025]]+Tabla22[[#This Row],[Afiliados 2025]]+Tabla22[[#This Row],[TMK 2025]]+Tabla22[[#This Row],[WA 2025]]+Tabla22[[#This Row],[Ent. en Tienda 2025]]</f>
        <v>2199263.1379310344</v>
      </c>
      <c r="AP76" s="80">
        <f>+Tabla22[[#This Row],[Meli Drop 2025]]+Tabla22[[#This Row],[Meli Full 2025]]+Tabla22[[#This Row],[Amazon Drop 2025]]+Tabla22[[#This Row],[Amazon Full 2025]]+Tabla22[[#This Row],[TikTok 2025]]+Tabla22[[#This Row],[Shein 2025]]</f>
        <v>453698</v>
      </c>
      <c r="AQ76" s="80">
        <f t="shared" si="25"/>
        <v>2135069</v>
      </c>
      <c r="AR76" s="80">
        <f t="shared" si="26"/>
        <v>571746</v>
      </c>
      <c r="AS76" s="74">
        <f t="shared" si="27"/>
        <v>-2.9188930066560981E-2</v>
      </c>
      <c r="AT76" s="74">
        <f t="shared" si="28"/>
        <v>0.26019069954022278</v>
      </c>
      <c r="AU76" s="80">
        <f t="shared" si="29"/>
        <v>2845102.8073053691</v>
      </c>
      <c r="AV76" s="80">
        <f t="shared" si="30"/>
        <v>608329</v>
      </c>
      <c r="AW76" s="74">
        <f t="shared" si="31"/>
        <v>0.75043650251153826</v>
      </c>
      <c r="AX76" s="74">
        <f t="shared" si="32"/>
        <v>0.93986313327163429</v>
      </c>
      <c r="AY76" s="74">
        <f t="shared" si="33"/>
        <v>0.78380438677666076</v>
      </c>
    </row>
    <row r="77" spans="1:51" x14ac:dyDescent="0.3">
      <c r="A77" s="7">
        <v>45731</v>
      </c>
      <c r="B77" s="3">
        <f>+'BD MD'!B76</f>
        <v>50785730</v>
      </c>
      <c r="C77" s="3">
        <f t="shared" si="41"/>
        <v>2383369.1379310344</v>
      </c>
      <c r="D77" s="4">
        <f t="shared" si="23"/>
        <v>2.5991963600132929E-2</v>
      </c>
      <c r="E77" s="3">
        <v>49926015</v>
      </c>
      <c r="F77" s="7">
        <v>46096</v>
      </c>
      <c r="G77" s="3">
        <f>+Tabla22[[#This Row],[Meta Digital]]+Tabla22[[#This Row],[Meta MKPlace]]</f>
        <v>3202175.5092565771</v>
      </c>
      <c r="H77" s="3">
        <f>+Tabla2[[#This Row],[Meta Digital]]</f>
        <v>2555985.5092565771</v>
      </c>
      <c r="I77" s="3">
        <f>+Tabla2[[#This Row],[Meta MKPlace]]</f>
        <v>646190</v>
      </c>
      <c r="J77" s="3">
        <v>1765846</v>
      </c>
      <c r="K77" s="3">
        <v>2324978</v>
      </c>
      <c r="L77" s="3">
        <v>21924.137931034475</v>
      </c>
      <c r="M77" s="3">
        <f>17366+12331</f>
        <v>29697</v>
      </c>
      <c r="N77" s="3">
        <v>20436</v>
      </c>
      <c r="O77" s="3">
        <v>6793</v>
      </c>
      <c r="P77" s="3">
        <v>10353</v>
      </c>
      <c r="Q77" s="3">
        <v>2651</v>
      </c>
      <c r="R77" s="3">
        <v>44555</v>
      </c>
      <c r="S77" s="3">
        <v>127807</v>
      </c>
      <c r="T77" s="3">
        <v>376445</v>
      </c>
      <c r="U77" s="3">
        <v>506009</v>
      </c>
      <c r="V77" s="3">
        <v>119373</v>
      </c>
      <c r="W77" s="3">
        <v>90650</v>
      </c>
      <c r="X77" s="3">
        <v>15604</v>
      </c>
      <c r="Y77" s="3">
        <v>17281</v>
      </c>
      <c r="Z77" s="3">
        <v>8833</v>
      </c>
      <c r="AA77" s="3">
        <v>7630</v>
      </c>
      <c r="AB77" s="3">
        <v>0</v>
      </c>
      <c r="AC77" s="3">
        <v>1791</v>
      </c>
      <c r="AD77" s="3">
        <v>0</v>
      </c>
      <c r="AE77" s="3">
        <v>646</v>
      </c>
      <c r="AF77" s="5">
        <f t="shared" si="34"/>
        <v>3115933</v>
      </c>
      <c r="AG77" s="4">
        <f t="shared" si="35"/>
        <v>0.9730675258094772</v>
      </c>
      <c r="AH77" s="5">
        <f t="shared" si="36"/>
        <v>-86242.509256577119</v>
      </c>
      <c r="AI77" s="17">
        <f t="shared" si="37"/>
        <v>0.24684915241783667</v>
      </c>
      <c r="AJ77" s="17">
        <f t="shared" si="38"/>
        <v>5.3577824615761889E-2</v>
      </c>
      <c r="AK77" s="14">
        <f t="shared" si="39"/>
        <v>6.2411009570862007E-2</v>
      </c>
      <c r="AL77" s="14">
        <f t="shared" si="40"/>
        <v>7.0379499865403927E-2</v>
      </c>
      <c r="AN77" s="84">
        <f t="shared" si="24"/>
        <v>46096</v>
      </c>
      <c r="AO77" s="80">
        <f>+Tabla22[[#This Row],[Web + APP 2025]]+Tabla22[[#This Row],[Afiliados 2025]]+Tabla22[[#This Row],[TMK 2025]]+Tabla22[[#This Row],[WA 2025]]+Tabla22[[#This Row],[Ent. en Tienda 2025]]</f>
        <v>1863114.1379310344</v>
      </c>
      <c r="AP77" s="80">
        <f>+Tabla22[[#This Row],[Meli Drop 2025]]+Tabla22[[#This Row],[Meli Full 2025]]+Tabla22[[#This Row],[Amazon Drop 2025]]+Tabla22[[#This Row],[Amazon Full 2025]]+Tabla22[[#This Row],[TikTok 2025]]+Tabla22[[#This Row],[Shein 2025]]</f>
        <v>520255</v>
      </c>
      <c r="AQ77" s="80">
        <f t="shared" si="25"/>
        <v>2491926</v>
      </c>
      <c r="AR77" s="80">
        <f t="shared" si="26"/>
        <v>624007</v>
      </c>
      <c r="AS77" s="74">
        <f t="shared" si="27"/>
        <v>0.33750581849336059</v>
      </c>
      <c r="AT77" s="74">
        <f t="shared" si="28"/>
        <v>0.19942528183294739</v>
      </c>
      <c r="AU77" s="80">
        <f t="shared" si="29"/>
        <v>2555985.5092565771</v>
      </c>
      <c r="AV77" s="80">
        <f t="shared" si="30"/>
        <v>646190</v>
      </c>
      <c r="AW77" s="74">
        <f t="shared" si="31"/>
        <v>0.97493745210034111</v>
      </c>
      <c r="AX77" s="74">
        <f t="shared" si="32"/>
        <v>0.96567108745105934</v>
      </c>
      <c r="AY77" s="74">
        <f t="shared" si="33"/>
        <v>0.9730675258094772</v>
      </c>
    </row>
    <row r="78" spans="1:51" x14ac:dyDescent="0.3">
      <c r="A78" s="63">
        <v>45732</v>
      </c>
      <c r="B78" s="3">
        <f>+'BD MD'!B77</f>
        <v>46643284</v>
      </c>
      <c r="C78" s="3">
        <f t="shared" si="41"/>
        <v>2499045.6896551726</v>
      </c>
      <c r="D78" s="4">
        <f t="shared" si="23"/>
        <v>2.7253480615668648E-2</v>
      </c>
      <c r="E78" s="3">
        <v>48089099</v>
      </c>
      <c r="F78" s="7">
        <v>46097</v>
      </c>
      <c r="G78" s="3">
        <f>+Tabla22[[#This Row],[Meta Digital]]+Tabla22[[#This Row],[Meta MKPlace]]</f>
        <v>3376906.97705267</v>
      </c>
      <c r="H78" s="3">
        <f>+Tabla2[[#This Row],[Meta Digital]]</f>
        <v>2680039.97705267</v>
      </c>
      <c r="I78" s="3">
        <f>+Tabla2[[#This Row],[Meta MKPlace]]</f>
        <v>696867</v>
      </c>
      <c r="J78" s="3">
        <v>1783206</v>
      </c>
      <c r="K78" s="3">
        <v>3399452</v>
      </c>
      <c r="L78" s="3">
        <v>22420.689655172406</v>
      </c>
      <c r="M78" s="3">
        <v>29457</v>
      </c>
      <c r="N78" s="3">
        <v>15356</v>
      </c>
      <c r="O78" s="3">
        <v>1988</v>
      </c>
      <c r="P78" s="3">
        <v>4841</v>
      </c>
      <c r="Q78" s="3">
        <v>8157</v>
      </c>
      <c r="R78" s="3">
        <v>72242</v>
      </c>
      <c r="S78" s="3">
        <v>87872</v>
      </c>
      <c r="T78" s="3">
        <v>420638</v>
      </c>
      <c r="U78" s="3">
        <v>560507</v>
      </c>
      <c r="V78" s="3">
        <v>153175</v>
      </c>
      <c r="W78" s="3">
        <v>93974</v>
      </c>
      <c r="X78" s="3">
        <v>16158</v>
      </c>
      <c r="Y78" s="3">
        <v>17848</v>
      </c>
      <c r="Z78" s="3">
        <v>11009</v>
      </c>
      <c r="AA78" s="3">
        <v>11596</v>
      </c>
      <c r="AB78" s="3">
        <v>0</v>
      </c>
      <c r="AC78" s="3">
        <v>0</v>
      </c>
      <c r="AD78" s="3">
        <v>0</v>
      </c>
      <c r="AE78" s="3">
        <v>0</v>
      </c>
      <c r="AF78" s="5">
        <f t="shared" si="34"/>
        <v>4210851</v>
      </c>
      <c r="AG78" s="4">
        <f t="shared" si="35"/>
        <v>1.2469549882819657</v>
      </c>
      <c r="AH78" s="5">
        <f t="shared" si="36"/>
        <v>833944.02294733003</v>
      </c>
      <c r="AI78" s="17">
        <f t="shared" si="37"/>
        <v>0.28897731343298694</v>
      </c>
      <c r="AJ78" s="17">
        <f t="shared" si="38"/>
        <v>6.8617780005099938E-2</v>
      </c>
      <c r="AK78" s="14">
        <f t="shared" si="39"/>
        <v>8.7563524531827891E-2</v>
      </c>
      <c r="AL78" s="14">
        <f t="shared" si="40"/>
        <v>1.0086816372501195E-2</v>
      </c>
      <c r="AN78" s="84">
        <f t="shared" si="24"/>
        <v>46097</v>
      </c>
      <c r="AO78" s="80">
        <f>+Tabla22[[#This Row],[Web + APP 2025]]+Tabla22[[#This Row],[Afiliados 2025]]+Tabla22[[#This Row],[TMK 2025]]+Tabla22[[#This Row],[WA 2025]]+Tabla22[[#This Row],[Ent. en Tienda 2025]]</f>
        <v>1898065.6896551724</v>
      </c>
      <c r="AP78" s="80">
        <f>+Tabla22[[#This Row],[Meli Drop 2025]]+Tabla22[[#This Row],[Meli Full 2025]]+Tabla22[[#This Row],[Amazon Drop 2025]]+Tabla22[[#This Row],[Amazon Full 2025]]+Tabla22[[#This Row],[TikTok 2025]]+Tabla22[[#This Row],[Shein 2025]]</f>
        <v>600980</v>
      </c>
      <c r="AQ78" s="80">
        <f t="shared" si="25"/>
        <v>3526926</v>
      </c>
      <c r="AR78" s="80">
        <f t="shared" si="26"/>
        <v>683925</v>
      </c>
      <c r="AS78" s="74">
        <f t="shared" si="27"/>
        <v>0.85816856562048049</v>
      </c>
      <c r="AT78" s="74">
        <f t="shared" si="28"/>
        <v>0.13801624014110292</v>
      </c>
      <c r="AU78" s="80">
        <f t="shared" si="29"/>
        <v>2680039.97705267</v>
      </c>
      <c r="AV78" s="80">
        <f t="shared" si="30"/>
        <v>696867</v>
      </c>
      <c r="AW78" s="74">
        <f t="shared" si="31"/>
        <v>1.3159975336930156</v>
      </c>
      <c r="AX78" s="74">
        <f t="shared" si="32"/>
        <v>0.98142830697966754</v>
      </c>
      <c r="AY78" s="74">
        <f t="shared" si="33"/>
        <v>1.2469549882819657</v>
      </c>
    </row>
    <row r="79" spans="1:51" x14ac:dyDescent="0.3">
      <c r="A79" s="7">
        <v>45733</v>
      </c>
      <c r="B79" s="3">
        <f>+'BD MD'!B78</f>
        <v>47608877</v>
      </c>
      <c r="C79" s="3">
        <f t="shared" si="41"/>
        <v>3266815.4482758623</v>
      </c>
      <c r="D79" s="4">
        <f t="shared" si="23"/>
        <v>3.5626436068417006E-2</v>
      </c>
      <c r="E79" s="3">
        <v>29095609</v>
      </c>
      <c r="F79" s="7">
        <v>46098</v>
      </c>
      <c r="G79" s="3">
        <f>+Tabla22[[#This Row],[Meta Digital]]+Tabla22[[#This Row],[Meta MKPlace]]</f>
        <v>4288987.7379654087</v>
      </c>
      <c r="H79" s="3">
        <f>+Tabla2[[#This Row],[Meta Digital]]</f>
        <v>3503415.7379654082</v>
      </c>
      <c r="I79" s="3">
        <f>+Tabla2[[#This Row],[Meta MKPlace]]</f>
        <v>785572</v>
      </c>
      <c r="J79" s="3">
        <v>2491693</v>
      </c>
      <c r="K79" s="3">
        <v>3855703</v>
      </c>
      <c r="L79" s="3">
        <v>27203.448275862054</v>
      </c>
      <c r="M79" s="3">
        <v>23686</v>
      </c>
      <c r="N79" s="3">
        <v>16130</v>
      </c>
      <c r="O79" s="3">
        <v>50602</v>
      </c>
      <c r="P79" s="3">
        <v>128</v>
      </c>
      <c r="Q79" s="3">
        <v>-430</v>
      </c>
      <c r="R79" s="3">
        <v>62349</v>
      </c>
      <c r="S79" s="3">
        <v>113345</v>
      </c>
      <c r="T79" s="3">
        <v>466542</v>
      </c>
      <c r="U79" s="3">
        <v>500176</v>
      </c>
      <c r="V79" s="3">
        <v>176254</v>
      </c>
      <c r="W79" s="3">
        <v>79938</v>
      </c>
      <c r="X79" s="3">
        <v>16451</v>
      </c>
      <c r="Y79" s="3">
        <v>15249</v>
      </c>
      <c r="Z79" s="3">
        <v>10065</v>
      </c>
      <c r="AA79" s="3">
        <v>11085</v>
      </c>
      <c r="AB79" s="3">
        <v>0</v>
      </c>
      <c r="AC79" s="3">
        <v>397</v>
      </c>
      <c r="AD79" s="3">
        <v>0</v>
      </c>
      <c r="AE79" s="3">
        <v>0</v>
      </c>
      <c r="AF79" s="5">
        <f t="shared" si="34"/>
        <v>4649751</v>
      </c>
      <c r="AG79" s="4">
        <f t="shared" si="35"/>
        <v>1.0841138478529968</v>
      </c>
      <c r="AH79" s="5">
        <f t="shared" si="36"/>
        <v>360763.26203459129</v>
      </c>
      <c r="AI79" s="17">
        <f t="shared" si="37"/>
        <v>0.21918557279306938</v>
      </c>
      <c r="AJ79" s="17">
        <f t="shared" si="38"/>
        <v>0.12854464866690449</v>
      </c>
      <c r="AK79" s="14">
        <f t="shared" si="39"/>
        <v>0.15980937192275302</v>
      </c>
      <c r="AL79" s="14">
        <f t="shared" si="40"/>
        <v>-1.9332976352617215E-2</v>
      </c>
      <c r="AN79" s="84">
        <f t="shared" si="24"/>
        <v>46098</v>
      </c>
      <c r="AO79" s="80">
        <f>+Tabla22[[#This Row],[Web + APP 2025]]+Tabla22[[#This Row],[Afiliados 2025]]+Tabla22[[#This Row],[TMK 2025]]+Tabla22[[#This Row],[WA 2025]]+Tabla22[[#This Row],[Ent. en Tienda 2025]]</f>
        <v>2597503.4482758623</v>
      </c>
      <c r="AP79" s="80">
        <f>+Tabla22[[#This Row],[Meli Drop 2025]]+Tabla22[[#This Row],[Meli Full 2025]]+Tabla22[[#This Row],[Amazon Drop 2025]]+Tabla22[[#This Row],[Amazon Full 2025]]+Tabla22[[#This Row],[TikTok 2025]]+Tabla22[[#This Row],[Shein 2025]]</f>
        <v>669312</v>
      </c>
      <c r="AQ79" s="80">
        <f t="shared" si="25"/>
        <v>4042906</v>
      </c>
      <c r="AR79" s="80">
        <f t="shared" si="26"/>
        <v>606845</v>
      </c>
      <c r="AS79" s="74">
        <f t="shared" si="27"/>
        <v>0.55645837647820984</v>
      </c>
      <c r="AT79" s="74">
        <f t="shared" si="28"/>
        <v>-9.3330165901702067E-2</v>
      </c>
      <c r="AU79" s="80">
        <f t="shared" si="29"/>
        <v>3503415.7379654082</v>
      </c>
      <c r="AV79" s="80">
        <f t="shared" si="30"/>
        <v>785572</v>
      </c>
      <c r="AW79" s="74">
        <f t="shared" si="31"/>
        <v>1.1539897923584421</v>
      </c>
      <c r="AX79" s="74">
        <f t="shared" si="32"/>
        <v>0.77248807238547201</v>
      </c>
      <c r="AY79" s="74">
        <f t="shared" si="33"/>
        <v>1.0841138478529968</v>
      </c>
    </row>
    <row r="80" spans="1:51" x14ac:dyDescent="0.3">
      <c r="A80" s="63">
        <v>45734</v>
      </c>
      <c r="B80" s="3">
        <f>+'BD MD'!B79</f>
        <v>29669203</v>
      </c>
      <c r="C80" s="3">
        <f t="shared" si="41"/>
        <v>3813817.2758620689</v>
      </c>
      <c r="D80" s="4">
        <f t="shared" si="23"/>
        <v>4.1591794671729708E-2</v>
      </c>
      <c r="E80" s="3">
        <v>33761513</v>
      </c>
      <c r="F80" s="7">
        <v>46099</v>
      </c>
      <c r="G80" s="3">
        <f>+Tabla22[[#This Row],[Meta Digital]]+Tabla22[[#This Row],[Meta MKPlace]]</f>
        <v>4803889.3706380222</v>
      </c>
      <c r="H80" s="3">
        <f>+Tabla2[[#This Row],[Meta Digital]]</f>
        <v>4090034.3706380217</v>
      </c>
      <c r="I80" s="3">
        <f>+Tabla2[[#This Row],[Meta MKPlace]]</f>
        <v>713855</v>
      </c>
      <c r="J80" s="3">
        <v>3071084</v>
      </c>
      <c r="K80" s="3">
        <v>3737072</v>
      </c>
      <c r="L80" s="3">
        <v>18998.27586206896</v>
      </c>
      <c r="M80" s="3">
        <v>19698</v>
      </c>
      <c r="N80" s="3">
        <v>73572</v>
      </c>
      <c r="O80" s="3">
        <v>39710</v>
      </c>
      <c r="P80" s="3">
        <v>-818</v>
      </c>
      <c r="Q80" s="3">
        <v>5715</v>
      </c>
      <c r="R80" s="3">
        <v>73153</v>
      </c>
      <c r="S80" s="3">
        <v>78016</v>
      </c>
      <c r="T80" s="3">
        <v>419718</v>
      </c>
      <c r="U80" s="3">
        <v>524686</v>
      </c>
      <c r="V80" s="3">
        <v>123367</v>
      </c>
      <c r="W80" s="3">
        <v>102274</v>
      </c>
      <c r="X80" s="3">
        <v>22898</v>
      </c>
      <c r="Y80" s="3">
        <v>18601</v>
      </c>
      <c r="Z80" s="3">
        <v>11845</v>
      </c>
      <c r="AA80" s="3">
        <v>8408</v>
      </c>
      <c r="AB80" s="3">
        <v>0</v>
      </c>
      <c r="AC80" s="3">
        <v>0</v>
      </c>
      <c r="AD80" s="3">
        <v>0</v>
      </c>
      <c r="AE80" s="3">
        <v>0</v>
      </c>
      <c r="AF80" s="5">
        <f t="shared" si="34"/>
        <v>4534180</v>
      </c>
      <c r="AG80" s="4">
        <f t="shared" si="35"/>
        <v>0.9438560404228874</v>
      </c>
      <c r="AH80" s="5">
        <f t="shared" si="36"/>
        <v>-269709.3706380222</v>
      </c>
      <c r="AI80" s="17">
        <f t="shared" si="37"/>
        <v>0.24359076488880183</v>
      </c>
      <c r="AJ80" s="17">
        <f t="shared" si="38"/>
        <v>0.11520510367646092</v>
      </c>
      <c r="AK80" s="14">
        <f t="shared" si="39"/>
        <v>0.13430026077326571</v>
      </c>
      <c r="AL80" s="14">
        <f t="shared" si="40"/>
        <v>6.6773825867531E-2</v>
      </c>
      <c r="AN80" s="84">
        <f t="shared" si="24"/>
        <v>46099</v>
      </c>
      <c r="AO80" s="80">
        <f>+Tabla22[[#This Row],[Web + APP 2025]]+Tabla22[[#This Row],[Afiliados 2025]]+Tabla22[[#This Row],[TMK 2025]]+Tabla22[[#This Row],[WA 2025]]+Tabla22[[#This Row],[Ent. en Tienda 2025]]</f>
        <v>3235989.2758620689</v>
      </c>
      <c r="AP80" s="80">
        <f>+Tabla22[[#This Row],[Meli Drop 2025]]+Tabla22[[#This Row],[Meli Full 2025]]+Tabla22[[#This Row],[Amazon Drop 2025]]+Tabla22[[#This Row],[Amazon Full 2025]]+Tabla22[[#This Row],[TikTok 2025]]+Tabla22[[#This Row],[Shein 2025]]</f>
        <v>577828</v>
      </c>
      <c r="AQ80" s="80">
        <f t="shared" si="25"/>
        <v>3880211</v>
      </c>
      <c r="AR80" s="80">
        <f t="shared" si="26"/>
        <v>653969</v>
      </c>
      <c r="AS80" s="74">
        <f t="shared" si="27"/>
        <v>0.19908030256568465</v>
      </c>
      <c r="AT80" s="74">
        <f t="shared" si="28"/>
        <v>0.13177104605522749</v>
      </c>
      <c r="AU80" s="80">
        <f t="shared" si="29"/>
        <v>4090034.3706380217</v>
      </c>
      <c r="AV80" s="80">
        <f t="shared" si="30"/>
        <v>713855</v>
      </c>
      <c r="AW80" s="74">
        <f t="shared" si="31"/>
        <v>0.94869887349985993</v>
      </c>
      <c r="AX80" s="74">
        <f t="shared" si="32"/>
        <v>0.91610901373528242</v>
      </c>
      <c r="AY80" s="74">
        <f t="shared" si="33"/>
        <v>0.9438560404228874</v>
      </c>
    </row>
    <row r="81" spans="1:51" x14ac:dyDescent="0.3">
      <c r="A81" s="7">
        <v>45735</v>
      </c>
      <c r="B81" s="3">
        <f>+'BD MD'!B80</f>
        <v>31648239</v>
      </c>
      <c r="C81" s="3">
        <f t="shared" si="41"/>
        <v>3646038.6551724137</v>
      </c>
      <c r="D81" s="4">
        <f t="shared" si="23"/>
        <v>3.9762075669145136E-2</v>
      </c>
      <c r="E81" s="3">
        <v>37697073</v>
      </c>
      <c r="F81" s="7">
        <v>46100</v>
      </c>
      <c r="G81" s="3">
        <f>+Tabla22[[#This Row],[Meta Digital]]+Tabla22[[#This Row],[Meta MKPlace]]</f>
        <v>4586148.3226983715</v>
      </c>
      <c r="H81" s="3">
        <f>+Tabla2[[#This Row],[Meta Digital]]</f>
        <v>3910104.3226983715</v>
      </c>
      <c r="I81" s="3">
        <f>+Tabla2[[#This Row],[Meta MKPlace]]</f>
        <v>676044</v>
      </c>
      <c r="J81" s="3">
        <v>2976626</v>
      </c>
      <c r="K81" s="3">
        <f>+Tabla2[[#This Row],[Web + APP 2026]]</f>
        <v>3081196</v>
      </c>
      <c r="L81" s="3">
        <v>19664.655172413786</v>
      </c>
      <c r="M81" s="3">
        <f>+Tabla2[[#This Row],[Afiliados 2026]]</f>
        <v>22547</v>
      </c>
      <c r="N81" s="3">
        <v>74611</v>
      </c>
      <c r="O81" s="3">
        <f>+Tabla2[[#This Row],[TMK 2026]]</f>
        <v>983</v>
      </c>
      <c r="P81" s="3">
        <v>-1496</v>
      </c>
      <c r="Q81" s="3">
        <f>+Tabla2[[#This Row],[WA 2026]]</f>
        <v>3306</v>
      </c>
      <c r="R81" s="3">
        <v>72214</v>
      </c>
      <c r="S81" s="3">
        <f>+Tabla2[[#This Row],[Ent. en Tienda 2026]]</f>
        <v>83172</v>
      </c>
      <c r="T81" s="3">
        <v>365376</v>
      </c>
      <c r="U81" s="3">
        <f>+Tabla2[[#This Row],[Meli Drop 2026]]</f>
        <v>498101</v>
      </c>
      <c r="V81" s="3">
        <v>116910</v>
      </c>
      <c r="W81" s="3">
        <f>+Tabla2[[#This Row],[Meli Full 2026]]</f>
        <v>60356</v>
      </c>
      <c r="X81" s="3">
        <v>13598</v>
      </c>
      <c r="Y81" s="3">
        <f>+Tabla2[[#This Row],[Amazon Drop 2026]]</f>
        <v>12568</v>
      </c>
      <c r="Z81" s="3">
        <v>8535</v>
      </c>
      <c r="AA81" s="3">
        <f>+Tabla2[[#This Row],[Amazon Full 2026]]</f>
        <v>4699</v>
      </c>
      <c r="AB81" s="3">
        <v>0</v>
      </c>
      <c r="AC81" s="3">
        <f>+Tabla2[[#This Row],[TikTok 2026]]</f>
        <v>0</v>
      </c>
      <c r="AD81" s="3">
        <v>0</v>
      </c>
      <c r="AE81" s="3">
        <f>+Tabla2[[#This Row],[Shein 2026]]</f>
        <v>0</v>
      </c>
      <c r="AF81" s="5">
        <f t="shared" si="34"/>
        <v>3766928</v>
      </c>
      <c r="AG81" s="4">
        <f t="shared" si="35"/>
        <v>0.82137073093694379</v>
      </c>
      <c r="AH81" s="5">
        <f t="shared" si="36"/>
        <v>-819220.32269837148</v>
      </c>
      <c r="AI81" s="17">
        <f t="shared" ref="AI81:AI144" si="42">+AF81/C82-1</f>
        <v>0.27756685937837</v>
      </c>
      <c r="AJ81" s="17">
        <f t="shared" ref="AJ81:AJ144" si="43">+C82/B82</f>
        <v>8.5161423500863101E-2</v>
      </c>
      <c r="AK81" s="14">
        <f t="shared" ref="AK81:AK144" si="44">+AF81/E81</f>
        <v>9.9926272790463067E-2</v>
      </c>
      <c r="AL81" s="14">
        <f t="shared" ref="AL81:AL144" si="45">+E81/B82-1</f>
        <v>8.879686316662827E-2</v>
      </c>
      <c r="AN81" s="84">
        <f t="shared" si="24"/>
        <v>46100</v>
      </c>
      <c r="AO81" s="80">
        <f>+Tabla22[[#This Row],[Web + APP 2025]]+Tabla22[[#This Row],[Afiliados 2025]]+Tabla22[[#This Row],[TMK 2025]]+Tabla22[[#This Row],[WA 2025]]+Tabla22[[#This Row],[Ent. en Tienda 2025]]</f>
        <v>3141619.6551724137</v>
      </c>
      <c r="AP81" s="80">
        <f>+Tabla22[[#This Row],[Meli Drop 2025]]+Tabla22[[#This Row],[Meli Full 2025]]+Tabla22[[#This Row],[Amazon Drop 2025]]+Tabla22[[#This Row],[Amazon Full 2025]]+Tabla22[[#This Row],[TikTok 2025]]+Tabla22[[#This Row],[Shein 2025]]</f>
        <v>504419</v>
      </c>
      <c r="AQ81" s="80">
        <f t="shared" si="25"/>
        <v>3191204</v>
      </c>
      <c r="AR81" s="80">
        <f t="shared" si="26"/>
        <v>575724</v>
      </c>
      <c r="AS81" s="74">
        <f t="shared" si="27"/>
        <v>1.5783051505280143E-2</v>
      </c>
      <c r="AT81" s="74">
        <f t="shared" si="28"/>
        <v>0.14136065453521773</v>
      </c>
      <c r="AU81" s="80">
        <f t="shared" si="29"/>
        <v>3910104.3226983715</v>
      </c>
      <c r="AV81" s="80">
        <f t="shared" si="30"/>
        <v>676044</v>
      </c>
      <c r="AW81" s="74">
        <f t="shared" si="31"/>
        <v>0.81614293037525487</v>
      </c>
      <c r="AX81" s="74">
        <f t="shared" si="32"/>
        <v>0.85160729183307593</v>
      </c>
      <c r="AY81" s="74">
        <f t="shared" si="33"/>
        <v>0.82137073093694379</v>
      </c>
    </row>
    <row r="82" spans="1:51" x14ac:dyDescent="0.3">
      <c r="A82" s="63">
        <v>45736</v>
      </c>
      <c r="B82" s="3">
        <f>+'BD MD'!B81</f>
        <v>34622687</v>
      </c>
      <c r="C82" s="3">
        <f t="shared" si="41"/>
        <v>2948517.3103448274</v>
      </c>
      <c r="D82" s="4">
        <f t="shared" si="23"/>
        <v>3.2155218167913613E-2</v>
      </c>
      <c r="E82" s="3">
        <v>35305337</v>
      </c>
      <c r="F82" s="7">
        <v>46101</v>
      </c>
      <c r="G82" s="3">
        <f>+Tabla22[[#This Row],[Meta Digital]]+Tabla22[[#This Row],[Meta MKPlace]]</f>
        <v>3831053.7423402322</v>
      </c>
      <c r="H82" s="3">
        <f>+Tabla2[[#This Row],[Meta Digital]]</f>
        <v>3162064.7423402322</v>
      </c>
      <c r="I82" s="3">
        <f>+Tabla2[[#This Row],[Meta MKPlace]]</f>
        <v>668989</v>
      </c>
      <c r="J82" s="3">
        <v>2194292</v>
      </c>
      <c r="K82" s="3">
        <v>2534659</v>
      </c>
      <c r="L82" s="3">
        <v>18904.310344827583</v>
      </c>
      <c r="M82" s="3">
        <v>20797</v>
      </c>
      <c r="N82" s="3">
        <v>70889</v>
      </c>
      <c r="O82" s="3">
        <v>80650</v>
      </c>
      <c r="P82" s="3">
        <v>0</v>
      </c>
      <c r="Q82" s="3">
        <v>1003</v>
      </c>
      <c r="R82" s="3">
        <v>68484</v>
      </c>
      <c r="S82" s="3">
        <v>84430</v>
      </c>
      <c r="T82" s="3">
        <v>455909</v>
      </c>
      <c r="U82" s="3">
        <v>508388</v>
      </c>
      <c r="V82" s="3">
        <v>113508</v>
      </c>
      <c r="W82" s="3">
        <v>64656</v>
      </c>
      <c r="X82" s="3">
        <v>13831</v>
      </c>
      <c r="Y82" s="3">
        <v>10353</v>
      </c>
      <c r="Z82" s="3">
        <v>12700</v>
      </c>
      <c r="AA82" s="3">
        <v>10150</v>
      </c>
      <c r="AB82" s="3">
        <v>0</v>
      </c>
      <c r="AC82" s="3">
        <v>-387</v>
      </c>
      <c r="AD82" s="3">
        <v>0</v>
      </c>
      <c r="AE82" s="3">
        <v>1291</v>
      </c>
      <c r="AF82" s="5">
        <f t="shared" si="34"/>
        <v>3315990</v>
      </c>
      <c r="AG82" s="4">
        <f t="shared" si="35"/>
        <v>0.86555559462718445</v>
      </c>
      <c r="AH82" s="5">
        <f t="shared" si="36"/>
        <v>-515063.74234023225</v>
      </c>
      <c r="AI82" s="17">
        <f t="shared" si="42"/>
        <v>0.36295496398499272</v>
      </c>
      <c r="AJ82" s="17">
        <f t="shared" si="43"/>
        <v>6.4066308984066248E-2</v>
      </c>
      <c r="AK82" s="14">
        <f t="shared" si="44"/>
        <v>9.3923193538699268E-2</v>
      </c>
      <c r="AL82" s="14">
        <f t="shared" si="45"/>
        <v>-7.030957355542744E-2</v>
      </c>
      <c r="AN82" s="84">
        <f t="shared" si="24"/>
        <v>46101</v>
      </c>
      <c r="AO82" s="80">
        <f>+Tabla22[[#This Row],[Web + APP 2025]]+Tabla22[[#This Row],[Afiliados 2025]]+Tabla22[[#This Row],[TMK 2025]]+Tabla22[[#This Row],[WA 2025]]+Tabla22[[#This Row],[Ent. en Tienda 2025]]</f>
        <v>2352569.3103448274</v>
      </c>
      <c r="AP82" s="80">
        <f>+Tabla22[[#This Row],[Meli Drop 2025]]+Tabla22[[#This Row],[Meli Full 2025]]+Tabla22[[#This Row],[Amazon Drop 2025]]+Tabla22[[#This Row],[Amazon Full 2025]]+Tabla22[[#This Row],[TikTok 2025]]+Tabla22[[#This Row],[Shein 2025]]</f>
        <v>595948</v>
      </c>
      <c r="AQ82" s="80">
        <f t="shared" si="25"/>
        <v>2721539</v>
      </c>
      <c r="AR82" s="80">
        <f t="shared" si="26"/>
        <v>594451</v>
      </c>
      <c r="AS82" s="74">
        <f t="shared" si="27"/>
        <v>0.15683690509466475</v>
      </c>
      <c r="AT82" s="74">
        <f t="shared" si="28"/>
        <v>-2.5119641310986651E-3</v>
      </c>
      <c r="AU82" s="80">
        <f t="shared" si="29"/>
        <v>3162064.7423402322</v>
      </c>
      <c r="AV82" s="80">
        <f t="shared" si="30"/>
        <v>668989</v>
      </c>
      <c r="AW82" s="74">
        <f t="shared" si="31"/>
        <v>0.86068414841683449</v>
      </c>
      <c r="AX82" s="74">
        <f t="shared" si="32"/>
        <v>0.88858112764185959</v>
      </c>
      <c r="AY82" s="74">
        <f t="shared" si="33"/>
        <v>0.86555559462718445</v>
      </c>
    </row>
    <row r="83" spans="1:51" x14ac:dyDescent="0.3">
      <c r="A83" s="7">
        <v>45737</v>
      </c>
      <c r="B83" s="3">
        <f>+'BD MD'!B82</f>
        <v>37975369</v>
      </c>
      <c r="C83" s="3">
        <f t="shared" si="41"/>
        <v>2432941.7241379311</v>
      </c>
      <c r="D83" s="4">
        <f t="shared" si="23"/>
        <v>2.6532580173431613E-2</v>
      </c>
      <c r="E83" s="3">
        <v>47045887</v>
      </c>
      <c r="F83" s="7">
        <v>46102</v>
      </c>
      <c r="G83" s="3">
        <f>+Tabla22[[#This Row],[Meta Digital]]+Tabla22[[#This Row],[Meta MKPlace]]</f>
        <v>3265103.4079383956</v>
      </c>
      <c r="H83" s="3">
        <f>+Tabla2[[#This Row],[Meta Digital]]</f>
        <v>2609148.4079383956</v>
      </c>
      <c r="I83" s="3">
        <f>+Tabla2[[#This Row],[Meta MKPlace]]</f>
        <v>655955</v>
      </c>
      <c r="J83" s="3">
        <v>1684468</v>
      </c>
      <c r="K83" s="3">
        <v>2128572</v>
      </c>
      <c r="L83" s="3">
        <v>18401.724137931029</v>
      </c>
      <c r="M83" s="3">
        <v>23927</v>
      </c>
      <c r="N83" s="3">
        <v>87171</v>
      </c>
      <c r="O83" s="3">
        <v>4877</v>
      </c>
      <c r="P83" s="3">
        <v>-2861</v>
      </c>
      <c r="Q83" s="3">
        <v>-1018</v>
      </c>
      <c r="R83" s="3">
        <v>101126</v>
      </c>
      <c r="S83" s="3">
        <v>83878</v>
      </c>
      <c r="T83" s="3">
        <v>425643</v>
      </c>
      <c r="U83" s="3">
        <v>391543</v>
      </c>
      <c r="V83" s="3">
        <v>104286</v>
      </c>
      <c r="W83" s="3">
        <v>53191</v>
      </c>
      <c r="X83" s="3">
        <v>5964</v>
      </c>
      <c r="Y83" s="3">
        <v>10847</v>
      </c>
      <c r="Z83" s="3">
        <v>8743</v>
      </c>
      <c r="AA83" s="3">
        <v>11032</v>
      </c>
      <c r="AB83" s="3">
        <v>0</v>
      </c>
      <c r="AC83" s="3">
        <v>0</v>
      </c>
      <c r="AD83" s="3">
        <v>0</v>
      </c>
      <c r="AE83" s="3">
        <v>2153</v>
      </c>
      <c r="AF83" s="5">
        <f t="shared" si="34"/>
        <v>2709002</v>
      </c>
      <c r="AG83" s="4">
        <f t="shared" si="35"/>
        <v>0.82968337033787209</v>
      </c>
      <c r="AH83" s="5">
        <f t="shared" si="36"/>
        <v>-556101.40793839563</v>
      </c>
      <c r="AI83" s="17">
        <f t="shared" si="42"/>
        <v>0.39002456361141635</v>
      </c>
      <c r="AJ83" s="17">
        <f t="shared" si="43"/>
        <v>4.5197939218770605E-2</v>
      </c>
      <c r="AK83" s="14">
        <f t="shared" si="44"/>
        <v>5.7582121897287217E-2</v>
      </c>
      <c r="AL83" s="14">
        <f t="shared" si="45"/>
        <v>9.1072083984226504E-2</v>
      </c>
      <c r="AN83" s="84">
        <f t="shared" si="24"/>
        <v>46102</v>
      </c>
      <c r="AO83" s="80">
        <f>+Tabla22[[#This Row],[Web + APP 2025]]+Tabla22[[#This Row],[Afiliados 2025]]+Tabla22[[#This Row],[TMK 2025]]+Tabla22[[#This Row],[WA 2025]]+Tabla22[[#This Row],[Ent. en Tienda 2025]]</f>
        <v>1888305.7241379311</v>
      </c>
      <c r="AP83" s="80">
        <f>+Tabla22[[#This Row],[Meli Drop 2025]]+Tabla22[[#This Row],[Meli Full 2025]]+Tabla22[[#This Row],[Amazon Drop 2025]]+Tabla22[[#This Row],[Amazon Full 2025]]+Tabla22[[#This Row],[TikTok 2025]]+Tabla22[[#This Row],[Shein 2025]]</f>
        <v>544636</v>
      </c>
      <c r="AQ83" s="80">
        <f t="shared" si="25"/>
        <v>2240236</v>
      </c>
      <c r="AR83" s="80">
        <f t="shared" si="26"/>
        <v>468766</v>
      </c>
      <c r="AS83" s="74">
        <f t="shared" si="27"/>
        <v>0.18637356830697294</v>
      </c>
      <c r="AT83" s="74">
        <f t="shared" si="28"/>
        <v>-0.13930404894278015</v>
      </c>
      <c r="AU83" s="80">
        <f t="shared" si="29"/>
        <v>2609148.4079383956</v>
      </c>
      <c r="AV83" s="80">
        <f t="shared" si="30"/>
        <v>655955</v>
      </c>
      <c r="AW83" s="74">
        <f t="shared" si="31"/>
        <v>0.85860811641991275</v>
      </c>
      <c r="AX83" s="74">
        <f t="shared" si="32"/>
        <v>0.71463133904002563</v>
      </c>
      <c r="AY83" s="74">
        <f t="shared" si="33"/>
        <v>0.82968337033787209</v>
      </c>
    </row>
    <row r="84" spans="1:51" x14ac:dyDescent="0.3">
      <c r="A84" s="63">
        <v>45738</v>
      </c>
      <c r="B84" s="3">
        <f>+'BD MD'!B83</f>
        <v>43118954</v>
      </c>
      <c r="C84" s="3">
        <f t="shared" si="41"/>
        <v>1948887.8620689656</v>
      </c>
      <c r="D84" s="4">
        <f t="shared" si="23"/>
        <v>2.1253704080271267E-2</v>
      </c>
      <c r="E84" s="3">
        <v>47447277</v>
      </c>
      <c r="F84" s="7">
        <v>46103</v>
      </c>
      <c r="G84" s="3">
        <f>+Tabla22[[#This Row],[Meta Digital]]+Tabla22[[#This Row],[Meta MKPlace]]</f>
        <v>2780523.7699392638</v>
      </c>
      <c r="H84" s="3">
        <f>+Tabla2[[#This Row],[Meta Digital]]</f>
        <v>2090036.7699392638</v>
      </c>
      <c r="I84" s="3">
        <f>+Tabla2[[#This Row],[Meta MKPlace]]</f>
        <v>690487</v>
      </c>
      <c r="J84" s="3">
        <v>1375650</v>
      </c>
      <c r="K84" s="3">
        <v>2696322</v>
      </c>
      <c r="L84" s="3">
        <v>18050.862068965511</v>
      </c>
      <c r="M84" s="3">
        <v>24803</v>
      </c>
      <c r="N84" s="3">
        <v>29277</v>
      </c>
      <c r="O84" s="3">
        <v>11387</v>
      </c>
      <c r="P84" s="3">
        <v>3421</v>
      </c>
      <c r="Q84" s="3">
        <v>6523</v>
      </c>
      <c r="R84" s="3">
        <v>45609</v>
      </c>
      <c r="S84" s="3">
        <v>61903</v>
      </c>
      <c r="T84" s="3">
        <v>352550</v>
      </c>
      <c r="U84" s="3">
        <v>584128</v>
      </c>
      <c r="V84" s="3">
        <v>96081</v>
      </c>
      <c r="W84" s="3">
        <v>66334</v>
      </c>
      <c r="X84" s="3">
        <v>18519</v>
      </c>
      <c r="Y84" s="3">
        <v>14472</v>
      </c>
      <c r="Z84" s="3">
        <v>9730</v>
      </c>
      <c r="AA84" s="3">
        <v>10711</v>
      </c>
      <c r="AB84" s="3">
        <v>0</v>
      </c>
      <c r="AC84" s="3">
        <v>0</v>
      </c>
      <c r="AD84" s="3">
        <v>0</v>
      </c>
      <c r="AE84" s="3">
        <v>0</v>
      </c>
      <c r="AF84" s="5">
        <f t="shared" si="34"/>
        <v>3476583</v>
      </c>
      <c r="AG84" s="4">
        <f t="shared" si="35"/>
        <v>1.2503338534940633</v>
      </c>
      <c r="AH84" s="5">
        <f t="shared" si="36"/>
        <v>696059.23006073618</v>
      </c>
      <c r="AI84" s="17">
        <f t="shared" si="42"/>
        <v>0.5361843349765929</v>
      </c>
      <c r="AJ84" s="17">
        <f t="shared" si="43"/>
        <v>5.244187481762709E-2</v>
      </c>
      <c r="AK84" s="14">
        <f t="shared" si="44"/>
        <v>7.3272550498524922E-2</v>
      </c>
      <c r="AL84" s="14">
        <f t="shared" si="45"/>
        <v>9.9462022865766109E-2</v>
      </c>
      <c r="AN84" s="84">
        <f t="shared" si="24"/>
        <v>46103</v>
      </c>
      <c r="AO84" s="80">
        <f>+Tabla22[[#This Row],[Web + APP 2025]]+Tabla22[[#This Row],[Afiliados 2025]]+Tabla22[[#This Row],[TMK 2025]]+Tabla22[[#This Row],[WA 2025]]+Tabla22[[#This Row],[Ent. en Tienda 2025]]</f>
        <v>1472007.8620689656</v>
      </c>
      <c r="AP84" s="80">
        <f>+Tabla22[[#This Row],[Meli Drop 2025]]+Tabla22[[#This Row],[Meli Full 2025]]+Tabla22[[#This Row],[Amazon Drop 2025]]+Tabla22[[#This Row],[Amazon Full 2025]]+Tabla22[[#This Row],[TikTok 2025]]+Tabla22[[#This Row],[Shein 2025]]</f>
        <v>476880</v>
      </c>
      <c r="AQ84" s="80">
        <f t="shared" si="25"/>
        <v>2800938</v>
      </c>
      <c r="AR84" s="80">
        <f t="shared" si="26"/>
        <v>675645</v>
      </c>
      <c r="AS84" s="74">
        <f t="shared" si="27"/>
        <v>0.90280097829312567</v>
      </c>
      <c r="AT84" s="74">
        <f t="shared" si="28"/>
        <v>0.41680296930045291</v>
      </c>
      <c r="AU84" s="80">
        <f t="shared" si="29"/>
        <v>2090036.7699392638</v>
      </c>
      <c r="AV84" s="80">
        <f t="shared" si="30"/>
        <v>690487</v>
      </c>
      <c r="AW84" s="74">
        <f t="shared" si="31"/>
        <v>1.3401381450726317</v>
      </c>
      <c r="AX84" s="74">
        <f t="shared" si="32"/>
        <v>0.97850502616269386</v>
      </c>
      <c r="AY84" s="74">
        <f t="shared" si="33"/>
        <v>1.2503338534940633</v>
      </c>
    </row>
    <row r="85" spans="1:51" x14ac:dyDescent="0.3">
      <c r="A85" s="7">
        <v>45739</v>
      </c>
      <c r="B85" s="3">
        <f>+'BD MD'!B84</f>
        <v>43154994</v>
      </c>
      <c r="C85" s="3">
        <f t="shared" si="41"/>
        <v>2263128.7931034481</v>
      </c>
      <c r="D85" s="4">
        <f t="shared" si="23"/>
        <v>2.4680675887169143E-2</v>
      </c>
      <c r="E85" s="3">
        <v>26759642</v>
      </c>
      <c r="F85" s="7">
        <v>46104</v>
      </c>
      <c r="G85" s="3">
        <f>+Tabla22[[#This Row],[Meta Digital]]+Tabla22[[#This Row],[Meta MKPlace]]</f>
        <v>3089010.7139918557</v>
      </c>
      <c r="H85" s="3">
        <f>+Tabla2[[#This Row],[Meta Digital]]</f>
        <v>2427036.7139918557</v>
      </c>
      <c r="I85" s="3">
        <f>+Tabla2[[#This Row],[Meta MKPlace]]</f>
        <v>661974</v>
      </c>
      <c r="J85" s="3">
        <v>1610627</v>
      </c>
      <c r="K85" s="3">
        <v>3611779</v>
      </c>
      <c r="L85" s="3">
        <v>19763.793103448264</v>
      </c>
      <c r="M85" s="3">
        <v>23259</v>
      </c>
      <c r="N85" s="3">
        <v>13804</v>
      </c>
      <c r="O85" s="3">
        <v>34041</v>
      </c>
      <c r="P85" s="3">
        <v>693</v>
      </c>
      <c r="Q85" s="3">
        <v>886</v>
      </c>
      <c r="R85" s="3">
        <v>35822</v>
      </c>
      <c r="S85" s="3">
        <v>101609</v>
      </c>
      <c r="T85" s="3">
        <v>412452</v>
      </c>
      <c r="U85" s="3">
        <v>93872</v>
      </c>
      <c r="V85" s="3">
        <v>148039</v>
      </c>
      <c r="W85" s="3">
        <v>11647</v>
      </c>
      <c r="X85" s="3">
        <v>13860</v>
      </c>
      <c r="Y85" s="3">
        <v>13189</v>
      </c>
      <c r="Z85" s="3">
        <v>8068</v>
      </c>
      <c r="AA85" s="3">
        <v>8934</v>
      </c>
      <c r="AB85" s="3">
        <v>0</v>
      </c>
      <c r="AC85" s="3">
        <v>0</v>
      </c>
      <c r="AD85" s="3">
        <v>0</v>
      </c>
      <c r="AE85" s="3">
        <v>861</v>
      </c>
      <c r="AF85" s="5">
        <f t="shared" si="34"/>
        <v>3900077</v>
      </c>
      <c r="AG85" s="4">
        <f t="shared" si="35"/>
        <v>1.2625650608249339</v>
      </c>
      <c r="AH85" s="5">
        <f t="shared" si="36"/>
        <v>811066.28600814426</v>
      </c>
      <c r="AI85" s="17">
        <f t="shared" si="42"/>
        <v>0.15030348698819895</v>
      </c>
      <c r="AJ85" s="17">
        <f t="shared" si="43"/>
        <v>0.13229945185092476</v>
      </c>
      <c r="AK85" s="14">
        <f t="shared" si="44"/>
        <v>0.14574473754170553</v>
      </c>
      <c r="AL85" s="14">
        <f t="shared" si="45"/>
        <v>4.4185356930625197E-2</v>
      </c>
      <c r="AN85" s="84">
        <f t="shared" si="24"/>
        <v>46104</v>
      </c>
      <c r="AO85" s="80">
        <f>+Tabla22[[#This Row],[Web + APP 2025]]+Tabla22[[#This Row],[Afiliados 2025]]+Tabla22[[#This Row],[TMK 2025]]+Tabla22[[#This Row],[WA 2025]]+Tabla22[[#This Row],[Ent. en Tienda 2025]]</f>
        <v>1680709.7931034483</v>
      </c>
      <c r="AP85" s="80">
        <f>+Tabla22[[#This Row],[Meli Drop 2025]]+Tabla22[[#This Row],[Meli Full 2025]]+Tabla22[[#This Row],[Amazon Drop 2025]]+Tabla22[[#This Row],[Amazon Full 2025]]+Tabla22[[#This Row],[TikTok 2025]]+Tabla22[[#This Row],[Shein 2025]]</f>
        <v>582419</v>
      </c>
      <c r="AQ85" s="80">
        <f t="shared" si="25"/>
        <v>3771574</v>
      </c>
      <c r="AR85" s="80">
        <f t="shared" si="26"/>
        <v>128503</v>
      </c>
      <c r="AS85" s="74">
        <f t="shared" si="27"/>
        <v>1.2440364276308218</v>
      </c>
      <c r="AT85" s="74">
        <f t="shared" si="28"/>
        <v>-0.77936331060628172</v>
      </c>
      <c r="AU85" s="80">
        <f t="shared" si="29"/>
        <v>2427036.7139918557</v>
      </c>
      <c r="AV85" s="80">
        <f t="shared" si="30"/>
        <v>661974</v>
      </c>
      <c r="AW85" s="74">
        <f t="shared" si="31"/>
        <v>1.5539830849104559</v>
      </c>
      <c r="AX85" s="74">
        <f t="shared" si="32"/>
        <v>0.19412091713571833</v>
      </c>
      <c r="AY85" s="74">
        <f t="shared" si="33"/>
        <v>1.2625650608249339</v>
      </c>
    </row>
    <row r="86" spans="1:51" x14ac:dyDescent="0.3">
      <c r="A86" s="63">
        <v>45740</v>
      </c>
      <c r="B86" s="3">
        <f>+'BD MD'!B85</f>
        <v>25627291</v>
      </c>
      <c r="C86" s="3">
        <f t="shared" si="41"/>
        <v>3390476.5517241377</v>
      </c>
      <c r="D86" s="4">
        <f t="shared" si="23"/>
        <v>3.6975029053207452E-2</v>
      </c>
      <c r="E86" s="3">
        <v>30907085</v>
      </c>
      <c r="F86" s="7">
        <v>46105</v>
      </c>
      <c r="G86" s="3">
        <f>+Tabla22[[#This Row],[Meta Digital]]+Tabla22[[#This Row],[Meta MKPlace]]</f>
        <v>4258752.0415304154</v>
      </c>
      <c r="H86" s="3">
        <f>+Tabla2[[#This Row],[Meta Digital]]</f>
        <v>3636033.0415304159</v>
      </c>
      <c r="I86" s="3">
        <f>+Tabla2[[#This Row],[Meta MKPlace]]</f>
        <v>622719</v>
      </c>
      <c r="J86" s="3">
        <v>2606781</v>
      </c>
      <c r="K86" s="3">
        <v>3876733</v>
      </c>
      <c r="L86" s="3">
        <v>17396.551724137928</v>
      </c>
      <c r="M86" s="3">
        <v>20599</v>
      </c>
      <c r="N86" s="3">
        <v>77734</v>
      </c>
      <c r="O86" s="3">
        <v>29088</v>
      </c>
      <c r="P86" s="3">
        <v>0</v>
      </c>
      <c r="Q86" s="3">
        <v>947</v>
      </c>
      <c r="R86" s="3">
        <v>41412</v>
      </c>
      <c r="S86" s="3">
        <v>88728</v>
      </c>
      <c r="T86" s="3">
        <v>451453</v>
      </c>
      <c r="U86" s="3">
        <v>841416</v>
      </c>
      <c r="V86" s="3">
        <v>167225</v>
      </c>
      <c r="W86" s="3">
        <v>103320</v>
      </c>
      <c r="X86" s="3">
        <v>21788</v>
      </c>
      <c r="Y86" s="3">
        <v>8844</v>
      </c>
      <c r="Z86" s="3">
        <v>6687</v>
      </c>
      <c r="AA86" s="3">
        <v>6800</v>
      </c>
      <c r="AB86" s="3">
        <v>0</v>
      </c>
      <c r="AC86" s="3">
        <v>0</v>
      </c>
      <c r="AD86" s="3">
        <v>0</v>
      </c>
      <c r="AE86" s="3">
        <v>0</v>
      </c>
      <c r="AF86" s="5">
        <f t="shared" si="34"/>
        <v>4976475</v>
      </c>
      <c r="AG86" s="4">
        <f t="shared" si="35"/>
        <v>1.1685289379307617</v>
      </c>
      <c r="AH86" s="5">
        <f t="shared" si="36"/>
        <v>717722.95846958458</v>
      </c>
      <c r="AI86" s="17">
        <f t="shared" si="42"/>
        <v>0.39800726839369349</v>
      </c>
      <c r="AJ86" s="17">
        <f t="shared" si="43"/>
        <v>0.12605985029321362</v>
      </c>
      <c r="AK86" s="14">
        <f t="shared" si="44"/>
        <v>0.16101405227959867</v>
      </c>
      <c r="AL86" s="14">
        <f t="shared" si="45"/>
        <v>9.451681059804673E-2</v>
      </c>
      <c r="AN86" s="84">
        <f t="shared" si="24"/>
        <v>46105</v>
      </c>
      <c r="AO86" s="80">
        <f>+Tabla22[[#This Row],[Web + APP 2025]]+Tabla22[[#This Row],[Afiliados 2025]]+Tabla22[[#This Row],[TMK 2025]]+Tabla22[[#This Row],[WA 2025]]+Tabla22[[#This Row],[Ent. en Tienda 2025]]</f>
        <v>2743323.5517241377</v>
      </c>
      <c r="AP86" s="80">
        <f>+Tabla22[[#This Row],[Meli Drop 2025]]+Tabla22[[#This Row],[Meli Full 2025]]+Tabla22[[#This Row],[Amazon Drop 2025]]+Tabla22[[#This Row],[Amazon Full 2025]]+Tabla22[[#This Row],[TikTok 2025]]+Tabla22[[#This Row],[Shein 2025]]</f>
        <v>647153</v>
      </c>
      <c r="AQ86" s="80">
        <f t="shared" si="25"/>
        <v>4016095</v>
      </c>
      <c r="AR86" s="80">
        <f t="shared" si="26"/>
        <v>960380</v>
      </c>
      <c r="AS86" s="74">
        <f t="shared" si="27"/>
        <v>0.46395236445075705</v>
      </c>
      <c r="AT86" s="74">
        <f t="shared" si="28"/>
        <v>0.48400764579628008</v>
      </c>
      <c r="AU86" s="80">
        <f t="shared" si="29"/>
        <v>3636033.0415304159</v>
      </c>
      <c r="AV86" s="80">
        <f t="shared" si="30"/>
        <v>622719</v>
      </c>
      <c r="AW86" s="74">
        <f t="shared" si="31"/>
        <v>1.1045265414611345</v>
      </c>
      <c r="AX86" s="74">
        <f t="shared" si="32"/>
        <v>1.5422365465001069</v>
      </c>
      <c r="AY86" s="74">
        <f t="shared" si="33"/>
        <v>1.1685289379307617</v>
      </c>
    </row>
    <row r="87" spans="1:51" x14ac:dyDescent="0.3">
      <c r="A87" s="7">
        <v>45741</v>
      </c>
      <c r="B87" s="3">
        <f>+'BD MD'!B86</f>
        <v>28238109</v>
      </c>
      <c r="C87" s="3">
        <f t="shared" si="41"/>
        <v>3559691.7931034481</v>
      </c>
      <c r="D87" s="4">
        <f t="shared" si="23"/>
        <v>3.8820415201966926E-2</v>
      </c>
      <c r="E87" s="3">
        <v>33708145</v>
      </c>
      <c r="F87" s="7">
        <v>46106</v>
      </c>
      <c r="G87" s="3">
        <f>+Tabla22[[#This Row],[Meta Digital]]+Tabla22[[#This Row],[Meta MKPlace]]</f>
        <v>4385509.7579324618</v>
      </c>
      <c r="H87" s="3">
        <f>+Tabla2[[#This Row],[Meta Digital]]</f>
        <v>3817503.7579324613</v>
      </c>
      <c r="I87" s="3">
        <f>+Tabla2[[#This Row],[Meta MKPlace]]</f>
        <v>568006</v>
      </c>
      <c r="J87" s="3">
        <v>2806584</v>
      </c>
      <c r="K87" s="3">
        <v>3689993</v>
      </c>
      <c r="L87" s="3">
        <v>19038.793103448268</v>
      </c>
      <c r="M87" s="3">
        <v>23278</v>
      </c>
      <c r="N87" s="3">
        <v>62901</v>
      </c>
      <c r="O87" s="3">
        <v>52915</v>
      </c>
      <c r="P87" s="3">
        <v>2386</v>
      </c>
      <c r="Q87" s="3">
        <v>0</v>
      </c>
      <c r="R87" s="3">
        <v>32084</v>
      </c>
      <c r="S87" s="3">
        <v>73771</v>
      </c>
      <c r="T87" s="3">
        <v>450799</v>
      </c>
      <c r="U87" s="3">
        <v>430352</v>
      </c>
      <c r="V87" s="3">
        <v>158470</v>
      </c>
      <c r="W87" s="3">
        <v>73055</v>
      </c>
      <c r="X87" s="3">
        <v>18507</v>
      </c>
      <c r="Y87" s="3">
        <v>18886</v>
      </c>
      <c r="Z87" s="3">
        <v>8922</v>
      </c>
      <c r="AA87" s="3">
        <v>10282</v>
      </c>
      <c r="AB87" s="3">
        <v>0</v>
      </c>
      <c r="AC87" s="3">
        <v>1344</v>
      </c>
      <c r="AD87" s="3">
        <v>0</v>
      </c>
      <c r="AE87" s="3">
        <v>861</v>
      </c>
      <c r="AF87" s="5">
        <f t="shared" si="34"/>
        <v>4374737</v>
      </c>
      <c r="AG87" s="4">
        <f t="shared" si="35"/>
        <v>0.99754355627348079</v>
      </c>
      <c r="AH87" s="5">
        <f t="shared" si="36"/>
        <v>-10772.757932461798</v>
      </c>
      <c r="AI87" s="17">
        <f t="shared" si="42"/>
        <v>0.38089159552293639</v>
      </c>
      <c r="AJ87" s="17">
        <f t="shared" si="43"/>
        <v>0.10447227414323559</v>
      </c>
      <c r="AK87" s="14">
        <f t="shared" si="44"/>
        <v>0.12978278691989725</v>
      </c>
      <c r="AL87" s="14">
        <f t="shared" si="45"/>
        <v>0.11158720469304906</v>
      </c>
      <c r="AN87" s="84">
        <f t="shared" si="24"/>
        <v>46106</v>
      </c>
      <c r="AO87" s="80">
        <f>+Tabla22[[#This Row],[Web + APP 2025]]+Tabla22[[#This Row],[Afiliados 2025]]+Tabla22[[#This Row],[TMK 2025]]+Tabla22[[#This Row],[WA 2025]]+Tabla22[[#This Row],[Ent. en Tienda 2025]]</f>
        <v>2922993.7931034481</v>
      </c>
      <c r="AP87" s="80">
        <f>+Tabla22[[#This Row],[Meli Drop 2025]]+Tabla22[[#This Row],[Meli Full 2025]]+Tabla22[[#This Row],[Amazon Drop 2025]]+Tabla22[[#This Row],[Amazon Full 2025]]+Tabla22[[#This Row],[TikTok 2025]]+Tabla22[[#This Row],[Shein 2025]]</f>
        <v>636698</v>
      </c>
      <c r="AQ87" s="80">
        <f t="shared" si="25"/>
        <v>3839957</v>
      </c>
      <c r="AR87" s="80">
        <f t="shared" si="26"/>
        <v>534780</v>
      </c>
      <c r="AS87" s="74">
        <f t="shared" si="27"/>
        <v>0.31370686077406229</v>
      </c>
      <c r="AT87" s="74">
        <f t="shared" si="28"/>
        <v>-0.16007275034631807</v>
      </c>
      <c r="AU87" s="80">
        <f t="shared" si="29"/>
        <v>3817503.7579324613</v>
      </c>
      <c r="AV87" s="80">
        <f t="shared" si="30"/>
        <v>568006</v>
      </c>
      <c r="AW87" s="74">
        <f t="shared" si="31"/>
        <v>1.0058816555244727</v>
      </c>
      <c r="AX87" s="74">
        <f t="shared" si="32"/>
        <v>0.94150413904078478</v>
      </c>
      <c r="AY87" s="74">
        <f t="shared" si="33"/>
        <v>0.99754355627348079</v>
      </c>
    </row>
    <row r="88" spans="1:51" x14ac:dyDescent="0.3">
      <c r="A88" s="63">
        <v>45742</v>
      </c>
      <c r="B88" s="3">
        <f>+'BD MD'!B87</f>
        <v>30324337</v>
      </c>
      <c r="C88" s="3">
        <f t="shared" si="41"/>
        <v>3168052.4482758623</v>
      </c>
      <c r="D88" s="4">
        <f t="shared" si="23"/>
        <v>3.4549370724158861E-2</v>
      </c>
      <c r="E88" s="3"/>
      <c r="F88" s="7">
        <v>46107</v>
      </c>
      <c r="G88" s="3">
        <f>+Tabla22[[#This Row],[Meta Digital]]+Tabla22[[#This Row],[Meta MKPlace]]</f>
        <v>3989928.7919907765</v>
      </c>
      <c r="H88" s="3">
        <f>+Tabla2[[#This Row],[Meta Digital]]</f>
        <v>3397499.7919907765</v>
      </c>
      <c r="I88" s="3">
        <f>+Tabla2[[#This Row],[Meta MKPlace]]</f>
        <v>592429</v>
      </c>
      <c r="J88" s="3">
        <v>2785242</v>
      </c>
      <c r="K88" s="3"/>
      <c r="L88" s="3">
        <v>19578.448275862062</v>
      </c>
      <c r="M88" s="3"/>
      <c r="N88" s="3">
        <v>70468</v>
      </c>
      <c r="O88" s="3"/>
      <c r="P88" s="3">
        <v>7635</v>
      </c>
      <c r="Q88" s="3"/>
      <c r="R88" s="3">
        <v>17001</v>
      </c>
      <c r="S88" s="3"/>
      <c r="T88" s="3">
        <v>173023</v>
      </c>
      <c r="U88" s="3"/>
      <c r="V88" s="3">
        <v>64342</v>
      </c>
      <c r="W88" s="3"/>
      <c r="X88" s="3">
        <v>22411</v>
      </c>
      <c r="Y88" s="3"/>
      <c r="Z88" s="3">
        <v>8352</v>
      </c>
      <c r="AA88" s="3"/>
      <c r="AB88" s="3">
        <v>0</v>
      </c>
      <c r="AC88" s="3"/>
      <c r="AD88" s="3">
        <v>0</v>
      </c>
      <c r="AE88" s="3"/>
      <c r="AF88" s="5">
        <f t="shared" si="34"/>
        <v>0</v>
      </c>
      <c r="AG88" s="4">
        <f t="shared" si="35"/>
        <v>0</v>
      </c>
      <c r="AH88" s="5">
        <f t="shared" si="36"/>
        <v>-3989928.7919907765</v>
      </c>
      <c r="AI88" s="17">
        <f t="shared" si="42"/>
        <v>-1</v>
      </c>
      <c r="AJ88" s="17">
        <f t="shared" si="43"/>
        <v>8.9193752040735916E-2</v>
      </c>
      <c r="AK88" s="14" t="e">
        <f t="shared" si="44"/>
        <v>#DIV/0!</v>
      </c>
      <c r="AL88" s="14">
        <f t="shared" si="45"/>
        <v>-1</v>
      </c>
      <c r="AN88" s="84">
        <f t="shared" si="24"/>
        <v>46107</v>
      </c>
      <c r="AO88" s="80">
        <f>+Tabla22[[#This Row],[Web + APP 2025]]+Tabla22[[#This Row],[Afiliados 2025]]+Tabla22[[#This Row],[TMK 2025]]+Tabla22[[#This Row],[WA 2025]]+Tabla22[[#This Row],[Ent. en Tienda 2025]]</f>
        <v>2899924.4482758623</v>
      </c>
      <c r="AP88" s="80">
        <f>+Tabla22[[#This Row],[Meli Drop 2025]]+Tabla22[[#This Row],[Meli Full 2025]]+Tabla22[[#This Row],[Amazon Drop 2025]]+Tabla22[[#This Row],[Amazon Full 2025]]+Tabla22[[#This Row],[TikTok 2025]]+Tabla22[[#This Row],[Shein 2025]]</f>
        <v>268128</v>
      </c>
      <c r="AQ88" s="80">
        <f t="shared" si="25"/>
        <v>0</v>
      </c>
      <c r="AR88" s="80">
        <f t="shared" si="26"/>
        <v>0</v>
      </c>
      <c r="AS88" s="74">
        <f t="shared" si="27"/>
        <v>-1</v>
      </c>
      <c r="AT88" s="74">
        <f t="shared" si="28"/>
        <v>-1</v>
      </c>
      <c r="AU88" s="80">
        <f t="shared" si="29"/>
        <v>3397499.7919907765</v>
      </c>
      <c r="AV88" s="80">
        <f t="shared" si="30"/>
        <v>592429</v>
      </c>
      <c r="AW88" s="74">
        <f t="shared" si="31"/>
        <v>0</v>
      </c>
      <c r="AX88" s="74">
        <f t="shared" si="32"/>
        <v>0</v>
      </c>
      <c r="AY88" s="74">
        <f t="shared" si="33"/>
        <v>0</v>
      </c>
    </row>
    <row r="89" spans="1:51" x14ac:dyDescent="0.3">
      <c r="A89" s="7">
        <v>45743</v>
      </c>
      <c r="B89" s="3">
        <f>+'BD MD'!B88</f>
        <v>35440224</v>
      </c>
      <c r="C89" s="3">
        <f t="shared" si="41"/>
        <v>3161046.5517241377</v>
      </c>
      <c r="D89" s="4">
        <f t="shared" si="23"/>
        <v>3.4472967532869409E-2</v>
      </c>
      <c r="E89" s="3"/>
      <c r="F89" s="7">
        <v>46108</v>
      </c>
      <c r="G89" s="3">
        <f>+Tabla22[[#This Row],[Meta Digital]]+Tabla22[[#This Row],[Meta MKPlace]]</f>
        <v>3976363.4908488886</v>
      </c>
      <c r="H89" s="3">
        <f>+Tabla2[[#This Row],[Meta Digital]]</f>
        <v>3389986.4908488886</v>
      </c>
      <c r="I89" s="3">
        <f>+Tabla2[[#This Row],[Meta MKPlace]]</f>
        <v>586377</v>
      </c>
      <c r="J89" s="3">
        <v>2131767</v>
      </c>
      <c r="K89" s="3"/>
      <c r="L89" s="3">
        <v>19721.551724137931</v>
      </c>
      <c r="M89" s="3"/>
      <c r="N89" s="3">
        <v>37713</v>
      </c>
      <c r="O89" s="3"/>
      <c r="P89" s="3">
        <v>4760</v>
      </c>
      <c r="Q89" s="3"/>
      <c r="R89" s="3">
        <v>39979</v>
      </c>
      <c r="S89" s="3"/>
      <c r="T89" s="3">
        <v>694821</v>
      </c>
      <c r="U89" s="3"/>
      <c r="V89" s="3">
        <v>205802</v>
      </c>
      <c r="W89" s="3"/>
      <c r="X89" s="3">
        <v>13403</v>
      </c>
      <c r="Y89" s="3"/>
      <c r="Z89" s="3">
        <v>13080</v>
      </c>
      <c r="AA89" s="3"/>
      <c r="AB89" s="3">
        <v>0</v>
      </c>
      <c r="AC89" s="3"/>
      <c r="AD89" s="3">
        <v>0</v>
      </c>
      <c r="AE89" s="3"/>
      <c r="AF89" s="5">
        <f t="shared" si="34"/>
        <v>0</v>
      </c>
      <c r="AG89" s="4">
        <f t="shared" si="35"/>
        <v>0</v>
      </c>
      <c r="AH89" s="5">
        <f t="shared" si="36"/>
        <v>-3976363.4908488886</v>
      </c>
      <c r="AI89" s="17">
        <f t="shared" si="42"/>
        <v>-1</v>
      </c>
      <c r="AJ89" s="17">
        <f t="shared" si="43"/>
        <v>6.0571230468978166E-2</v>
      </c>
      <c r="AK89" s="14" t="e">
        <f t="shared" si="44"/>
        <v>#DIV/0!</v>
      </c>
      <c r="AL89" s="14">
        <f t="shared" si="45"/>
        <v>-1</v>
      </c>
      <c r="AN89" s="84">
        <f t="shared" si="24"/>
        <v>46108</v>
      </c>
      <c r="AO89" s="80">
        <f>+Tabla22[[#This Row],[Web + APP 2025]]+Tabla22[[#This Row],[Afiliados 2025]]+Tabla22[[#This Row],[TMK 2025]]+Tabla22[[#This Row],[WA 2025]]+Tabla22[[#This Row],[Ent. en Tienda 2025]]</f>
        <v>2233940.5517241377</v>
      </c>
      <c r="AP89" s="80">
        <f>+Tabla22[[#This Row],[Meli Drop 2025]]+Tabla22[[#This Row],[Meli Full 2025]]+Tabla22[[#This Row],[Amazon Drop 2025]]+Tabla22[[#This Row],[Amazon Full 2025]]+Tabla22[[#This Row],[TikTok 2025]]+Tabla22[[#This Row],[Shein 2025]]</f>
        <v>927106</v>
      </c>
      <c r="AQ89" s="80">
        <f t="shared" si="25"/>
        <v>0</v>
      </c>
      <c r="AR89" s="80">
        <f t="shared" si="26"/>
        <v>0</v>
      </c>
      <c r="AS89" s="74">
        <f t="shared" si="27"/>
        <v>-1</v>
      </c>
      <c r="AT89" s="74">
        <f t="shared" si="28"/>
        <v>-1</v>
      </c>
      <c r="AU89" s="80">
        <f t="shared" si="29"/>
        <v>3389986.4908488886</v>
      </c>
      <c r="AV89" s="80">
        <f t="shared" si="30"/>
        <v>586377</v>
      </c>
      <c r="AW89" s="74">
        <f t="shared" si="31"/>
        <v>0</v>
      </c>
      <c r="AX89" s="74">
        <f t="shared" si="32"/>
        <v>0</v>
      </c>
      <c r="AY89" s="74">
        <f t="shared" si="33"/>
        <v>0</v>
      </c>
    </row>
    <row r="90" spans="1:51" x14ac:dyDescent="0.3">
      <c r="A90" s="63">
        <v>45744</v>
      </c>
      <c r="B90" s="3">
        <f>+'BD MD'!B89</f>
        <v>40613707</v>
      </c>
      <c r="C90" s="3">
        <f t="shared" si="41"/>
        <v>2460022.2068965519</v>
      </c>
      <c r="D90" s="4">
        <f t="shared" si="23"/>
        <v>2.6827907871912731E-2</v>
      </c>
      <c r="E90" s="3"/>
      <c r="F90" s="7">
        <v>46109</v>
      </c>
      <c r="G90" s="3">
        <f>+Tabla22[[#This Row],[Meta Digital]]+Tabla22[[#This Row],[Meta MKPlace]]</f>
        <v>3158221.2044495288</v>
      </c>
      <c r="H90" s="3">
        <f>+Tabla2[[#This Row],[Meta Digital]]</f>
        <v>2638190.2044495288</v>
      </c>
      <c r="I90" s="3">
        <f>+Tabla2[[#This Row],[Meta MKPlace]]</f>
        <v>520031</v>
      </c>
      <c r="J90" s="3">
        <v>1774382</v>
      </c>
      <c r="K90" s="3"/>
      <c r="L90" s="3">
        <v>23261.206896551717</v>
      </c>
      <c r="M90" s="3"/>
      <c r="N90" s="3">
        <v>33871</v>
      </c>
      <c r="O90" s="3"/>
      <c r="P90" s="3">
        <v>4459</v>
      </c>
      <c r="Q90" s="3"/>
      <c r="R90" s="3">
        <v>53653</v>
      </c>
      <c r="S90" s="3"/>
      <c r="T90" s="3">
        <v>427289</v>
      </c>
      <c r="U90" s="3"/>
      <c r="V90" s="3">
        <v>115398</v>
      </c>
      <c r="W90" s="3"/>
      <c r="X90" s="3">
        <v>14337</v>
      </c>
      <c r="Y90" s="3"/>
      <c r="Z90" s="3">
        <v>13372</v>
      </c>
      <c r="AA90" s="3"/>
      <c r="AB90" s="3">
        <v>0</v>
      </c>
      <c r="AC90" s="3"/>
      <c r="AD90" s="3">
        <v>0</v>
      </c>
      <c r="AE90" s="3"/>
      <c r="AF90" s="5">
        <f t="shared" si="34"/>
        <v>0</v>
      </c>
      <c r="AG90" s="4">
        <f t="shared" si="35"/>
        <v>0</v>
      </c>
      <c r="AH90" s="5">
        <f t="shared" si="36"/>
        <v>-3158221.2044495288</v>
      </c>
      <c r="AI90" s="17">
        <f t="shared" si="42"/>
        <v>-1</v>
      </c>
      <c r="AJ90" s="17">
        <f t="shared" si="43"/>
        <v>4.4071566790042614E-2</v>
      </c>
      <c r="AK90" s="14" t="e">
        <f t="shared" si="44"/>
        <v>#DIV/0!</v>
      </c>
      <c r="AL90" s="14">
        <f t="shared" si="45"/>
        <v>-1</v>
      </c>
      <c r="AN90" s="84">
        <f t="shared" si="24"/>
        <v>46109</v>
      </c>
      <c r="AO90" s="80">
        <f>+Tabla22[[#This Row],[Web + APP 2025]]+Tabla22[[#This Row],[Afiliados 2025]]+Tabla22[[#This Row],[TMK 2025]]+Tabla22[[#This Row],[WA 2025]]+Tabla22[[#This Row],[Ent. en Tienda 2025]]</f>
        <v>1889626.2068965517</v>
      </c>
      <c r="AP90" s="80">
        <f>+Tabla22[[#This Row],[Meli Drop 2025]]+Tabla22[[#This Row],[Meli Full 2025]]+Tabla22[[#This Row],[Amazon Drop 2025]]+Tabla22[[#This Row],[Amazon Full 2025]]+Tabla22[[#This Row],[TikTok 2025]]+Tabla22[[#This Row],[Shein 2025]]</f>
        <v>570396</v>
      </c>
      <c r="AQ90" s="80">
        <f t="shared" si="25"/>
        <v>0</v>
      </c>
      <c r="AR90" s="80">
        <f t="shared" si="26"/>
        <v>0</v>
      </c>
      <c r="AS90" s="74">
        <f t="shared" si="27"/>
        <v>-1</v>
      </c>
      <c r="AT90" s="74">
        <f t="shared" si="28"/>
        <v>-1</v>
      </c>
      <c r="AU90" s="80">
        <f t="shared" si="29"/>
        <v>2638190.2044495288</v>
      </c>
      <c r="AV90" s="80">
        <f t="shared" si="30"/>
        <v>520031</v>
      </c>
      <c r="AW90" s="74">
        <f t="shared" si="31"/>
        <v>0</v>
      </c>
      <c r="AX90" s="74">
        <f t="shared" si="32"/>
        <v>0</v>
      </c>
      <c r="AY90" s="74">
        <f t="shared" si="33"/>
        <v>0</v>
      </c>
    </row>
    <row r="91" spans="1:51" x14ac:dyDescent="0.3">
      <c r="A91" s="7">
        <v>45745</v>
      </c>
      <c r="B91" s="3">
        <f>+'BD MD'!B90</f>
        <v>47440357</v>
      </c>
      <c r="C91" s="3">
        <f t="shared" si="41"/>
        <v>2090770.8620689656</v>
      </c>
      <c r="D91" s="4">
        <f t="shared" si="23"/>
        <v>2.2801016963024712E-2</v>
      </c>
      <c r="E91" s="3"/>
      <c r="F91" s="7">
        <v>46110</v>
      </c>
      <c r="G91" s="3">
        <f>+Tabla22[[#This Row],[Meta Digital]]+Tabla22[[#This Row],[Meta MKPlace]]</f>
        <v>2831907.6975003812</v>
      </c>
      <c r="H91" s="3">
        <f>+Tabla2[[#This Row],[Meta Digital]]</f>
        <v>2242195.6975003812</v>
      </c>
      <c r="I91" s="3">
        <f>+Tabla2[[#This Row],[Meta MKPlace]]</f>
        <v>589712</v>
      </c>
      <c r="J91" s="3">
        <v>1413648</v>
      </c>
      <c r="K91" s="3"/>
      <c r="L91" s="3">
        <v>22200.862068965514</v>
      </c>
      <c r="M91" s="3"/>
      <c r="N91" s="3">
        <v>26911</v>
      </c>
      <c r="O91" s="3"/>
      <c r="P91" s="3">
        <v>3768</v>
      </c>
      <c r="Q91" s="3"/>
      <c r="R91" s="3">
        <v>63590</v>
      </c>
      <c r="S91" s="3"/>
      <c r="T91" s="3">
        <v>438928</v>
      </c>
      <c r="U91" s="3"/>
      <c r="V91" s="3">
        <v>103627</v>
      </c>
      <c r="W91" s="3"/>
      <c r="X91" s="3">
        <v>9571</v>
      </c>
      <c r="Y91" s="3"/>
      <c r="Z91" s="3">
        <v>8527</v>
      </c>
      <c r="AA91" s="3"/>
      <c r="AB91" s="3">
        <v>0</v>
      </c>
      <c r="AC91" s="3"/>
      <c r="AD91" s="3">
        <v>0</v>
      </c>
      <c r="AE91" s="3"/>
      <c r="AF91" s="5">
        <f t="shared" si="34"/>
        <v>0</v>
      </c>
      <c r="AG91" s="4">
        <f t="shared" si="35"/>
        <v>0</v>
      </c>
      <c r="AH91" s="5">
        <f t="shared" si="36"/>
        <v>-2831907.6975003812</v>
      </c>
      <c r="AI91" s="17">
        <f t="shared" si="42"/>
        <v>-1</v>
      </c>
      <c r="AJ91" s="17">
        <f t="shared" si="43"/>
        <v>5.1883385348836887E-2</v>
      </c>
      <c r="AK91" s="14" t="e">
        <f t="shared" si="44"/>
        <v>#DIV/0!</v>
      </c>
      <c r="AL91" s="14">
        <f t="shared" si="45"/>
        <v>-1</v>
      </c>
      <c r="AN91" s="84">
        <f t="shared" si="24"/>
        <v>46110</v>
      </c>
      <c r="AO91" s="80">
        <f>+Tabla22[[#This Row],[Web + APP 2025]]+Tabla22[[#This Row],[Afiliados 2025]]+Tabla22[[#This Row],[TMK 2025]]+Tabla22[[#This Row],[WA 2025]]+Tabla22[[#This Row],[Ent. en Tienda 2025]]</f>
        <v>1530117.8620689656</v>
      </c>
      <c r="AP91" s="80">
        <f>+Tabla22[[#This Row],[Meli Drop 2025]]+Tabla22[[#This Row],[Meli Full 2025]]+Tabla22[[#This Row],[Amazon Drop 2025]]+Tabla22[[#This Row],[Amazon Full 2025]]+Tabla22[[#This Row],[TikTok 2025]]+Tabla22[[#This Row],[Shein 2025]]</f>
        <v>560653</v>
      </c>
      <c r="AQ91" s="80">
        <f t="shared" si="25"/>
        <v>0</v>
      </c>
      <c r="AR91" s="80">
        <f t="shared" si="26"/>
        <v>0</v>
      </c>
      <c r="AS91" s="74">
        <f t="shared" si="27"/>
        <v>-1</v>
      </c>
      <c r="AT91" s="74">
        <f t="shared" si="28"/>
        <v>-1</v>
      </c>
      <c r="AU91" s="80">
        <f t="shared" si="29"/>
        <v>2242195.6975003812</v>
      </c>
      <c r="AV91" s="80">
        <f t="shared" si="30"/>
        <v>589712</v>
      </c>
      <c r="AW91" s="74">
        <f t="shared" si="31"/>
        <v>0</v>
      </c>
      <c r="AX91" s="74">
        <f t="shared" si="32"/>
        <v>0</v>
      </c>
      <c r="AY91" s="74">
        <f t="shared" si="33"/>
        <v>0</v>
      </c>
    </row>
    <row r="92" spans="1:51" x14ac:dyDescent="0.3">
      <c r="A92" s="63">
        <v>45746</v>
      </c>
      <c r="B92" s="3">
        <f>+'BD MD'!B91</f>
        <v>46369398</v>
      </c>
      <c r="C92" s="3">
        <f t="shared" si="41"/>
        <v>2405801.3448275863</v>
      </c>
      <c r="D92" s="4">
        <f t="shared" si="23"/>
        <v>2.6236599269801781E-2</v>
      </c>
      <c r="E92" s="3"/>
      <c r="F92" s="7">
        <v>46111</v>
      </c>
      <c r="G92" s="3">
        <f>+Tabla22[[#This Row],[Meta Digital]]+Tabla22[[#This Row],[Meta MKPlace]]</f>
        <v>3138844.3768461295</v>
      </c>
      <c r="H92" s="3">
        <f>+Tabla2[[#This Row],[Meta Digital]]</f>
        <v>2580042.3768461295</v>
      </c>
      <c r="I92" s="3">
        <f>+Tabla2[[#This Row],[Meta MKPlace]]</f>
        <v>558802</v>
      </c>
      <c r="J92" s="3">
        <v>1746951</v>
      </c>
      <c r="K92" s="3"/>
      <c r="L92" s="3">
        <v>25310.344827586203</v>
      </c>
      <c r="M92" s="3"/>
      <c r="N92" s="3">
        <v>1629</v>
      </c>
      <c r="O92" s="3"/>
      <c r="P92" s="3">
        <v>3494</v>
      </c>
      <c r="Q92" s="3"/>
      <c r="R92" s="3">
        <v>52783</v>
      </c>
      <c r="S92" s="3"/>
      <c r="T92" s="3">
        <v>424195</v>
      </c>
      <c r="U92" s="3"/>
      <c r="V92" s="3">
        <v>120034</v>
      </c>
      <c r="W92" s="3"/>
      <c r="X92" s="3">
        <v>20419</v>
      </c>
      <c r="Y92" s="3"/>
      <c r="Z92" s="3">
        <v>10986</v>
      </c>
      <c r="AA92" s="3"/>
      <c r="AB92" s="3">
        <v>0</v>
      </c>
      <c r="AC92" s="3"/>
      <c r="AD92" s="3">
        <v>0</v>
      </c>
      <c r="AE92" s="3"/>
      <c r="AF92" s="5">
        <f t="shared" si="34"/>
        <v>0</v>
      </c>
      <c r="AG92" s="4">
        <f t="shared" si="35"/>
        <v>0</v>
      </c>
      <c r="AH92" s="5">
        <f t="shared" si="36"/>
        <v>-3138844.3768461295</v>
      </c>
      <c r="AI92" s="17">
        <f t="shared" si="42"/>
        <v>-1</v>
      </c>
      <c r="AJ92" s="17">
        <f t="shared" si="43"/>
        <v>0.1277316913147816</v>
      </c>
      <c r="AK92" s="14" t="e">
        <f t="shared" si="44"/>
        <v>#DIV/0!</v>
      </c>
      <c r="AL92" s="14">
        <f t="shared" si="45"/>
        <v>-1</v>
      </c>
      <c r="AN92" s="84">
        <f t="shared" si="24"/>
        <v>46111</v>
      </c>
      <c r="AO92" s="80">
        <f>+Tabla22[[#This Row],[Web + APP 2025]]+Tabla22[[#This Row],[Afiliados 2025]]+Tabla22[[#This Row],[TMK 2025]]+Tabla22[[#This Row],[WA 2025]]+Tabla22[[#This Row],[Ent. en Tienda 2025]]</f>
        <v>1830167.3448275863</v>
      </c>
      <c r="AP92" s="80">
        <f>+Tabla22[[#This Row],[Meli Drop 2025]]+Tabla22[[#This Row],[Meli Full 2025]]+Tabla22[[#This Row],[Amazon Drop 2025]]+Tabla22[[#This Row],[Amazon Full 2025]]+Tabla22[[#This Row],[TikTok 2025]]+Tabla22[[#This Row],[Shein 2025]]</f>
        <v>575634</v>
      </c>
      <c r="AQ92" s="80">
        <f t="shared" si="25"/>
        <v>0</v>
      </c>
      <c r="AR92" s="80">
        <f t="shared" si="26"/>
        <v>0</v>
      </c>
      <c r="AS92" s="74">
        <f t="shared" si="27"/>
        <v>-1</v>
      </c>
      <c r="AT92" s="74">
        <f t="shared" si="28"/>
        <v>-1</v>
      </c>
      <c r="AU92" s="80">
        <f t="shared" si="29"/>
        <v>2580042.3768461295</v>
      </c>
      <c r="AV92" s="80">
        <f t="shared" si="30"/>
        <v>558802</v>
      </c>
      <c r="AW92" s="74">
        <f t="shared" si="31"/>
        <v>0</v>
      </c>
      <c r="AX92" s="74">
        <f t="shared" si="32"/>
        <v>0</v>
      </c>
      <c r="AY92" s="74">
        <f t="shared" si="33"/>
        <v>0</v>
      </c>
    </row>
    <row r="93" spans="1:51" x14ac:dyDescent="0.3">
      <c r="A93" s="7">
        <v>45747</v>
      </c>
      <c r="B93" s="3">
        <f>+'BD MD'!B92</f>
        <v>26611832</v>
      </c>
      <c r="C93" s="3">
        <f t="shared" si="41"/>
        <v>3399174.3103448274</v>
      </c>
      <c r="D93" s="4">
        <f t="shared" si="23"/>
        <v>3.7069882939612962E-2</v>
      </c>
      <c r="E93" s="3"/>
      <c r="F93" s="7">
        <v>46112</v>
      </c>
      <c r="G93" s="3">
        <f>+Tabla22[[#This Row],[Meta Digital]]+Tabla22[[#This Row],[Meta MKPlace]]</f>
        <v>4163347.7384631676</v>
      </c>
      <c r="H93" s="3">
        <f>+Tabla2[[#This Row],[Meta Digital]]</f>
        <v>3645360.7384631676</v>
      </c>
      <c r="I93" s="3">
        <f>+Tabla2[[#This Row],[Meta MKPlace]]</f>
        <v>517987</v>
      </c>
      <c r="J93" s="3">
        <v>2655583</v>
      </c>
      <c r="K93" s="3"/>
      <c r="L93" s="3">
        <v>17754.310344827587</v>
      </c>
      <c r="M93" s="3"/>
      <c r="N93" s="3">
        <v>51685</v>
      </c>
      <c r="O93" s="3"/>
      <c r="P93" s="3">
        <v>2075</v>
      </c>
      <c r="Q93" s="3"/>
      <c r="R93" s="3">
        <v>59000</v>
      </c>
      <c r="S93" s="3"/>
      <c r="T93" s="3">
        <v>466998</v>
      </c>
      <c r="U93" s="3"/>
      <c r="V93" s="3">
        <v>119148</v>
      </c>
      <c r="W93" s="3"/>
      <c r="X93" s="3">
        <v>19608</v>
      </c>
      <c r="Y93" s="3"/>
      <c r="Z93" s="3">
        <v>7323</v>
      </c>
      <c r="AA93" s="3"/>
      <c r="AB93" s="3">
        <v>0</v>
      </c>
      <c r="AC93" s="3"/>
      <c r="AD93" s="3">
        <v>0</v>
      </c>
      <c r="AE93" s="3"/>
      <c r="AF93" s="5">
        <f t="shared" si="34"/>
        <v>0</v>
      </c>
      <c r="AG93" s="4">
        <f t="shared" si="35"/>
        <v>0</v>
      </c>
      <c r="AH93" s="5">
        <f t="shared" si="36"/>
        <v>-4163347.7384631676</v>
      </c>
      <c r="AI93" s="17">
        <f t="shared" si="42"/>
        <v>-1</v>
      </c>
      <c r="AJ93" s="17">
        <f t="shared" si="43"/>
        <v>0.13207245227786754</v>
      </c>
      <c r="AK93" s="14" t="e">
        <f t="shared" si="44"/>
        <v>#DIV/0!</v>
      </c>
      <c r="AL93" s="14">
        <f t="shared" si="45"/>
        <v>-1</v>
      </c>
      <c r="AN93" s="85">
        <f t="shared" si="24"/>
        <v>46112</v>
      </c>
      <c r="AO93" s="81">
        <f>+Tabla22[[#This Row],[Web + APP 2025]]+Tabla22[[#This Row],[Afiliados 2025]]+Tabla22[[#This Row],[TMK 2025]]+Tabla22[[#This Row],[WA 2025]]+Tabla22[[#This Row],[Ent. en Tienda 2025]]</f>
        <v>2786097.3103448274</v>
      </c>
      <c r="AP93" s="81">
        <f>+Tabla22[[#This Row],[Meli Drop 2025]]+Tabla22[[#This Row],[Meli Full 2025]]+Tabla22[[#This Row],[Amazon Drop 2025]]+Tabla22[[#This Row],[Amazon Full 2025]]+Tabla22[[#This Row],[TikTok 2025]]+Tabla22[[#This Row],[Shein 2025]]</f>
        <v>613077</v>
      </c>
      <c r="AQ93" s="81">
        <f t="shared" si="25"/>
        <v>0</v>
      </c>
      <c r="AR93" s="81">
        <f t="shared" si="26"/>
        <v>0</v>
      </c>
      <c r="AS93" s="82">
        <f t="shared" si="27"/>
        <v>-1</v>
      </c>
      <c r="AT93" s="82">
        <f t="shared" si="28"/>
        <v>-1</v>
      </c>
      <c r="AU93" s="81">
        <f t="shared" si="29"/>
        <v>3645360.7384631676</v>
      </c>
      <c r="AV93" s="81">
        <f t="shared" si="30"/>
        <v>517987</v>
      </c>
      <c r="AW93" s="82">
        <f t="shared" si="31"/>
        <v>0</v>
      </c>
      <c r="AX93" s="82">
        <f t="shared" si="32"/>
        <v>0</v>
      </c>
      <c r="AY93" s="82">
        <f t="shared" si="33"/>
        <v>0</v>
      </c>
    </row>
    <row r="94" spans="1:51" hidden="1" x14ac:dyDescent="0.3">
      <c r="A94" s="63">
        <v>45748</v>
      </c>
      <c r="B94" s="3">
        <f>+'BD MD'!B93</f>
        <v>29808124</v>
      </c>
      <c r="C94" s="3">
        <f t="shared" si="41"/>
        <v>3936832.0344827585</v>
      </c>
      <c r="D94" s="4">
        <f>+C94/(SUM($C$94:$C$123))</f>
        <v>4.7400183559419766E-2</v>
      </c>
      <c r="E94" s="3"/>
      <c r="F94" s="7">
        <v>46113</v>
      </c>
      <c r="G94" s="3">
        <f>+Tabla22[[#This Row],[Meta Digital]]+Tabla22[[#This Row],[Meta MKPlace]]</f>
        <v>5137776.964348359</v>
      </c>
      <c r="H94" s="3">
        <f>+Tabla2[[#This Row],[Meta Digital]]</f>
        <v>4260873.5684990939</v>
      </c>
      <c r="I94" s="3">
        <f>+Tabla2[[#This Row],[Meta MKPlace]]</f>
        <v>876903.39584926562</v>
      </c>
      <c r="J94" s="3">
        <v>3138536</v>
      </c>
      <c r="K94" s="3"/>
      <c r="L94" s="3">
        <v>22106.034482758616</v>
      </c>
      <c r="M94" s="3"/>
      <c r="N94" s="3">
        <v>84893</v>
      </c>
      <c r="O94" s="3"/>
      <c r="P94" s="3">
        <v>8872</v>
      </c>
      <c r="Q94" s="3"/>
      <c r="R94" s="3">
        <v>49545</v>
      </c>
      <c r="S94" s="3"/>
      <c r="T94" s="3">
        <v>478988</v>
      </c>
      <c r="U94" s="3"/>
      <c r="V94" s="3">
        <v>121840</v>
      </c>
      <c r="W94" s="3"/>
      <c r="X94" s="3">
        <v>21703</v>
      </c>
      <c r="Y94" s="3"/>
      <c r="Z94" s="3">
        <v>10349</v>
      </c>
      <c r="AA94" s="3"/>
      <c r="AB94" s="3">
        <v>0</v>
      </c>
      <c r="AC94" s="3"/>
      <c r="AD94" s="3">
        <v>0</v>
      </c>
      <c r="AE94" s="3"/>
      <c r="AF94" s="5">
        <f t="shared" si="34"/>
        <v>0</v>
      </c>
      <c r="AG94" s="4">
        <f t="shared" si="35"/>
        <v>0</v>
      </c>
      <c r="AH94" s="5">
        <f t="shared" si="36"/>
        <v>-5137776.964348359</v>
      </c>
      <c r="AI94" s="17">
        <f t="shared" si="42"/>
        <v>-1</v>
      </c>
      <c r="AJ94" s="17">
        <f t="shared" si="43"/>
        <v>0.12274392420935275</v>
      </c>
      <c r="AK94" s="14" t="e">
        <f t="shared" si="44"/>
        <v>#DIV/0!</v>
      </c>
      <c r="AL94" s="14">
        <f t="shared" si="45"/>
        <v>-1</v>
      </c>
      <c r="AN94" s="75"/>
      <c r="AO94" s="19">
        <f>+Tabla22[[#This Row],[Web + APP 2025]]+Tabla22[[#This Row],[Afiliados 2025]]+Tabla22[[#This Row],[TMK 2025]]+Tabla22[[#This Row],[WA 2025]]+Tabla22[[#This Row],[Ent. en Tienda 2025]]</f>
        <v>3303952.0344827585</v>
      </c>
      <c r="AP94" s="19">
        <f>+Tabla22[[#This Row],[Meli Drop 2025]]+Tabla22[[#This Row],[Meli Full 2025]]+Tabla22[[#This Row],[Amazon Drop 2025]]+Tabla22[[#This Row],[Amazon Full 2025]]+Tabla22[[#This Row],[TikTok 2025]]+Tabla22[[#This Row],[Shein 2025]]</f>
        <v>632880</v>
      </c>
    </row>
    <row r="95" spans="1:51" hidden="1" x14ac:dyDescent="0.3">
      <c r="A95" s="7">
        <v>45749</v>
      </c>
      <c r="B95" s="3">
        <f>+'BD MD'!B94</f>
        <v>33038734</v>
      </c>
      <c r="C95" s="3">
        <f t="shared" si="41"/>
        <v>4055303.8620689656</v>
      </c>
      <c r="D95" s="4">
        <f t="shared" ref="D95:D123" si="46">+C95/(SUM($C$94:$C$123))</f>
        <v>4.882660620712715E-2</v>
      </c>
      <c r="E95" s="3"/>
      <c r="F95" s="7">
        <v>46114</v>
      </c>
      <c r="G95" s="3">
        <f>+Tabla22[[#This Row],[Meta Digital]]+Tabla22[[#This Row],[Meta MKPlace]]</f>
        <v>5292389.0538063841</v>
      </c>
      <c r="H95" s="3">
        <f>+Tabla2[[#This Row],[Meta Digital]]</f>
        <v>4389096.8389745317</v>
      </c>
      <c r="I95" s="3">
        <f>+Tabla2[[#This Row],[Meta MKPlace]]</f>
        <v>903292.21483185224</v>
      </c>
      <c r="J95" s="3">
        <v>3224956</v>
      </c>
      <c r="K95" s="3"/>
      <c r="L95" s="3">
        <v>19000.862068965514</v>
      </c>
      <c r="M95" s="3"/>
      <c r="N95" s="3">
        <v>53719</v>
      </c>
      <c r="O95" s="3"/>
      <c r="P95" s="3">
        <v>3290</v>
      </c>
      <c r="Q95" s="3"/>
      <c r="R95" s="3">
        <v>91562</v>
      </c>
      <c r="S95" s="3"/>
      <c r="T95" s="3">
        <v>496250</v>
      </c>
      <c r="U95" s="3"/>
      <c r="V95" s="3">
        <v>140257</v>
      </c>
      <c r="W95" s="3"/>
      <c r="X95" s="3">
        <v>19389</v>
      </c>
      <c r="Y95" s="3"/>
      <c r="Z95" s="3">
        <v>6880</v>
      </c>
      <c r="AA95" s="3"/>
      <c r="AB95" s="3">
        <v>0</v>
      </c>
      <c r="AC95" s="3"/>
      <c r="AD95" s="3">
        <v>0</v>
      </c>
      <c r="AE95" s="3"/>
      <c r="AF95" s="5">
        <f t="shared" si="34"/>
        <v>0</v>
      </c>
      <c r="AG95" s="4">
        <f t="shared" si="35"/>
        <v>0</v>
      </c>
      <c r="AH95" s="5">
        <f t="shared" si="36"/>
        <v>-5292389.0538063841</v>
      </c>
      <c r="AI95" s="17">
        <f t="shared" si="42"/>
        <v>-1</v>
      </c>
      <c r="AJ95" s="17">
        <f t="shared" si="43"/>
        <v>8.1323903359707142E-2</v>
      </c>
      <c r="AK95" s="14" t="e">
        <f t="shared" si="44"/>
        <v>#DIV/0!</v>
      </c>
      <c r="AL95" s="14">
        <f t="shared" si="45"/>
        <v>-1</v>
      </c>
      <c r="AO95" s="19">
        <f>+Tabla22[[#This Row],[Web + APP 2025]]+Tabla22[[#This Row],[Afiliados 2025]]+Tabla22[[#This Row],[TMK 2025]]+Tabla22[[#This Row],[WA 2025]]+Tabla22[[#This Row],[Ent. en Tienda 2025]]</f>
        <v>3392527.8620689656</v>
      </c>
      <c r="AP95" s="19">
        <f>+Tabla22[[#This Row],[Meli Drop 2025]]+Tabla22[[#This Row],[Meli Full 2025]]+Tabla22[[#This Row],[Amazon Drop 2025]]+Tabla22[[#This Row],[Amazon Full 2025]]+Tabla22[[#This Row],[TikTok 2025]]+Tabla22[[#This Row],[Shein 2025]]</f>
        <v>662776</v>
      </c>
    </row>
    <row r="96" spans="1:51" hidden="1" x14ac:dyDescent="0.3">
      <c r="A96" s="63">
        <v>45750</v>
      </c>
      <c r="B96" s="3">
        <f>+'BD MD'!B95</f>
        <v>37536410</v>
      </c>
      <c r="C96" s="3">
        <f t="shared" si="41"/>
        <v>3052607.3793103448</v>
      </c>
      <c r="D96" s="4">
        <f t="shared" si="46"/>
        <v>3.6753955679788182E-2</v>
      </c>
      <c r="E96" s="3"/>
      <c r="F96" s="7">
        <v>46115</v>
      </c>
      <c r="G96" s="3">
        <f>+Tabla22[[#This Row],[Meta Digital]]+Tabla22[[#This Row],[Meta MKPlace]]</f>
        <v>3983816.3623054079</v>
      </c>
      <c r="H96" s="3">
        <f>+Tabla2[[#This Row],[Meta Digital]]</f>
        <v>3303868.1822293266</v>
      </c>
      <c r="I96" s="3">
        <f>+Tabla2[[#This Row],[Meta MKPlace]]</f>
        <v>679948.18007608142</v>
      </c>
      <c r="J96" s="3">
        <v>2284246</v>
      </c>
      <c r="K96" s="3"/>
      <c r="L96" s="3">
        <v>20966.379310344826</v>
      </c>
      <c r="M96" s="3"/>
      <c r="N96" s="3">
        <v>55138</v>
      </c>
      <c r="O96" s="3"/>
      <c r="P96" s="3">
        <v>3034</v>
      </c>
      <c r="Q96" s="3"/>
      <c r="R96" s="3">
        <v>100239</v>
      </c>
      <c r="S96" s="3"/>
      <c r="T96" s="3">
        <v>439577</v>
      </c>
      <c r="U96" s="3"/>
      <c r="V96" s="3">
        <v>113852</v>
      </c>
      <c r="W96" s="3"/>
      <c r="X96" s="3">
        <v>26202</v>
      </c>
      <c r="Y96" s="3"/>
      <c r="Z96" s="3">
        <v>9353</v>
      </c>
      <c r="AA96" s="3"/>
      <c r="AB96" s="3">
        <v>0</v>
      </c>
      <c r="AC96" s="3"/>
      <c r="AD96" s="3">
        <v>0</v>
      </c>
      <c r="AE96" s="3"/>
      <c r="AF96" s="5">
        <f t="shared" si="34"/>
        <v>0</v>
      </c>
      <c r="AG96" s="4">
        <f t="shared" si="35"/>
        <v>0</v>
      </c>
      <c r="AH96" s="5">
        <f t="shared" si="36"/>
        <v>-3983816.3623054079</v>
      </c>
      <c r="AI96" s="17">
        <f t="shared" si="42"/>
        <v>-1</v>
      </c>
      <c r="AJ96" s="17">
        <f t="shared" si="43"/>
        <v>6.5921403064069475E-2</v>
      </c>
      <c r="AK96" s="14" t="e">
        <f t="shared" si="44"/>
        <v>#DIV/0!</v>
      </c>
      <c r="AL96" s="14">
        <f t="shared" si="45"/>
        <v>-1</v>
      </c>
      <c r="AO96" s="19">
        <f>+Tabla22[[#This Row],[Web + APP 2025]]+Tabla22[[#This Row],[Afiliados 2025]]+Tabla22[[#This Row],[TMK 2025]]+Tabla22[[#This Row],[WA 2025]]+Tabla22[[#This Row],[Ent. en Tienda 2025]]</f>
        <v>2463623.3793103448</v>
      </c>
      <c r="AP96" s="19">
        <f>+Tabla22[[#This Row],[Meli Drop 2025]]+Tabla22[[#This Row],[Meli Full 2025]]+Tabla22[[#This Row],[Amazon Drop 2025]]+Tabla22[[#This Row],[Amazon Full 2025]]+Tabla22[[#This Row],[TikTok 2025]]+Tabla22[[#This Row],[Shein 2025]]</f>
        <v>588984</v>
      </c>
    </row>
    <row r="97" spans="1:42" hidden="1" x14ac:dyDescent="0.3">
      <c r="A97" s="7">
        <v>45751</v>
      </c>
      <c r="B97" s="3">
        <f>+'BD MD'!B96</f>
        <v>37845651</v>
      </c>
      <c r="C97" s="3">
        <f t="shared" si="41"/>
        <v>2494838.4137931038</v>
      </c>
      <c r="D97" s="4">
        <f t="shared" si="46"/>
        <v>3.0038314494771637E-2</v>
      </c>
      <c r="E97" s="3"/>
      <c r="F97" s="7">
        <v>46116</v>
      </c>
      <c r="G97" s="3">
        <f>+Tabla22[[#This Row],[Meta Digital]]+Tabla22[[#This Row],[Meta MKPlace]]</f>
        <v>3255897.945323871</v>
      </c>
      <c r="H97" s="3">
        <f>+Tabla2[[#This Row],[Meta Digital]]</f>
        <v>2700189.1271705958</v>
      </c>
      <c r="I97" s="3">
        <f>+Tabla2[[#This Row],[Meta MKPlace]]</f>
        <v>555708.81815327529</v>
      </c>
      <c r="J97" s="3">
        <v>1760543</v>
      </c>
      <c r="K97" s="3"/>
      <c r="L97" s="3">
        <v>20947.413793103446</v>
      </c>
      <c r="M97" s="3"/>
      <c r="N97" s="3">
        <v>62700</v>
      </c>
      <c r="O97" s="3"/>
      <c r="P97" s="3">
        <v>517</v>
      </c>
      <c r="Q97" s="3"/>
      <c r="R97" s="3">
        <v>58034</v>
      </c>
      <c r="S97" s="3"/>
      <c r="T97" s="3">
        <v>446985</v>
      </c>
      <c r="U97" s="3"/>
      <c r="V97" s="3">
        <v>115709</v>
      </c>
      <c r="W97" s="3"/>
      <c r="X97" s="3">
        <v>18229</v>
      </c>
      <c r="Y97" s="3"/>
      <c r="Z97" s="3">
        <v>11174</v>
      </c>
      <c r="AA97" s="3"/>
      <c r="AB97" s="3">
        <v>0</v>
      </c>
      <c r="AC97" s="3"/>
      <c r="AD97" s="3">
        <v>0</v>
      </c>
      <c r="AE97" s="3"/>
      <c r="AF97" s="5">
        <f t="shared" si="34"/>
        <v>0</v>
      </c>
      <c r="AG97" s="4">
        <f t="shared" si="35"/>
        <v>0</v>
      </c>
      <c r="AH97" s="5">
        <f t="shared" si="36"/>
        <v>-3255897.945323871</v>
      </c>
      <c r="AI97" s="17">
        <f t="shared" si="42"/>
        <v>-1</v>
      </c>
      <c r="AJ97" s="17">
        <f t="shared" si="43"/>
        <v>4.3378422722509559E-2</v>
      </c>
      <c r="AK97" s="14" t="e">
        <f t="shared" si="44"/>
        <v>#DIV/0!</v>
      </c>
      <c r="AL97" s="14">
        <f t="shared" si="45"/>
        <v>-1</v>
      </c>
      <c r="AO97" s="19">
        <f>+Tabla22[[#This Row],[Web + APP 2025]]+Tabla22[[#This Row],[Afiliados 2025]]+Tabla22[[#This Row],[TMK 2025]]+Tabla22[[#This Row],[WA 2025]]+Tabla22[[#This Row],[Ent. en Tienda 2025]]</f>
        <v>1902741.4137931035</v>
      </c>
      <c r="AP97" s="19">
        <f>+Tabla22[[#This Row],[Meli Drop 2025]]+Tabla22[[#This Row],[Meli Full 2025]]+Tabla22[[#This Row],[Amazon Drop 2025]]+Tabla22[[#This Row],[Amazon Full 2025]]+Tabla22[[#This Row],[TikTok 2025]]+Tabla22[[#This Row],[Shein 2025]]</f>
        <v>592097</v>
      </c>
    </row>
    <row r="98" spans="1:42" hidden="1" x14ac:dyDescent="0.3">
      <c r="A98" s="63">
        <v>45752</v>
      </c>
      <c r="B98" s="3">
        <f>+'BD MD'!B97</f>
        <v>49424718</v>
      </c>
      <c r="C98" s="3">
        <f t="shared" si="41"/>
        <v>2143966.3103448274</v>
      </c>
      <c r="D98" s="4">
        <f t="shared" si="46"/>
        <v>2.5813749676244106E-2</v>
      </c>
      <c r="E98" s="3"/>
      <c r="F98" s="7">
        <v>46117</v>
      </c>
      <c r="G98" s="3">
        <f>+Tabla22[[#This Row],[Meta Digital]]+Tabla22[[#This Row],[Meta MKPlace]]</f>
        <v>2797991.0306424429</v>
      </c>
      <c r="H98" s="3">
        <f>+Tabla2[[#This Row],[Meta Digital]]</f>
        <v>2320436.6616319269</v>
      </c>
      <c r="I98" s="3">
        <f>+Tabla2[[#This Row],[Meta MKPlace]]</f>
        <v>477554.36901051598</v>
      </c>
      <c r="J98" s="3">
        <v>1496166</v>
      </c>
      <c r="K98" s="3"/>
      <c r="L98" s="3">
        <v>21429.31034482758</v>
      </c>
      <c r="M98" s="3"/>
      <c r="N98" s="3">
        <v>11511</v>
      </c>
      <c r="O98" s="3"/>
      <c r="P98" s="3">
        <v>8</v>
      </c>
      <c r="Q98" s="3"/>
      <c r="R98" s="3">
        <v>49878</v>
      </c>
      <c r="S98" s="3"/>
      <c r="T98" s="3">
        <v>435734</v>
      </c>
      <c r="U98" s="3"/>
      <c r="V98" s="3">
        <v>114189</v>
      </c>
      <c r="W98" s="3"/>
      <c r="X98" s="3">
        <v>9901</v>
      </c>
      <c r="Y98" s="3"/>
      <c r="Z98" s="3">
        <v>5150</v>
      </c>
      <c r="AA98" s="3"/>
      <c r="AB98" s="3">
        <v>0</v>
      </c>
      <c r="AC98" s="3"/>
      <c r="AD98" s="3">
        <v>0</v>
      </c>
      <c r="AE98" s="3"/>
      <c r="AF98" s="5">
        <f t="shared" si="34"/>
        <v>0</v>
      </c>
      <c r="AG98" s="4">
        <f t="shared" si="35"/>
        <v>0</v>
      </c>
      <c r="AH98" s="5">
        <f t="shared" si="36"/>
        <v>-2797991.0306424429</v>
      </c>
      <c r="AI98" s="17">
        <f t="shared" si="42"/>
        <v>-1</v>
      </c>
      <c r="AJ98" s="17">
        <f t="shared" si="43"/>
        <v>5.2541573348946838E-2</v>
      </c>
      <c r="AK98" s="14" t="e">
        <f t="shared" si="44"/>
        <v>#DIV/0!</v>
      </c>
      <c r="AL98" s="14">
        <f t="shared" si="45"/>
        <v>-1</v>
      </c>
      <c r="AO98" s="19">
        <f>+Tabla22[[#This Row],[Web + APP 2025]]+Tabla22[[#This Row],[Afiliados 2025]]+Tabla22[[#This Row],[TMK 2025]]+Tabla22[[#This Row],[WA 2025]]+Tabla22[[#This Row],[Ent. en Tienda 2025]]</f>
        <v>1578992.3103448276</v>
      </c>
      <c r="AP98" s="19">
        <f>+Tabla22[[#This Row],[Meli Drop 2025]]+Tabla22[[#This Row],[Meli Full 2025]]+Tabla22[[#This Row],[Amazon Drop 2025]]+Tabla22[[#This Row],[Amazon Full 2025]]+Tabla22[[#This Row],[TikTok 2025]]+Tabla22[[#This Row],[Shein 2025]]</f>
        <v>564974</v>
      </c>
    </row>
    <row r="99" spans="1:42" hidden="1" x14ac:dyDescent="0.3">
      <c r="A99" s="7">
        <v>45753</v>
      </c>
      <c r="B99" s="3">
        <f>+'BD MD'!B98</f>
        <v>48801683</v>
      </c>
      <c r="C99" s="3">
        <f t="shared" si="41"/>
        <v>2564117.2068965519</v>
      </c>
      <c r="D99" s="4">
        <f t="shared" si="46"/>
        <v>3.0872443937205406E-2</v>
      </c>
      <c r="E99" s="3"/>
      <c r="F99" s="7">
        <v>46118</v>
      </c>
      <c r="G99" s="3">
        <f>+Tabla22[[#This Row],[Meta Digital]]+Tabla22[[#This Row],[Meta MKPlace]]</f>
        <v>3346310.4862214956</v>
      </c>
      <c r="H99" s="3">
        <f>+Tabla2[[#This Row],[Meta Digital]]</f>
        <v>2775170.2733831955</v>
      </c>
      <c r="I99" s="3">
        <f>+Tabla2[[#This Row],[Meta MKPlace]]</f>
        <v>571140.21283830004</v>
      </c>
      <c r="J99" s="3">
        <v>1847860</v>
      </c>
      <c r="K99" s="3"/>
      <c r="L99" s="3">
        <v>18636.206896551725</v>
      </c>
      <c r="M99" s="3"/>
      <c r="N99" s="3">
        <v>26062</v>
      </c>
      <c r="O99" s="3"/>
      <c r="P99" s="3">
        <v>2036</v>
      </c>
      <c r="Q99" s="3"/>
      <c r="R99" s="3">
        <v>55957</v>
      </c>
      <c r="S99" s="3"/>
      <c r="T99" s="3">
        <v>473249</v>
      </c>
      <c r="U99" s="3"/>
      <c r="V99" s="3">
        <v>122349</v>
      </c>
      <c r="W99" s="3"/>
      <c r="X99" s="3">
        <v>13822</v>
      </c>
      <c r="Y99" s="3"/>
      <c r="Z99" s="3">
        <v>4146</v>
      </c>
      <c r="AA99" s="3"/>
      <c r="AB99" s="3">
        <v>0</v>
      </c>
      <c r="AC99" s="3"/>
      <c r="AD99" s="3">
        <v>0</v>
      </c>
      <c r="AE99" s="3"/>
      <c r="AF99" s="5">
        <f t="shared" si="34"/>
        <v>0</v>
      </c>
      <c r="AG99" s="4">
        <f t="shared" si="35"/>
        <v>0</v>
      </c>
      <c r="AH99" s="5">
        <f t="shared" si="36"/>
        <v>-3346310.4862214956</v>
      </c>
      <c r="AI99" s="17">
        <f t="shared" si="42"/>
        <v>-1</v>
      </c>
      <c r="AJ99" s="17">
        <f t="shared" si="43"/>
        <v>0.13096739969516344</v>
      </c>
      <c r="AK99" s="14" t="e">
        <f t="shared" si="44"/>
        <v>#DIV/0!</v>
      </c>
      <c r="AL99" s="14">
        <f t="shared" si="45"/>
        <v>-1</v>
      </c>
      <c r="AO99" s="19">
        <f>+Tabla22[[#This Row],[Web + APP 2025]]+Tabla22[[#This Row],[Afiliados 2025]]+Tabla22[[#This Row],[TMK 2025]]+Tabla22[[#This Row],[WA 2025]]+Tabla22[[#This Row],[Ent. en Tienda 2025]]</f>
        <v>1950551.2068965517</v>
      </c>
      <c r="AP99" s="19">
        <f>+Tabla22[[#This Row],[Meli Drop 2025]]+Tabla22[[#This Row],[Meli Full 2025]]+Tabla22[[#This Row],[Amazon Drop 2025]]+Tabla22[[#This Row],[Amazon Full 2025]]+Tabla22[[#This Row],[TikTok 2025]]+Tabla22[[#This Row],[Shein 2025]]</f>
        <v>613566</v>
      </c>
    </row>
    <row r="100" spans="1:42" hidden="1" x14ac:dyDescent="0.3">
      <c r="A100" s="63">
        <v>45754</v>
      </c>
      <c r="B100" s="3">
        <f>+'BD MD'!B99</f>
        <v>28107408</v>
      </c>
      <c r="C100" s="3">
        <f t="shared" si="41"/>
        <v>3681154.1379310344</v>
      </c>
      <c r="D100" s="4">
        <f t="shared" si="46"/>
        <v>4.4321774543620761E-2</v>
      </c>
      <c r="E100" s="3"/>
      <c r="F100" s="7">
        <v>46119</v>
      </c>
      <c r="G100" s="3">
        <f>+Tabla22[[#This Row],[Meta Digital]]+Tabla22[[#This Row],[Meta MKPlace]]</f>
        <v>4804103.5955862394</v>
      </c>
      <c r="H100" s="3">
        <f>+Tabla2[[#This Row],[Meta Digital]]</f>
        <v>3984150.7665292555</v>
      </c>
      <c r="I100" s="3">
        <f>+Tabla2[[#This Row],[Meta MKPlace]]</f>
        <v>819952.82905698405</v>
      </c>
      <c r="J100" s="3">
        <v>2938155</v>
      </c>
      <c r="K100" s="3"/>
      <c r="L100" s="3">
        <v>17774.137931034486</v>
      </c>
      <c r="M100" s="3"/>
      <c r="N100" s="3">
        <v>73052</v>
      </c>
      <c r="O100" s="3"/>
      <c r="P100" s="3">
        <v>6096</v>
      </c>
      <c r="Q100" s="3"/>
      <c r="R100" s="3">
        <v>48292</v>
      </c>
      <c r="S100" s="3"/>
      <c r="T100" s="3">
        <v>444090</v>
      </c>
      <c r="U100" s="3"/>
      <c r="V100" s="3">
        <v>111346</v>
      </c>
      <c r="W100" s="3"/>
      <c r="X100" s="3">
        <v>36065</v>
      </c>
      <c r="Y100" s="3"/>
      <c r="Z100" s="3">
        <v>6284</v>
      </c>
      <c r="AA100" s="3"/>
      <c r="AB100" s="3">
        <v>0</v>
      </c>
      <c r="AC100" s="3"/>
      <c r="AD100" s="3">
        <v>0</v>
      </c>
      <c r="AE100" s="3"/>
      <c r="AF100" s="5">
        <f t="shared" si="34"/>
        <v>0</v>
      </c>
      <c r="AG100" s="4">
        <f t="shared" si="35"/>
        <v>0</v>
      </c>
      <c r="AH100" s="5">
        <f t="shared" si="36"/>
        <v>-4804103.5955862394</v>
      </c>
      <c r="AI100" s="17">
        <f t="shared" si="42"/>
        <v>-1</v>
      </c>
      <c r="AJ100" s="17">
        <f t="shared" si="43"/>
        <v>0.12800076920925405</v>
      </c>
      <c r="AK100" s="14" t="e">
        <f t="shared" si="44"/>
        <v>#DIV/0!</v>
      </c>
      <c r="AL100" s="14">
        <f t="shared" si="45"/>
        <v>-1</v>
      </c>
      <c r="AO100" s="19">
        <f>+Tabla22[[#This Row],[Web + APP 2025]]+Tabla22[[#This Row],[Afiliados 2025]]+Tabla22[[#This Row],[TMK 2025]]+Tabla22[[#This Row],[WA 2025]]+Tabla22[[#This Row],[Ent. en Tienda 2025]]</f>
        <v>3083369.1379310344</v>
      </c>
      <c r="AP100" s="19">
        <f>+Tabla22[[#This Row],[Meli Drop 2025]]+Tabla22[[#This Row],[Meli Full 2025]]+Tabla22[[#This Row],[Amazon Drop 2025]]+Tabla22[[#This Row],[Amazon Full 2025]]+Tabla22[[#This Row],[TikTok 2025]]+Tabla22[[#This Row],[Shein 2025]]</f>
        <v>597785</v>
      </c>
    </row>
    <row r="101" spans="1:42" hidden="1" x14ac:dyDescent="0.3">
      <c r="A101" s="7">
        <v>45755</v>
      </c>
      <c r="B101" s="3">
        <f>+'BD MD'!B100</f>
        <v>30891733</v>
      </c>
      <c r="C101" s="3">
        <f t="shared" si="41"/>
        <v>3954165.5862068967</v>
      </c>
      <c r="D101" s="4">
        <f t="shared" si="46"/>
        <v>4.7608882718099717E-2</v>
      </c>
      <c r="E101" s="3"/>
      <c r="F101" s="7">
        <v>46120</v>
      </c>
      <c r="G101" s="3">
        <f>+Tabla22[[#This Row],[Meta Digital]]+Tabla22[[#This Row],[Meta MKPlace]]</f>
        <v>5160398.1790658217</v>
      </c>
      <c r="H101" s="3">
        <f>+Tabla2[[#This Row],[Meta Digital]]</f>
        <v>4279633.8487809766</v>
      </c>
      <c r="I101" s="3">
        <f>+Tabla2[[#This Row],[Meta MKPlace]]</f>
        <v>880764.33028484473</v>
      </c>
      <c r="J101" s="3">
        <v>3216605</v>
      </c>
      <c r="K101" s="3"/>
      <c r="L101" s="3">
        <v>21327.586206896551</v>
      </c>
      <c r="M101" s="3"/>
      <c r="N101" s="3">
        <v>89117</v>
      </c>
      <c r="O101" s="3"/>
      <c r="P101" s="3">
        <v>9523</v>
      </c>
      <c r="Q101" s="3"/>
      <c r="R101" s="3">
        <v>65722</v>
      </c>
      <c r="S101" s="3"/>
      <c r="T101" s="3">
        <v>426938</v>
      </c>
      <c r="U101" s="3"/>
      <c r="V101" s="3">
        <v>95196</v>
      </c>
      <c r="W101" s="3"/>
      <c r="X101" s="3">
        <v>19287</v>
      </c>
      <c r="Y101" s="3"/>
      <c r="Z101" s="3">
        <v>10450</v>
      </c>
      <c r="AA101" s="3"/>
      <c r="AB101" s="3">
        <v>0</v>
      </c>
      <c r="AC101" s="3"/>
      <c r="AD101" s="3">
        <v>0</v>
      </c>
      <c r="AE101" s="3"/>
      <c r="AF101" s="5">
        <f t="shared" si="34"/>
        <v>0</v>
      </c>
      <c r="AG101" s="4">
        <f t="shared" si="35"/>
        <v>0</v>
      </c>
      <c r="AH101" s="5">
        <f t="shared" si="36"/>
        <v>-5160398.1790658217</v>
      </c>
      <c r="AI101" s="17">
        <f t="shared" si="42"/>
        <v>-1</v>
      </c>
      <c r="AJ101" s="17">
        <f t="shared" si="43"/>
        <v>9.9589552271077394E-2</v>
      </c>
      <c r="AK101" s="14" t="e">
        <f t="shared" si="44"/>
        <v>#DIV/0!</v>
      </c>
      <c r="AL101" s="14">
        <f t="shared" si="45"/>
        <v>-1</v>
      </c>
      <c r="AO101" s="19">
        <f>+Tabla22[[#This Row],[Web + APP 2025]]+Tabla22[[#This Row],[Afiliados 2025]]+Tabla22[[#This Row],[TMK 2025]]+Tabla22[[#This Row],[WA 2025]]+Tabla22[[#This Row],[Ent. en Tienda 2025]]</f>
        <v>3402294.5862068967</v>
      </c>
      <c r="AP101" s="19">
        <f>+Tabla22[[#This Row],[Meli Drop 2025]]+Tabla22[[#This Row],[Meli Full 2025]]+Tabla22[[#This Row],[Amazon Drop 2025]]+Tabla22[[#This Row],[Amazon Full 2025]]+Tabla22[[#This Row],[TikTok 2025]]+Tabla22[[#This Row],[Shein 2025]]</f>
        <v>551871</v>
      </c>
    </row>
    <row r="102" spans="1:42" hidden="1" x14ac:dyDescent="0.3">
      <c r="A102" s="63">
        <v>45756</v>
      </c>
      <c r="B102" s="3">
        <f>+'BD MD'!B101</f>
        <v>33570758</v>
      </c>
      <c r="C102" s="3">
        <f t="shared" si="41"/>
        <v>3343296.7586206896</v>
      </c>
      <c r="D102" s="4">
        <f t="shared" si="46"/>
        <v>4.0253909403339526E-2</v>
      </c>
      <c r="E102" s="3"/>
      <c r="F102" s="7">
        <v>46121</v>
      </c>
      <c r="G102" s="3">
        <f>+Tabla22[[#This Row],[Meta Digital]]+Tabla22[[#This Row],[Meta MKPlace]]</f>
        <v>4363181.5939738797</v>
      </c>
      <c r="H102" s="3">
        <f>+Tabla2[[#This Row],[Meta Digital]]</f>
        <v>3618484.2700120984</v>
      </c>
      <c r="I102" s="3">
        <f>+Tabla2[[#This Row],[Meta MKPlace]]</f>
        <v>744697.32396178122</v>
      </c>
      <c r="J102" s="3">
        <v>2654418</v>
      </c>
      <c r="K102" s="3"/>
      <c r="L102" s="3">
        <v>17257.758620689656</v>
      </c>
      <c r="M102" s="3"/>
      <c r="N102" s="3">
        <v>79591</v>
      </c>
      <c r="O102" s="3"/>
      <c r="P102" s="3">
        <v>3785</v>
      </c>
      <c r="Q102" s="3"/>
      <c r="R102" s="3">
        <v>72783</v>
      </c>
      <c r="S102" s="3"/>
      <c r="T102" s="3">
        <v>402853</v>
      </c>
      <c r="U102" s="3"/>
      <c r="V102" s="3">
        <v>84871</v>
      </c>
      <c r="W102" s="3"/>
      <c r="X102" s="3">
        <v>19957</v>
      </c>
      <c r="Y102" s="3"/>
      <c r="Z102" s="3">
        <v>7781</v>
      </c>
      <c r="AA102" s="3"/>
      <c r="AB102" s="3">
        <v>0</v>
      </c>
      <c r="AC102" s="3"/>
      <c r="AD102" s="3">
        <v>0</v>
      </c>
      <c r="AE102" s="3"/>
      <c r="AF102" s="5">
        <f t="shared" si="34"/>
        <v>0</v>
      </c>
      <c r="AG102" s="4">
        <f t="shared" si="35"/>
        <v>0</v>
      </c>
      <c r="AH102" s="5">
        <f t="shared" si="36"/>
        <v>-4363181.5939738797</v>
      </c>
      <c r="AI102" s="17">
        <f t="shared" si="42"/>
        <v>-1</v>
      </c>
      <c r="AJ102" s="17">
        <f t="shared" si="43"/>
        <v>7.4766793291071651E-2</v>
      </c>
      <c r="AK102" s="14" t="e">
        <f t="shared" si="44"/>
        <v>#DIV/0!</v>
      </c>
      <c r="AL102" s="14">
        <f t="shared" si="45"/>
        <v>-1</v>
      </c>
      <c r="AO102" s="19">
        <f>+Tabla22[[#This Row],[Web + APP 2025]]+Tabla22[[#This Row],[Afiliados 2025]]+Tabla22[[#This Row],[TMK 2025]]+Tabla22[[#This Row],[WA 2025]]+Tabla22[[#This Row],[Ent. en Tienda 2025]]</f>
        <v>2827834.7586206896</v>
      </c>
      <c r="AP102" s="19">
        <f>+Tabla22[[#This Row],[Meli Drop 2025]]+Tabla22[[#This Row],[Meli Full 2025]]+Tabla22[[#This Row],[Amazon Drop 2025]]+Tabla22[[#This Row],[Amazon Full 2025]]+Tabla22[[#This Row],[TikTok 2025]]+Tabla22[[#This Row],[Shein 2025]]</f>
        <v>515462</v>
      </c>
    </row>
    <row r="103" spans="1:42" hidden="1" x14ac:dyDescent="0.3">
      <c r="A103" s="7">
        <v>45757</v>
      </c>
      <c r="B103" s="3">
        <f>+'BD MD'!B102</f>
        <v>38193351</v>
      </c>
      <c r="C103" s="3">
        <f t="shared" si="41"/>
        <v>2855594.3793103448</v>
      </c>
      <c r="D103" s="4">
        <f t="shared" si="46"/>
        <v>3.4381882834973787E-2</v>
      </c>
      <c r="E103" s="3"/>
      <c r="F103" s="7">
        <v>46122</v>
      </c>
      <c r="G103" s="3">
        <f>+Tabla22[[#This Row],[Meta Digital]]+Tabla22[[#This Row],[Meta MKPlace]]</f>
        <v>3726703.8301447234</v>
      </c>
      <c r="H103" s="3">
        <f>+Tabla2[[#This Row],[Meta Digital]]</f>
        <v>3090638.9976977082</v>
      </c>
      <c r="I103" s="3">
        <f>+Tabla2[[#This Row],[Meta MKPlace]]</f>
        <v>636064.8324470151</v>
      </c>
      <c r="J103" s="3">
        <v>2192657</v>
      </c>
      <c r="K103" s="3"/>
      <c r="L103" s="3">
        <v>17516.379310344826</v>
      </c>
      <c r="M103" s="3"/>
      <c r="N103" s="3">
        <v>43419</v>
      </c>
      <c r="O103" s="3"/>
      <c r="P103" s="3">
        <v>11270</v>
      </c>
      <c r="Q103" s="3"/>
      <c r="R103" s="3">
        <v>53292</v>
      </c>
      <c r="S103" s="3"/>
      <c r="T103" s="3">
        <v>414956</v>
      </c>
      <c r="U103" s="3"/>
      <c r="V103" s="3">
        <v>99227</v>
      </c>
      <c r="W103" s="3"/>
      <c r="X103" s="3">
        <v>16763</v>
      </c>
      <c r="Y103" s="3"/>
      <c r="Z103" s="3">
        <v>6494</v>
      </c>
      <c r="AA103" s="3"/>
      <c r="AB103" s="3">
        <v>0</v>
      </c>
      <c r="AC103" s="3"/>
      <c r="AD103" s="3">
        <v>0</v>
      </c>
      <c r="AE103" s="3"/>
      <c r="AF103" s="5">
        <f t="shared" si="34"/>
        <v>0</v>
      </c>
      <c r="AG103" s="4">
        <f t="shared" si="35"/>
        <v>0</v>
      </c>
      <c r="AH103" s="5">
        <f t="shared" si="36"/>
        <v>-3726703.8301447234</v>
      </c>
      <c r="AI103" s="17">
        <f t="shared" si="42"/>
        <v>-1</v>
      </c>
      <c r="AJ103" s="17">
        <f t="shared" si="43"/>
        <v>5.7685967788381379E-2</v>
      </c>
      <c r="AK103" s="14" t="e">
        <f t="shared" si="44"/>
        <v>#DIV/0!</v>
      </c>
      <c r="AL103" s="14">
        <f t="shared" si="45"/>
        <v>-1</v>
      </c>
      <c r="AO103" s="19">
        <f>+Tabla22[[#This Row],[Web + APP 2025]]+Tabla22[[#This Row],[Afiliados 2025]]+Tabla22[[#This Row],[TMK 2025]]+Tabla22[[#This Row],[WA 2025]]+Tabla22[[#This Row],[Ent. en Tienda 2025]]</f>
        <v>2318154.3793103448</v>
      </c>
      <c r="AP103" s="19">
        <f>+Tabla22[[#This Row],[Meli Drop 2025]]+Tabla22[[#This Row],[Meli Full 2025]]+Tabla22[[#This Row],[Amazon Drop 2025]]+Tabla22[[#This Row],[Amazon Full 2025]]+Tabla22[[#This Row],[TikTok 2025]]+Tabla22[[#This Row],[Shein 2025]]</f>
        <v>537440</v>
      </c>
    </row>
    <row r="104" spans="1:42" hidden="1" x14ac:dyDescent="0.3">
      <c r="A104" s="63">
        <v>45758</v>
      </c>
      <c r="B104" s="3">
        <f>+'BD MD'!B103</f>
        <v>38630835</v>
      </c>
      <c r="C104" s="3">
        <f t="shared" si="41"/>
        <v>2228457.1034482759</v>
      </c>
      <c r="D104" s="4">
        <f t="shared" si="46"/>
        <v>2.683103440343227E-2</v>
      </c>
      <c r="E104" s="3"/>
      <c r="F104" s="7">
        <v>46123</v>
      </c>
      <c r="G104" s="3">
        <f>+Tabla22[[#This Row],[Meta Digital]]+Tabla22[[#This Row],[Meta MKPlace]]</f>
        <v>2908256.0474641356</v>
      </c>
      <c r="H104" s="3">
        <f>+Tabla2[[#This Row],[Meta Digital]]</f>
        <v>2411881.9110006387</v>
      </c>
      <c r="I104" s="3">
        <f>+Tabla2[[#This Row],[Meta MKPlace]]</f>
        <v>496374.13646349701</v>
      </c>
      <c r="J104" s="3">
        <v>1604794</v>
      </c>
      <c r="K104" s="3"/>
      <c r="L104" s="3">
        <v>16868.103448275862</v>
      </c>
      <c r="M104" s="3"/>
      <c r="N104" s="3">
        <v>51502</v>
      </c>
      <c r="O104" s="3"/>
      <c r="P104" s="3">
        <v>8066</v>
      </c>
      <c r="Q104" s="3"/>
      <c r="R104" s="3">
        <v>71162</v>
      </c>
      <c r="S104" s="3"/>
      <c r="T104" s="3">
        <v>379811</v>
      </c>
      <c r="U104" s="3"/>
      <c r="V104" s="3">
        <v>81052</v>
      </c>
      <c r="W104" s="3"/>
      <c r="X104" s="3">
        <v>5276</v>
      </c>
      <c r="Y104" s="3"/>
      <c r="Z104" s="3">
        <v>9926</v>
      </c>
      <c r="AA104" s="3"/>
      <c r="AB104" s="3">
        <v>0</v>
      </c>
      <c r="AC104" s="3"/>
      <c r="AD104" s="3">
        <v>0</v>
      </c>
      <c r="AE104" s="3"/>
      <c r="AF104" s="5">
        <f t="shared" si="34"/>
        <v>0</v>
      </c>
      <c r="AG104" s="4">
        <f t="shared" si="35"/>
        <v>0</v>
      </c>
      <c r="AH104" s="5">
        <f t="shared" si="36"/>
        <v>-2908256.0474641356</v>
      </c>
      <c r="AI104" s="17">
        <f t="shared" si="42"/>
        <v>-1</v>
      </c>
      <c r="AJ104" s="17">
        <f t="shared" si="43"/>
        <v>4.1297428635237443E-2</v>
      </c>
      <c r="AK104" s="14" t="e">
        <f t="shared" si="44"/>
        <v>#DIV/0!</v>
      </c>
      <c r="AL104" s="14">
        <f t="shared" si="45"/>
        <v>-1</v>
      </c>
      <c r="AO104" s="19">
        <f>+Tabla22[[#This Row],[Web + APP 2025]]+Tabla22[[#This Row],[Afiliados 2025]]+Tabla22[[#This Row],[TMK 2025]]+Tabla22[[#This Row],[WA 2025]]+Tabla22[[#This Row],[Ent. en Tienda 2025]]</f>
        <v>1752392.1034482759</v>
      </c>
      <c r="AP104" s="19">
        <f>+Tabla22[[#This Row],[Meli Drop 2025]]+Tabla22[[#This Row],[Meli Full 2025]]+Tabla22[[#This Row],[Amazon Drop 2025]]+Tabla22[[#This Row],[Amazon Full 2025]]+Tabla22[[#This Row],[TikTok 2025]]+Tabla22[[#This Row],[Shein 2025]]</f>
        <v>476065</v>
      </c>
    </row>
    <row r="105" spans="1:42" hidden="1" x14ac:dyDescent="0.3">
      <c r="A105" s="7">
        <v>45759</v>
      </c>
      <c r="B105" s="3">
        <f>+'BD MD'!B104</f>
        <v>47070678</v>
      </c>
      <c r="C105" s="3">
        <f t="shared" si="41"/>
        <v>1943897.9655172413</v>
      </c>
      <c r="D105" s="4">
        <f t="shared" si="46"/>
        <v>2.3404889916367959E-2</v>
      </c>
      <c r="E105" s="3"/>
      <c r="F105" s="7">
        <v>46124</v>
      </c>
      <c r="G105" s="3">
        <f>+Tabla22[[#This Row],[Meta Digital]]+Tabla22[[#This Row],[Meta MKPlace]]</f>
        <v>2536891.1096026246</v>
      </c>
      <c r="H105" s="3">
        <f>+Tabla2[[#This Row],[Meta Digital]]</f>
        <v>2103900.6461498174</v>
      </c>
      <c r="I105" s="3">
        <f>+Tabla2[[#This Row],[Meta MKPlace]]</f>
        <v>432990.46345280722</v>
      </c>
      <c r="J105" s="3">
        <v>1381331</v>
      </c>
      <c r="K105" s="3"/>
      <c r="L105" s="3">
        <v>16293.96551724138</v>
      </c>
      <c r="M105" s="3"/>
      <c r="N105" s="3">
        <v>6610</v>
      </c>
      <c r="O105" s="3"/>
      <c r="P105" s="3">
        <v>11834</v>
      </c>
      <c r="Q105" s="3"/>
      <c r="R105" s="3">
        <v>53467</v>
      </c>
      <c r="S105" s="3"/>
      <c r="T105" s="3">
        <v>372193</v>
      </c>
      <c r="U105" s="3"/>
      <c r="V105" s="3">
        <v>72801</v>
      </c>
      <c r="W105" s="3"/>
      <c r="X105" s="3">
        <v>17561</v>
      </c>
      <c r="Y105" s="3"/>
      <c r="Z105" s="3">
        <v>11807</v>
      </c>
      <c r="AA105" s="3"/>
      <c r="AB105" s="3">
        <v>0</v>
      </c>
      <c r="AC105" s="3"/>
      <c r="AD105" s="3">
        <v>0</v>
      </c>
      <c r="AE105" s="3"/>
      <c r="AF105" s="5">
        <f t="shared" si="34"/>
        <v>0</v>
      </c>
      <c r="AG105" s="4">
        <f t="shared" si="35"/>
        <v>0</v>
      </c>
      <c r="AH105" s="5">
        <f t="shared" si="36"/>
        <v>-2536891.1096026246</v>
      </c>
      <c r="AI105" s="17">
        <f t="shared" si="42"/>
        <v>-1</v>
      </c>
      <c r="AJ105" s="17">
        <f t="shared" si="43"/>
        <v>4.9721323973147505E-2</v>
      </c>
      <c r="AK105" s="14" t="e">
        <f t="shared" si="44"/>
        <v>#DIV/0!</v>
      </c>
      <c r="AL105" s="14">
        <f t="shared" si="45"/>
        <v>-1</v>
      </c>
      <c r="AO105" s="19">
        <f>+Tabla22[[#This Row],[Web + APP 2025]]+Tabla22[[#This Row],[Afiliados 2025]]+Tabla22[[#This Row],[TMK 2025]]+Tabla22[[#This Row],[WA 2025]]+Tabla22[[#This Row],[Ent. en Tienda 2025]]</f>
        <v>1469535.9655172413</v>
      </c>
      <c r="AP105" s="19">
        <f>+Tabla22[[#This Row],[Meli Drop 2025]]+Tabla22[[#This Row],[Meli Full 2025]]+Tabla22[[#This Row],[Amazon Drop 2025]]+Tabla22[[#This Row],[Amazon Full 2025]]+Tabla22[[#This Row],[TikTok 2025]]+Tabla22[[#This Row],[Shein 2025]]</f>
        <v>474362</v>
      </c>
    </row>
    <row r="106" spans="1:42" hidden="1" x14ac:dyDescent="0.3">
      <c r="A106" s="63">
        <v>45760</v>
      </c>
      <c r="B106" s="3">
        <f>+'BD MD'!B105</f>
        <v>42859990</v>
      </c>
      <c r="C106" s="3">
        <f t="shared" si="41"/>
        <v>2131055.4482758623</v>
      </c>
      <c r="D106" s="4">
        <f t="shared" si="46"/>
        <v>2.5658300516458021E-2</v>
      </c>
      <c r="E106" s="3"/>
      <c r="F106" s="7">
        <v>46125</v>
      </c>
      <c r="G106" s="3">
        <f>+Tabla22[[#This Row],[Meta Digital]]+Tabla22[[#This Row],[Meta MKPlace]]</f>
        <v>2781141.6631442122</v>
      </c>
      <c r="H106" s="3">
        <f>+Tabla2[[#This Row],[Meta Digital]]</f>
        <v>2306463.1035897387</v>
      </c>
      <c r="I106" s="3">
        <f>+Tabla2[[#This Row],[Meta MKPlace]]</f>
        <v>474678.55955447338</v>
      </c>
      <c r="J106" s="3">
        <v>1569406</v>
      </c>
      <c r="K106" s="3"/>
      <c r="L106" s="3">
        <v>19453.448275862065</v>
      </c>
      <c r="M106" s="3"/>
      <c r="N106" s="3">
        <v>1820</v>
      </c>
      <c r="O106" s="3"/>
      <c r="P106" s="3">
        <v>11036</v>
      </c>
      <c r="Q106" s="3"/>
      <c r="R106" s="3">
        <v>72440</v>
      </c>
      <c r="S106" s="3"/>
      <c r="T106" s="3">
        <v>333556</v>
      </c>
      <c r="U106" s="3"/>
      <c r="V106" s="3">
        <v>96341</v>
      </c>
      <c r="W106" s="3"/>
      <c r="X106" s="3">
        <v>15131</v>
      </c>
      <c r="Y106" s="3"/>
      <c r="Z106" s="3">
        <v>11872</v>
      </c>
      <c r="AA106" s="3"/>
      <c r="AB106" s="3">
        <v>0</v>
      </c>
      <c r="AC106" s="3"/>
      <c r="AD106" s="3">
        <v>0</v>
      </c>
      <c r="AE106" s="3"/>
      <c r="AF106" s="5">
        <f t="shared" si="34"/>
        <v>0</v>
      </c>
      <c r="AG106" s="4">
        <f t="shared" si="35"/>
        <v>0</v>
      </c>
      <c r="AH106" s="5">
        <f t="shared" si="36"/>
        <v>-2781141.6631442122</v>
      </c>
      <c r="AI106" s="17">
        <f t="shared" si="42"/>
        <v>-1</v>
      </c>
      <c r="AJ106" s="17">
        <f t="shared" si="43"/>
        <v>0.10189160909166961</v>
      </c>
      <c r="AK106" s="14" t="e">
        <f t="shared" si="44"/>
        <v>#DIV/0!</v>
      </c>
      <c r="AL106" s="14">
        <f t="shared" si="45"/>
        <v>-1</v>
      </c>
      <c r="AO106" s="19">
        <f>+Tabla22[[#This Row],[Web + APP 2025]]+Tabla22[[#This Row],[Afiliados 2025]]+Tabla22[[#This Row],[TMK 2025]]+Tabla22[[#This Row],[WA 2025]]+Tabla22[[#This Row],[Ent. en Tienda 2025]]</f>
        <v>1674155.448275862</v>
      </c>
      <c r="AP106" s="19">
        <f>+Tabla22[[#This Row],[Meli Drop 2025]]+Tabla22[[#This Row],[Meli Full 2025]]+Tabla22[[#This Row],[Amazon Drop 2025]]+Tabla22[[#This Row],[Amazon Full 2025]]+Tabla22[[#This Row],[TikTok 2025]]+Tabla22[[#This Row],[Shein 2025]]</f>
        <v>456900</v>
      </c>
    </row>
    <row r="107" spans="1:42" hidden="1" x14ac:dyDescent="0.3">
      <c r="A107" s="7">
        <v>45761</v>
      </c>
      <c r="B107" s="3">
        <f>+'BD MD'!B106</f>
        <v>33282941</v>
      </c>
      <c r="C107" s="3">
        <f t="shared" si="41"/>
        <v>3391252.4137931033</v>
      </c>
      <c r="D107" s="4">
        <f t="shared" si="46"/>
        <v>4.0831304333571371E-2</v>
      </c>
      <c r="E107" s="3"/>
      <c r="F107" s="7">
        <v>46126</v>
      </c>
      <c r="G107" s="3">
        <f>+Tabla22[[#This Row],[Meta Digital]]+Tabla22[[#This Row],[Meta MKPlace]]</f>
        <v>4425766.2961651264</v>
      </c>
      <c r="H107" s="3">
        <f>+Tabla2[[#This Row],[Meta Digital]]</f>
        <v>3670387.165994056</v>
      </c>
      <c r="I107" s="3">
        <f>+Tabla2[[#This Row],[Meta MKPlace]]</f>
        <v>755379.13017107034</v>
      </c>
      <c r="J107" s="3">
        <v>2602332</v>
      </c>
      <c r="K107" s="3"/>
      <c r="L107" s="3">
        <v>16797.413793103446</v>
      </c>
      <c r="M107" s="3"/>
      <c r="N107" s="3">
        <v>67991</v>
      </c>
      <c r="O107" s="3"/>
      <c r="P107" s="3">
        <v>21714</v>
      </c>
      <c r="Q107" s="3"/>
      <c r="R107" s="3">
        <v>83069</v>
      </c>
      <c r="S107" s="3"/>
      <c r="T107" s="3">
        <v>470529</v>
      </c>
      <c r="U107" s="3"/>
      <c r="V107" s="3">
        <v>93695</v>
      </c>
      <c r="W107" s="3"/>
      <c r="X107" s="3">
        <v>26519</v>
      </c>
      <c r="Y107" s="3"/>
      <c r="Z107" s="3">
        <v>8606</v>
      </c>
      <c r="AA107" s="3"/>
      <c r="AB107" s="3">
        <v>0</v>
      </c>
      <c r="AC107" s="3"/>
      <c r="AD107" s="3">
        <v>0</v>
      </c>
      <c r="AE107" s="3"/>
      <c r="AF107" s="5">
        <f t="shared" si="34"/>
        <v>0</v>
      </c>
      <c r="AG107" s="4">
        <f t="shared" si="35"/>
        <v>0</v>
      </c>
      <c r="AH107" s="5">
        <f t="shared" si="36"/>
        <v>-4425766.2961651264</v>
      </c>
      <c r="AI107" s="17">
        <f t="shared" si="42"/>
        <v>-1</v>
      </c>
      <c r="AJ107" s="17">
        <f t="shared" si="43"/>
        <v>7.9556236029688684E-2</v>
      </c>
      <c r="AK107" s="14" t="e">
        <f t="shared" si="44"/>
        <v>#DIV/0!</v>
      </c>
      <c r="AL107" s="14">
        <f t="shared" si="45"/>
        <v>-1</v>
      </c>
      <c r="AO107" s="19">
        <f>+Tabla22[[#This Row],[Web + APP 2025]]+Tabla22[[#This Row],[Afiliados 2025]]+Tabla22[[#This Row],[TMK 2025]]+Tabla22[[#This Row],[WA 2025]]+Tabla22[[#This Row],[Ent. en Tienda 2025]]</f>
        <v>2791903.4137931033</v>
      </c>
      <c r="AP107" s="19">
        <f>+Tabla22[[#This Row],[Meli Drop 2025]]+Tabla22[[#This Row],[Meli Full 2025]]+Tabla22[[#This Row],[Amazon Drop 2025]]+Tabla22[[#This Row],[Amazon Full 2025]]+Tabla22[[#This Row],[TikTok 2025]]+Tabla22[[#This Row],[Shein 2025]]</f>
        <v>599349</v>
      </c>
    </row>
    <row r="108" spans="1:42" hidden="1" x14ac:dyDescent="0.3">
      <c r="A108" s="63">
        <v>45762</v>
      </c>
      <c r="B108" s="3">
        <f>+'BD MD'!B107</f>
        <v>38043206</v>
      </c>
      <c r="C108" s="3">
        <f t="shared" si="41"/>
        <v>3026574.2758620689</v>
      </c>
      <c r="D108" s="4">
        <f t="shared" si="46"/>
        <v>3.6440512314345808E-2</v>
      </c>
      <c r="E108" s="3"/>
      <c r="F108" s="7">
        <v>46127</v>
      </c>
      <c r="G108" s="3">
        <f>+Tabla22[[#This Row],[Meta Digital]]+Tabla22[[#This Row],[Meta MKPlace]]</f>
        <v>3949841.765971221</v>
      </c>
      <c r="H108" s="3">
        <f>+Tabla2[[#This Row],[Meta Digital]]</f>
        <v>3275692.2881558235</v>
      </c>
      <c r="I108" s="3">
        <f>+Tabla2[[#This Row],[Meta MKPlace]]</f>
        <v>674149.47781539743</v>
      </c>
      <c r="J108" s="3">
        <v>2444873</v>
      </c>
      <c r="K108" s="3"/>
      <c r="L108" s="3">
        <v>19573.275862068964</v>
      </c>
      <c r="M108" s="3"/>
      <c r="N108" s="3">
        <v>50256</v>
      </c>
      <c r="O108" s="3"/>
      <c r="P108" s="3">
        <v>13006</v>
      </c>
      <c r="Q108" s="3"/>
      <c r="R108" s="3">
        <v>55749</v>
      </c>
      <c r="S108" s="3"/>
      <c r="T108" s="3">
        <v>297114</v>
      </c>
      <c r="U108" s="3"/>
      <c r="V108" s="3">
        <v>118730</v>
      </c>
      <c r="W108" s="3"/>
      <c r="X108" s="3">
        <v>16825</v>
      </c>
      <c r="Y108" s="3"/>
      <c r="Z108" s="3">
        <v>10448</v>
      </c>
      <c r="AA108" s="3"/>
      <c r="AB108" s="3">
        <v>0</v>
      </c>
      <c r="AC108" s="3"/>
      <c r="AD108" s="3">
        <v>0</v>
      </c>
      <c r="AE108" s="3"/>
      <c r="AF108" s="5">
        <f t="shared" si="34"/>
        <v>0</v>
      </c>
      <c r="AG108" s="4">
        <f t="shared" si="35"/>
        <v>0</v>
      </c>
      <c r="AH108" s="5">
        <f t="shared" si="36"/>
        <v>-3949841.765971221</v>
      </c>
      <c r="AI108" s="17">
        <f t="shared" si="42"/>
        <v>-1</v>
      </c>
      <c r="AJ108" s="17">
        <f t="shared" si="43"/>
        <v>5.8822968242790596E-2</v>
      </c>
      <c r="AK108" s="14" t="e">
        <f t="shared" si="44"/>
        <v>#DIV/0!</v>
      </c>
      <c r="AL108" s="14">
        <f t="shared" si="45"/>
        <v>-1</v>
      </c>
      <c r="AO108" s="19">
        <f>+Tabla22[[#This Row],[Web + APP 2025]]+Tabla22[[#This Row],[Afiliados 2025]]+Tabla22[[#This Row],[TMK 2025]]+Tabla22[[#This Row],[WA 2025]]+Tabla22[[#This Row],[Ent. en Tienda 2025]]</f>
        <v>2583457.2758620689</v>
      </c>
      <c r="AP108" s="19">
        <f>+Tabla22[[#This Row],[Meli Drop 2025]]+Tabla22[[#This Row],[Meli Full 2025]]+Tabla22[[#This Row],[Amazon Drop 2025]]+Tabla22[[#This Row],[Amazon Full 2025]]+Tabla22[[#This Row],[TikTok 2025]]+Tabla22[[#This Row],[Shein 2025]]</f>
        <v>443117</v>
      </c>
    </row>
    <row r="109" spans="1:42" hidden="1" x14ac:dyDescent="0.3">
      <c r="A109" s="7">
        <v>45763</v>
      </c>
      <c r="B109" s="3">
        <f>+'BD MD'!B108</f>
        <v>41123227</v>
      </c>
      <c r="C109" s="3">
        <f t="shared" si="41"/>
        <v>2418990.2758620689</v>
      </c>
      <c r="D109" s="4">
        <f t="shared" si="46"/>
        <v>2.912508892937268E-2</v>
      </c>
      <c r="E109" s="3"/>
      <c r="F109" s="7">
        <v>46128</v>
      </c>
      <c r="G109" s="3">
        <f>+Tabla22[[#This Row],[Meta Digital]]+Tabla22[[#This Row],[Meta MKPlace]]</f>
        <v>3156912.0570671507</v>
      </c>
      <c r="H109" s="3">
        <f>+Tabla2[[#This Row],[Meta Digital]]</f>
        <v>2618097.911873756</v>
      </c>
      <c r="I109" s="3">
        <f>+Tabla2[[#This Row],[Meta MKPlace]]</f>
        <v>538814.14519339462</v>
      </c>
      <c r="J109" s="3">
        <v>1792566</v>
      </c>
      <c r="K109" s="3"/>
      <c r="L109" s="3">
        <v>19598.275862068967</v>
      </c>
      <c r="M109" s="3"/>
      <c r="N109" s="3">
        <v>46001</v>
      </c>
      <c r="O109" s="3"/>
      <c r="P109" s="3">
        <v>12990</v>
      </c>
      <c r="Q109" s="3"/>
      <c r="R109" s="3">
        <v>70129</v>
      </c>
      <c r="S109" s="3"/>
      <c r="T109" s="3">
        <v>329344</v>
      </c>
      <c r="U109" s="3"/>
      <c r="V109" s="3">
        <v>114466</v>
      </c>
      <c r="W109" s="3"/>
      <c r="X109" s="3">
        <v>22862</v>
      </c>
      <c r="Y109" s="3"/>
      <c r="Z109" s="3">
        <v>11034</v>
      </c>
      <c r="AA109" s="3"/>
      <c r="AB109" s="3">
        <v>0</v>
      </c>
      <c r="AC109" s="3"/>
      <c r="AD109" s="3">
        <v>0</v>
      </c>
      <c r="AE109" s="3"/>
      <c r="AF109" s="5">
        <f t="shared" si="34"/>
        <v>0</v>
      </c>
      <c r="AG109" s="4">
        <f t="shared" si="35"/>
        <v>0</v>
      </c>
      <c r="AH109" s="5">
        <f t="shared" si="36"/>
        <v>-3156912.0570671507</v>
      </c>
      <c r="AI109" s="17">
        <f t="shared" si="42"/>
        <v>-1</v>
      </c>
      <c r="AJ109" s="17">
        <f t="shared" si="43"/>
        <v>5.2150620206851087E-2</v>
      </c>
      <c r="AK109" s="14" t="e">
        <f t="shared" si="44"/>
        <v>#DIV/0!</v>
      </c>
      <c r="AL109" s="14">
        <f t="shared" si="45"/>
        <v>-1</v>
      </c>
      <c r="AO109" s="19">
        <f>+Tabla22[[#This Row],[Web + APP 2025]]+Tabla22[[#This Row],[Afiliados 2025]]+Tabla22[[#This Row],[TMK 2025]]+Tabla22[[#This Row],[WA 2025]]+Tabla22[[#This Row],[Ent. en Tienda 2025]]</f>
        <v>1941284.2758620689</v>
      </c>
      <c r="AP109" s="19">
        <f>+Tabla22[[#This Row],[Meli Drop 2025]]+Tabla22[[#This Row],[Meli Full 2025]]+Tabla22[[#This Row],[Amazon Drop 2025]]+Tabla22[[#This Row],[Amazon Full 2025]]+Tabla22[[#This Row],[TikTok 2025]]+Tabla22[[#This Row],[Shein 2025]]</f>
        <v>477706</v>
      </c>
    </row>
    <row r="110" spans="1:42" hidden="1" x14ac:dyDescent="0.3">
      <c r="A110" s="63">
        <v>45764</v>
      </c>
      <c r="B110" s="3">
        <f>+'BD MD'!B109</f>
        <v>36004609</v>
      </c>
      <c r="C110" s="3">
        <f t="shared" si="41"/>
        <v>1877662.6896551724</v>
      </c>
      <c r="D110" s="4">
        <f t="shared" si="46"/>
        <v>2.2607404982677267E-2</v>
      </c>
      <c r="E110" s="3"/>
      <c r="F110" s="7">
        <v>46129</v>
      </c>
      <c r="G110" s="3">
        <f>+Tabla22[[#This Row],[Meta Digital]]+Tabla22[[#This Row],[Meta MKPlace]]</f>
        <v>2450450.5219497387</v>
      </c>
      <c r="H110" s="3">
        <f>+Tabla2[[#This Row],[Meta Digital]]</f>
        <v>2032213.5297702092</v>
      </c>
      <c r="I110" s="3">
        <f>+Tabla2[[#This Row],[Meta MKPlace]]</f>
        <v>418236.99217952945</v>
      </c>
      <c r="J110" s="3">
        <v>1396188</v>
      </c>
      <c r="K110" s="3"/>
      <c r="L110" s="3">
        <v>18720.689655172413</v>
      </c>
      <c r="M110" s="3"/>
      <c r="N110" s="3">
        <v>28846</v>
      </c>
      <c r="O110" s="3"/>
      <c r="P110" s="3">
        <v>77</v>
      </c>
      <c r="Q110" s="3"/>
      <c r="R110" s="3">
        <v>58156</v>
      </c>
      <c r="S110" s="3"/>
      <c r="T110" s="3">
        <v>252134</v>
      </c>
      <c r="U110" s="3"/>
      <c r="V110" s="3">
        <v>102799</v>
      </c>
      <c r="W110" s="3"/>
      <c r="X110" s="3">
        <v>13428</v>
      </c>
      <c r="Y110" s="3"/>
      <c r="Z110" s="3">
        <v>7314</v>
      </c>
      <c r="AA110" s="3"/>
      <c r="AB110" s="3">
        <v>0</v>
      </c>
      <c r="AC110" s="3"/>
      <c r="AD110" s="3">
        <v>0</v>
      </c>
      <c r="AE110" s="3"/>
      <c r="AF110" s="5">
        <f t="shared" si="34"/>
        <v>0</v>
      </c>
      <c r="AG110" s="4">
        <f t="shared" si="35"/>
        <v>0</v>
      </c>
      <c r="AH110" s="5">
        <f t="shared" si="36"/>
        <v>-2450450.5219497387</v>
      </c>
      <c r="AI110" s="17">
        <f t="shared" si="42"/>
        <v>-1</v>
      </c>
      <c r="AJ110" s="17">
        <f t="shared" si="43"/>
        <v>9.7540778059402464E-2</v>
      </c>
      <c r="AK110" s="14" t="e">
        <f t="shared" si="44"/>
        <v>#DIV/0!</v>
      </c>
      <c r="AL110" s="14">
        <f t="shared" si="45"/>
        <v>-1</v>
      </c>
      <c r="AO110" s="19">
        <f>+Tabla22[[#This Row],[Web + APP 2025]]+Tabla22[[#This Row],[Afiliados 2025]]+Tabla22[[#This Row],[TMK 2025]]+Tabla22[[#This Row],[WA 2025]]+Tabla22[[#This Row],[Ent. en Tienda 2025]]</f>
        <v>1501987.6896551724</v>
      </c>
      <c r="AP110" s="19">
        <f>+Tabla22[[#This Row],[Meli Drop 2025]]+Tabla22[[#This Row],[Meli Full 2025]]+Tabla22[[#This Row],[Amazon Drop 2025]]+Tabla22[[#This Row],[Amazon Full 2025]]+Tabla22[[#This Row],[TikTok 2025]]+Tabla22[[#This Row],[Shein 2025]]</f>
        <v>375675</v>
      </c>
    </row>
    <row r="111" spans="1:42" hidden="1" x14ac:dyDescent="0.3">
      <c r="A111" s="7">
        <v>45765</v>
      </c>
      <c r="B111" s="3">
        <f>+'BD MD'!B110</f>
        <v>15540152</v>
      </c>
      <c r="C111" s="3">
        <f t="shared" si="41"/>
        <v>1515798.5172413792</v>
      </c>
      <c r="D111" s="4">
        <f t="shared" si="46"/>
        <v>1.8250493627111931E-2</v>
      </c>
      <c r="E111" s="3"/>
      <c r="F111" s="7">
        <v>46130</v>
      </c>
      <c r="G111" s="3">
        <f>+Tabla22[[#This Row],[Meta Digital]]+Tabla22[[#This Row],[Meta MKPlace]]</f>
        <v>1978198.3676881364</v>
      </c>
      <c r="H111" s="3">
        <f>+Tabla2[[#This Row],[Meta Digital]]</f>
        <v>1640564.2355865657</v>
      </c>
      <c r="I111" s="3">
        <f>+Tabla2[[#This Row],[Meta MKPlace]]</f>
        <v>337634.13210157072</v>
      </c>
      <c r="J111" s="3">
        <v>1047803</v>
      </c>
      <c r="K111" s="3"/>
      <c r="L111" s="3">
        <v>13265.517241379313</v>
      </c>
      <c r="M111" s="3"/>
      <c r="N111" s="3">
        <v>10416</v>
      </c>
      <c r="O111" s="3"/>
      <c r="P111" s="3">
        <v>1772</v>
      </c>
      <c r="Q111" s="3"/>
      <c r="R111" s="3">
        <v>83897</v>
      </c>
      <c r="S111" s="3"/>
      <c r="T111" s="3">
        <v>262910</v>
      </c>
      <c r="U111" s="3"/>
      <c r="V111" s="3">
        <v>73506</v>
      </c>
      <c r="W111" s="3"/>
      <c r="X111" s="3">
        <v>15139</v>
      </c>
      <c r="Y111" s="3"/>
      <c r="Z111" s="3">
        <v>7090</v>
      </c>
      <c r="AA111" s="3"/>
      <c r="AB111" s="3">
        <v>0</v>
      </c>
      <c r="AC111" s="3"/>
      <c r="AD111" s="3">
        <v>0</v>
      </c>
      <c r="AE111" s="3"/>
      <c r="AF111" s="5">
        <f t="shared" si="34"/>
        <v>0</v>
      </c>
      <c r="AG111" s="4">
        <f t="shared" si="35"/>
        <v>0</v>
      </c>
      <c r="AH111" s="5">
        <f t="shared" si="36"/>
        <v>-1978198.3676881364</v>
      </c>
      <c r="AI111" s="17">
        <f t="shared" si="42"/>
        <v>-1</v>
      </c>
      <c r="AJ111" s="17">
        <f t="shared" si="43"/>
        <v>4.9561586382346201E-2</v>
      </c>
      <c r="AK111" s="14" t="e">
        <f t="shared" si="44"/>
        <v>#DIV/0!</v>
      </c>
      <c r="AL111" s="14">
        <f t="shared" si="45"/>
        <v>-1</v>
      </c>
      <c r="AO111" s="19">
        <f>+Tabla22[[#This Row],[Web + APP 2025]]+Tabla22[[#This Row],[Afiliados 2025]]+Tabla22[[#This Row],[TMK 2025]]+Tabla22[[#This Row],[WA 2025]]+Tabla22[[#This Row],[Ent. en Tienda 2025]]</f>
        <v>1157153.5172413792</v>
      </c>
      <c r="AP111" s="19">
        <f>+Tabla22[[#This Row],[Meli Drop 2025]]+Tabla22[[#This Row],[Meli Full 2025]]+Tabla22[[#This Row],[Amazon Drop 2025]]+Tabla22[[#This Row],[Amazon Full 2025]]+Tabla22[[#This Row],[TikTok 2025]]+Tabla22[[#This Row],[Shein 2025]]</f>
        <v>358645</v>
      </c>
    </row>
    <row r="112" spans="1:42" hidden="1" x14ac:dyDescent="0.3">
      <c r="A112" s="63">
        <v>45766</v>
      </c>
      <c r="B112" s="3">
        <f>+'BD MD'!B111</f>
        <v>27478165</v>
      </c>
      <c r="C112" s="3">
        <f t="shared" si="41"/>
        <v>1361861.448275862</v>
      </c>
      <c r="D112" s="4">
        <f t="shared" si="46"/>
        <v>1.639706293419611E-2</v>
      </c>
      <c r="E112" s="3"/>
      <c r="F112" s="7">
        <v>46131</v>
      </c>
      <c r="G112" s="3">
        <f>+Tabla22[[#This Row],[Meta Digital]]+Tabla22[[#This Row],[Meta MKPlace]]</f>
        <v>1777302.2359855678</v>
      </c>
      <c r="H112" s="3">
        <f>+Tabla2[[#This Row],[Meta Digital]]</f>
        <v>1473956.5717029397</v>
      </c>
      <c r="I112" s="3">
        <f>+Tabla2[[#This Row],[Meta MKPlace]]</f>
        <v>303345.66428262804</v>
      </c>
      <c r="J112" s="3">
        <v>1029021</v>
      </c>
      <c r="K112" s="3"/>
      <c r="L112" s="3">
        <v>15128.448275862071</v>
      </c>
      <c r="M112" s="3"/>
      <c r="N112" s="3">
        <v>1459</v>
      </c>
      <c r="O112" s="3"/>
      <c r="P112" s="3">
        <v>1022</v>
      </c>
      <c r="Q112" s="3"/>
      <c r="R112" s="3">
        <v>56811</v>
      </c>
      <c r="S112" s="3"/>
      <c r="T112" s="3">
        <v>164386</v>
      </c>
      <c r="U112" s="3"/>
      <c r="V112" s="3">
        <v>71020</v>
      </c>
      <c r="W112" s="3"/>
      <c r="X112" s="3">
        <v>15099</v>
      </c>
      <c r="Y112" s="3"/>
      <c r="Z112" s="3">
        <v>7915</v>
      </c>
      <c r="AA112" s="3"/>
      <c r="AB112" s="3">
        <v>0</v>
      </c>
      <c r="AC112" s="3"/>
      <c r="AD112" s="3">
        <v>0</v>
      </c>
      <c r="AE112" s="3"/>
      <c r="AF112" s="5">
        <f t="shared" si="34"/>
        <v>0</v>
      </c>
      <c r="AG112" s="4">
        <f t="shared" si="35"/>
        <v>0</v>
      </c>
      <c r="AH112" s="5">
        <f t="shared" si="36"/>
        <v>-1777302.2359855678</v>
      </c>
      <c r="AI112" s="17">
        <f t="shared" si="42"/>
        <v>-1</v>
      </c>
      <c r="AJ112" s="17">
        <f t="shared" si="43"/>
        <v>6.3435371277133765E-2</v>
      </c>
      <c r="AK112" s="14" t="e">
        <f t="shared" si="44"/>
        <v>#DIV/0!</v>
      </c>
      <c r="AL112" s="14">
        <f t="shared" si="45"/>
        <v>-1</v>
      </c>
      <c r="AO112" s="19">
        <f>+Tabla22[[#This Row],[Web + APP 2025]]+Tabla22[[#This Row],[Afiliados 2025]]+Tabla22[[#This Row],[TMK 2025]]+Tabla22[[#This Row],[WA 2025]]+Tabla22[[#This Row],[Ent. en Tienda 2025]]</f>
        <v>1103441.448275862</v>
      </c>
      <c r="AP112" s="19">
        <f>+Tabla22[[#This Row],[Meli Drop 2025]]+Tabla22[[#This Row],[Meli Full 2025]]+Tabla22[[#This Row],[Amazon Drop 2025]]+Tabla22[[#This Row],[Amazon Full 2025]]+Tabla22[[#This Row],[TikTok 2025]]+Tabla22[[#This Row],[Shein 2025]]</f>
        <v>258420</v>
      </c>
    </row>
    <row r="113" spans="1:42" hidden="1" x14ac:dyDescent="0.3">
      <c r="A113" s="7">
        <v>45767</v>
      </c>
      <c r="B113" s="3">
        <f>+'BD MD'!B112</f>
        <v>28728736</v>
      </c>
      <c r="C113" s="3">
        <f t="shared" si="41"/>
        <v>1822418.0344827587</v>
      </c>
      <c r="D113" s="4">
        <f t="shared" si="46"/>
        <v>2.1942249148515981E-2</v>
      </c>
      <c r="E113" s="3"/>
      <c r="F113" s="7">
        <v>46132</v>
      </c>
      <c r="G113" s="3">
        <f>+Tabla22[[#This Row],[Meta Digital]]+Tabla22[[#This Row],[Meta MKPlace]]</f>
        <v>2378353.2837993465</v>
      </c>
      <c r="H113" s="3">
        <f>+Tabla2[[#This Row],[Meta Digital]]</f>
        <v>1972421.6745518011</v>
      </c>
      <c r="I113" s="3">
        <f>+Tabla2[[#This Row],[Meta MKPlace]]</f>
        <v>405931.60924754565</v>
      </c>
      <c r="J113" s="3">
        <v>1427487</v>
      </c>
      <c r="K113" s="3"/>
      <c r="L113" s="3">
        <v>14906.03448275862</v>
      </c>
      <c r="M113" s="3"/>
      <c r="N113" s="3">
        <v>6558</v>
      </c>
      <c r="O113" s="3"/>
      <c r="P113" s="3">
        <v>2552</v>
      </c>
      <c r="Q113" s="3"/>
      <c r="R113" s="3">
        <v>23514</v>
      </c>
      <c r="S113" s="3"/>
      <c r="T113" s="3">
        <v>241574</v>
      </c>
      <c r="U113" s="3"/>
      <c r="V113" s="3">
        <v>85791</v>
      </c>
      <c r="W113" s="3"/>
      <c r="X113" s="3">
        <v>14358</v>
      </c>
      <c r="Y113" s="3"/>
      <c r="Z113" s="3">
        <v>5678</v>
      </c>
      <c r="AA113" s="3"/>
      <c r="AB113" s="3">
        <v>0</v>
      </c>
      <c r="AC113" s="3"/>
      <c r="AD113" s="3">
        <v>0</v>
      </c>
      <c r="AE113" s="3"/>
      <c r="AF113" s="5">
        <f t="shared" si="34"/>
        <v>0</v>
      </c>
      <c r="AG113" s="4">
        <f t="shared" si="35"/>
        <v>0</v>
      </c>
      <c r="AH113" s="5">
        <f t="shared" si="36"/>
        <v>-2378353.2837993465</v>
      </c>
      <c r="AI113" s="17">
        <f t="shared" si="42"/>
        <v>-1</v>
      </c>
      <c r="AJ113" s="17">
        <f t="shared" si="43"/>
        <v>0.12120522681596414</v>
      </c>
      <c r="AK113" s="14" t="e">
        <f t="shared" si="44"/>
        <v>#DIV/0!</v>
      </c>
      <c r="AL113" s="14">
        <f t="shared" si="45"/>
        <v>-1</v>
      </c>
      <c r="AO113" s="19">
        <f>+Tabla22[[#This Row],[Web + APP 2025]]+Tabla22[[#This Row],[Afiliados 2025]]+Tabla22[[#This Row],[TMK 2025]]+Tabla22[[#This Row],[WA 2025]]+Tabla22[[#This Row],[Ent. en Tienda 2025]]</f>
        <v>1475017.0344827587</v>
      </c>
      <c r="AP113" s="19">
        <f>+Tabla22[[#This Row],[Meli Drop 2025]]+Tabla22[[#This Row],[Meli Full 2025]]+Tabla22[[#This Row],[Amazon Drop 2025]]+Tabla22[[#This Row],[Amazon Full 2025]]+Tabla22[[#This Row],[TikTok 2025]]+Tabla22[[#This Row],[Shein 2025]]</f>
        <v>347401</v>
      </c>
    </row>
    <row r="114" spans="1:42" hidden="1" x14ac:dyDescent="0.3">
      <c r="A114" s="63">
        <v>45768</v>
      </c>
      <c r="B114" s="3">
        <f>+'BD MD'!B113</f>
        <v>24209385</v>
      </c>
      <c r="C114" s="3">
        <f t="shared" si="41"/>
        <v>2934304</v>
      </c>
      <c r="D114" s="4">
        <f t="shared" si="46"/>
        <v>3.5329561180380296E-2</v>
      </c>
      <c r="E114" s="3"/>
      <c r="F114" s="7">
        <v>46133</v>
      </c>
      <c r="G114" s="3">
        <f>+Tabla22[[#This Row],[Meta Digital]]+Tabla22[[#This Row],[Meta MKPlace]]</f>
        <v>3829424.1068824222</v>
      </c>
      <c r="H114" s="3">
        <f>+Tabla2[[#This Row],[Meta Digital]]</f>
        <v>3175827.2250453867</v>
      </c>
      <c r="I114" s="3">
        <f>+Tabla2[[#This Row],[Meta MKPlace]]</f>
        <v>653596.88183703553</v>
      </c>
      <c r="J114" s="3">
        <v>2363849</v>
      </c>
      <c r="K114" s="3"/>
      <c r="L114" s="3">
        <v>17125</v>
      </c>
      <c r="M114" s="3"/>
      <c r="N114" s="3">
        <v>35717</v>
      </c>
      <c r="O114" s="3"/>
      <c r="P114" s="3">
        <v>5563</v>
      </c>
      <c r="Q114" s="3"/>
      <c r="R114" s="3">
        <v>61395</v>
      </c>
      <c r="S114" s="3"/>
      <c r="T114" s="3">
        <v>313296</v>
      </c>
      <c r="U114" s="3"/>
      <c r="V114" s="3">
        <v>96557</v>
      </c>
      <c r="W114" s="3"/>
      <c r="X114" s="3">
        <v>30744</v>
      </c>
      <c r="Y114" s="3"/>
      <c r="Z114" s="3">
        <v>10058</v>
      </c>
      <c r="AA114" s="3"/>
      <c r="AB114" s="3">
        <v>0</v>
      </c>
      <c r="AC114" s="3"/>
      <c r="AD114" s="3">
        <v>0</v>
      </c>
      <c r="AE114" s="3"/>
      <c r="AF114" s="5">
        <f t="shared" si="34"/>
        <v>0</v>
      </c>
      <c r="AG114" s="4">
        <f t="shared" si="35"/>
        <v>0</v>
      </c>
      <c r="AH114" s="5">
        <f t="shared" si="36"/>
        <v>-3829424.1068824222</v>
      </c>
      <c r="AI114" s="17">
        <f t="shared" si="42"/>
        <v>-1</v>
      </c>
      <c r="AJ114" s="17">
        <f t="shared" si="43"/>
        <v>0.10985371247421366</v>
      </c>
      <c r="AK114" s="14" t="e">
        <f t="shared" si="44"/>
        <v>#DIV/0!</v>
      </c>
      <c r="AL114" s="14">
        <f t="shared" si="45"/>
        <v>-1</v>
      </c>
      <c r="AO114" s="19">
        <f>+Tabla22[[#This Row],[Web + APP 2025]]+Tabla22[[#This Row],[Afiliados 2025]]+Tabla22[[#This Row],[TMK 2025]]+Tabla22[[#This Row],[WA 2025]]+Tabla22[[#This Row],[Ent. en Tienda 2025]]</f>
        <v>2483649</v>
      </c>
      <c r="AP114" s="19">
        <f>+Tabla22[[#This Row],[Meli Drop 2025]]+Tabla22[[#This Row],[Meli Full 2025]]+Tabla22[[#This Row],[Amazon Drop 2025]]+Tabla22[[#This Row],[Amazon Full 2025]]+Tabla22[[#This Row],[TikTok 2025]]+Tabla22[[#This Row],[Shein 2025]]</f>
        <v>450655</v>
      </c>
    </row>
    <row r="115" spans="1:42" hidden="1" x14ac:dyDescent="0.3">
      <c r="A115" s="7">
        <v>45769</v>
      </c>
      <c r="B115" s="3">
        <f>+'BD MD'!B114</f>
        <v>28493678</v>
      </c>
      <c r="C115" s="3">
        <f t="shared" si="41"/>
        <v>3130136.3103448274</v>
      </c>
      <c r="D115" s="4">
        <f t="shared" si="46"/>
        <v>3.7687418304053512E-2</v>
      </c>
      <c r="E115" s="3"/>
      <c r="F115" s="7">
        <v>46134</v>
      </c>
      <c r="G115" s="3">
        <f>+Tabla22[[#This Row],[Meta Digital]]+Tabla22[[#This Row],[Meta MKPlace]]</f>
        <v>4084995.7757146098</v>
      </c>
      <c r="H115" s="3">
        <f>+Tabla2[[#This Row],[Meta Digital]]</f>
        <v>3387778.5370896198</v>
      </c>
      <c r="I115" s="3">
        <f>+Tabla2[[#This Row],[Meta MKPlace]]</f>
        <v>697217.23862498999</v>
      </c>
      <c r="J115" s="3">
        <v>2523969</v>
      </c>
      <c r="K115" s="3"/>
      <c r="L115" s="3">
        <v>18554.310344827587</v>
      </c>
      <c r="M115" s="3"/>
      <c r="N115" s="3">
        <v>108487</v>
      </c>
      <c r="O115" s="3"/>
      <c r="P115" s="3">
        <v>10773</v>
      </c>
      <c r="Q115" s="3"/>
      <c r="R115" s="3">
        <v>28432</v>
      </c>
      <c r="S115" s="3"/>
      <c r="T115" s="3">
        <v>315822</v>
      </c>
      <c r="U115" s="3"/>
      <c r="V115" s="3">
        <v>99999</v>
      </c>
      <c r="W115" s="3"/>
      <c r="X115" s="3">
        <v>19059</v>
      </c>
      <c r="Y115" s="3"/>
      <c r="Z115" s="3">
        <v>5041</v>
      </c>
      <c r="AA115" s="3"/>
      <c r="AB115" s="3">
        <v>0</v>
      </c>
      <c r="AC115" s="3"/>
      <c r="AD115" s="3">
        <v>0</v>
      </c>
      <c r="AE115" s="3"/>
      <c r="AF115" s="5">
        <f t="shared" si="34"/>
        <v>0</v>
      </c>
      <c r="AG115" s="4">
        <f t="shared" si="35"/>
        <v>0</v>
      </c>
      <c r="AH115" s="5">
        <f t="shared" si="36"/>
        <v>-4084995.7757146098</v>
      </c>
      <c r="AI115" s="17">
        <f t="shared" si="42"/>
        <v>-1</v>
      </c>
      <c r="AJ115" s="17">
        <f t="shared" si="43"/>
        <v>0.10635308849722269</v>
      </c>
      <c r="AK115" s="14" t="e">
        <f t="shared" si="44"/>
        <v>#DIV/0!</v>
      </c>
      <c r="AL115" s="14">
        <f t="shared" si="45"/>
        <v>-1</v>
      </c>
      <c r="AO115" s="19">
        <f>+Tabla22[[#This Row],[Web + APP 2025]]+Tabla22[[#This Row],[Afiliados 2025]]+Tabla22[[#This Row],[TMK 2025]]+Tabla22[[#This Row],[WA 2025]]+Tabla22[[#This Row],[Ent. en Tienda 2025]]</f>
        <v>2690215.3103448274</v>
      </c>
      <c r="AP115" s="19">
        <f>+Tabla22[[#This Row],[Meli Drop 2025]]+Tabla22[[#This Row],[Meli Full 2025]]+Tabla22[[#This Row],[Amazon Drop 2025]]+Tabla22[[#This Row],[Amazon Full 2025]]+Tabla22[[#This Row],[TikTok 2025]]+Tabla22[[#This Row],[Shein 2025]]</f>
        <v>439921</v>
      </c>
    </row>
    <row r="116" spans="1:42" hidden="1" x14ac:dyDescent="0.3">
      <c r="A116" s="63">
        <v>45770</v>
      </c>
      <c r="B116" s="3">
        <f>+'BD MD'!B115</f>
        <v>31799582</v>
      </c>
      <c r="C116" s="3">
        <f t="shared" si="41"/>
        <v>3381983.7586206896</v>
      </c>
      <c r="D116" s="4">
        <f t="shared" si="46"/>
        <v>4.071970801636169E-2</v>
      </c>
      <c r="E116" s="3"/>
      <c r="F116" s="7">
        <v>46135</v>
      </c>
      <c r="G116" s="3">
        <f>+Tabla22[[#This Row],[Meta Digital]]+Tabla22[[#This Row],[Meta MKPlace]]</f>
        <v>4413670.204023473</v>
      </c>
      <c r="H116" s="3">
        <f>+Tabla2[[#This Row],[Meta Digital]]</f>
        <v>3660355.6057207817</v>
      </c>
      <c r="I116" s="3">
        <f>+Tabla2[[#This Row],[Meta MKPlace]]</f>
        <v>753314.59830269124</v>
      </c>
      <c r="J116" s="3">
        <v>2790322</v>
      </c>
      <c r="K116" s="3"/>
      <c r="L116" s="3">
        <v>14407.758620689654</v>
      </c>
      <c r="M116" s="3"/>
      <c r="N116" s="3">
        <v>48820</v>
      </c>
      <c r="O116" s="3"/>
      <c r="P116" s="3">
        <v>26723</v>
      </c>
      <c r="Q116" s="3"/>
      <c r="R116" s="3">
        <v>52261</v>
      </c>
      <c r="S116" s="3"/>
      <c r="T116" s="3">
        <v>314535</v>
      </c>
      <c r="U116" s="3"/>
      <c r="V116" s="3">
        <v>102425</v>
      </c>
      <c r="W116" s="3"/>
      <c r="X116" s="3">
        <v>23735</v>
      </c>
      <c r="Y116" s="3"/>
      <c r="Z116" s="3">
        <v>8755</v>
      </c>
      <c r="AA116" s="3"/>
      <c r="AB116" s="3">
        <v>0</v>
      </c>
      <c r="AC116" s="3"/>
      <c r="AD116" s="3">
        <v>0</v>
      </c>
      <c r="AE116" s="3"/>
      <c r="AF116" s="5">
        <f t="shared" si="34"/>
        <v>0</v>
      </c>
      <c r="AG116" s="4">
        <f t="shared" si="35"/>
        <v>0</v>
      </c>
      <c r="AH116" s="5">
        <f t="shared" si="36"/>
        <v>-4413670.204023473</v>
      </c>
      <c r="AI116" s="17">
        <f t="shared" si="42"/>
        <v>-1</v>
      </c>
      <c r="AJ116" s="17">
        <f t="shared" si="43"/>
        <v>7.2175324648648551E-2</v>
      </c>
      <c r="AK116" s="14" t="e">
        <f t="shared" si="44"/>
        <v>#DIV/0!</v>
      </c>
      <c r="AL116" s="14">
        <f t="shared" si="45"/>
        <v>-1</v>
      </c>
      <c r="AO116" s="19">
        <f>+Tabla22[[#This Row],[Web + APP 2025]]+Tabla22[[#This Row],[Afiliados 2025]]+Tabla22[[#This Row],[TMK 2025]]+Tabla22[[#This Row],[WA 2025]]+Tabla22[[#This Row],[Ent. en Tienda 2025]]</f>
        <v>2932533.7586206896</v>
      </c>
      <c r="AP116" s="19">
        <f>+Tabla22[[#This Row],[Meli Drop 2025]]+Tabla22[[#This Row],[Meli Full 2025]]+Tabla22[[#This Row],[Amazon Drop 2025]]+Tabla22[[#This Row],[Amazon Full 2025]]+Tabla22[[#This Row],[TikTok 2025]]+Tabla22[[#This Row],[Shein 2025]]</f>
        <v>449450</v>
      </c>
    </row>
    <row r="117" spans="1:42" hidden="1" x14ac:dyDescent="0.3">
      <c r="A117" s="7">
        <v>45771</v>
      </c>
      <c r="B117" s="3">
        <f>+'BD MD'!B116</f>
        <v>35799559</v>
      </c>
      <c r="C117" s="3">
        <f t="shared" si="41"/>
        <v>2583844.7931034481</v>
      </c>
      <c r="D117" s="4">
        <f t="shared" si="46"/>
        <v>3.1109967712464468E-2</v>
      </c>
      <c r="E117" s="3"/>
      <c r="F117" s="7">
        <v>46136</v>
      </c>
      <c r="G117" s="3">
        <f>+Tabla22[[#This Row],[Meta Digital]]+Tabla22[[#This Row],[Meta MKPlace]]</f>
        <v>3372056.0443474734</v>
      </c>
      <c r="H117" s="3">
        <f>+Tabla2[[#This Row],[Meta Digital]]</f>
        <v>2796521.6416668808</v>
      </c>
      <c r="I117" s="3">
        <f>+Tabla2[[#This Row],[Meta MKPlace]]</f>
        <v>575534.40268059261</v>
      </c>
      <c r="J117" s="3">
        <v>2029339</v>
      </c>
      <c r="K117" s="3"/>
      <c r="L117" s="3">
        <v>15613.793103448275</v>
      </c>
      <c r="M117" s="3"/>
      <c r="N117" s="3">
        <v>42994</v>
      </c>
      <c r="O117" s="3"/>
      <c r="P117" s="3">
        <v>15816</v>
      </c>
      <c r="Q117" s="3"/>
      <c r="R117" s="3">
        <v>73103</v>
      </c>
      <c r="S117" s="3"/>
      <c r="T117" s="3">
        <v>277457</v>
      </c>
      <c r="U117" s="3"/>
      <c r="V117" s="3">
        <v>104526</v>
      </c>
      <c r="W117" s="3"/>
      <c r="X117" s="3">
        <v>16782</v>
      </c>
      <c r="Y117" s="3"/>
      <c r="Z117" s="3">
        <v>8214</v>
      </c>
      <c r="AA117" s="3"/>
      <c r="AB117" s="3">
        <v>0</v>
      </c>
      <c r="AC117" s="3"/>
      <c r="AD117" s="3">
        <v>0</v>
      </c>
      <c r="AE117" s="3"/>
      <c r="AF117" s="5">
        <f t="shared" si="34"/>
        <v>0</v>
      </c>
      <c r="AG117" s="4">
        <f t="shared" si="35"/>
        <v>0</v>
      </c>
      <c r="AH117" s="5">
        <f t="shared" si="36"/>
        <v>-3372056.0443474734</v>
      </c>
      <c r="AI117" s="17">
        <f t="shared" si="42"/>
        <v>-1</v>
      </c>
      <c r="AJ117" s="17">
        <f t="shared" si="43"/>
        <v>6.6232494637862321E-2</v>
      </c>
      <c r="AK117" s="14" t="e">
        <f t="shared" si="44"/>
        <v>#DIV/0!</v>
      </c>
      <c r="AL117" s="14">
        <f t="shared" si="45"/>
        <v>-1</v>
      </c>
      <c r="AO117" s="19">
        <f>+Tabla22[[#This Row],[Web + APP 2025]]+Tabla22[[#This Row],[Afiliados 2025]]+Tabla22[[#This Row],[TMK 2025]]+Tabla22[[#This Row],[WA 2025]]+Tabla22[[#This Row],[Ent. en Tienda 2025]]</f>
        <v>2176865.7931034481</v>
      </c>
      <c r="AP117" s="19">
        <f>+Tabla22[[#This Row],[Meli Drop 2025]]+Tabla22[[#This Row],[Meli Full 2025]]+Tabla22[[#This Row],[Amazon Drop 2025]]+Tabla22[[#This Row],[Amazon Full 2025]]+Tabla22[[#This Row],[TikTok 2025]]+Tabla22[[#This Row],[Shein 2025]]</f>
        <v>406979</v>
      </c>
    </row>
    <row r="118" spans="1:42" hidden="1" x14ac:dyDescent="0.3">
      <c r="A118" s="63">
        <v>45772</v>
      </c>
      <c r="B118" s="3">
        <f>+'BD MD'!B117</f>
        <v>38328512</v>
      </c>
      <c r="C118" s="3">
        <f t="shared" si="41"/>
        <v>2538592.9655172415</v>
      </c>
      <c r="D118" s="4">
        <f t="shared" si="46"/>
        <v>3.0565127364896218E-2</v>
      </c>
      <c r="E118" s="3"/>
      <c r="F118" s="7">
        <v>46137</v>
      </c>
      <c r="G118" s="3">
        <f>+Tabla22[[#This Row],[Meta Digital]]+Tabla22[[#This Row],[Meta MKPlace]]</f>
        <v>3312999.9821810769</v>
      </c>
      <c r="H118" s="3">
        <f>+Tabla2[[#This Row],[Meta Digital]]</f>
        <v>2747545.125930497</v>
      </c>
      <c r="I118" s="3">
        <f>+Tabla2[[#This Row],[Meta MKPlace]]</f>
        <v>565454.85625058005</v>
      </c>
      <c r="J118" s="3">
        <v>1938792</v>
      </c>
      <c r="K118" s="3"/>
      <c r="L118" s="3">
        <v>18018.965517241377</v>
      </c>
      <c r="M118" s="3"/>
      <c r="N118" s="3">
        <v>42050</v>
      </c>
      <c r="O118" s="3"/>
      <c r="P118" s="3">
        <v>8072</v>
      </c>
      <c r="Q118" s="3"/>
      <c r="R118" s="3">
        <v>101687</v>
      </c>
      <c r="S118" s="3"/>
      <c r="T118" s="3">
        <v>321502</v>
      </c>
      <c r="U118" s="3"/>
      <c r="V118" s="3">
        <v>81927</v>
      </c>
      <c r="W118" s="3"/>
      <c r="X118" s="3">
        <v>14919</v>
      </c>
      <c r="Y118" s="3"/>
      <c r="Z118" s="3">
        <v>11625</v>
      </c>
      <c r="AA118" s="3"/>
      <c r="AB118" s="3">
        <v>0</v>
      </c>
      <c r="AC118" s="3"/>
      <c r="AD118" s="3">
        <v>0</v>
      </c>
      <c r="AE118" s="3"/>
      <c r="AF118" s="5">
        <f t="shared" si="34"/>
        <v>0</v>
      </c>
      <c r="AG118" s="4">
        <f t="shared" si="35"/>
        <v>0</v>
      </c>
      <c r="AH118" s="5">
        <f t="shared" si="36"/>
        <v>-3312999.9821810769</v>
      </c>
      <c r="AI118" s="17">
        <f t="shared" si="42"/>
        <v>-1</v>
      </c>
      <c r="AJ118" s="17">
        <f t="shared" si="43"/>
        <v>5.2314718693853068E-2</v>
      </c>
      <c r="AK118" s="14" t="e">
        <f t="shared" si="44"/>
        <v>#DIV/0!</v>
      </c>
      <c r="AL118" s="14">
        <f t="shared" si="45"/>
        <v>-1</v>
      </c>
      <c r="AO118" s="19">
        <f>+Tabla22[[#This Row],[Web + APP 2025]]+Tabla22[[#This Row],[Afiliados 2025]]+Tabla22[[#This Row],[TMK 2025]]+Tabla22[[#This Row],[WA 2025]]+Tabla22[[#This Row],[Ent. en Tienda 2025]]</f>
        <v>2108619.9655172415</v>
      </c>
      <c r="AP118" s="19">
        <f>+Tabla22[[#This Row],[Meli Drop 2025]]+Tabla22[[#This Row],[Meli Full 2025]]+Tabla22[[#This Row],[Amazon Drop 2025]]+Tabla22[[#This Row],[Amazon Full 2025]]+Tabla22[[#This Row],[TikTok 2025]]+Tabla22[[#This Row],[Shein 2025]]</f>
        <v>429973</v>
      </c>
    </row>
    <row r="119" spans="1:42" hidden="1" x14ac:dyDescent="0.3">
      <c r="A119" s="7">
        <v>45773</v>
      </c>
      <c r="B119" s="3">
        <f>+'BD MD'!B118</f>
        <v>42678504</v>
      </c>
      <c r="C119" s="3">
        <f t="shared" si="41"/>
        <v>2232713.931034483</v>
      </c>
      <c r="D119" s="4">
        <f t="shared" si="46"/>
        <v>2.6882287392434513E-2</v>
      </c>
      <c r="E119" s="3"/>
      <c r="F119" s="7">
        <v>46138</v>
      </c>
      <c r="G119" s="3">
        <f>+Tabla22[[#This Row],[Meta Digital]]+Tabla22[[#This Row],[Meta MKPlace]]</f>
        <v>2913811.4357870445</v>
      </c>
      <c r="H119" s="3">
        <f>+Tabla2[[#This Row],[Meta Digital]]</f>
        <v>2416489.119027006</v>
      </c>
      <c r="I119" s="3">
        <f>+Tabla2[[#This Row],[Meta MKPlace]]</f>
        <v>497322.31676003849</v>
      </c>
      <c r="J119" s="3">
        <v>1752638</v>
      </c>
      <c r="K119" s="3"/>
      <c r="L119" s="3">
        <v>19887.931034482754</v>
      </c>
      <c r="M119" s="3"/>
      <c r="N119" s="3">
        <v>25737</v>
      </c>
      <c r="O119" s="3"/>
      <c r="P119" s="3">
        <v>1459</v>
      </c>
      <c r="Q119" s="3"/>
      <c r="R119" s="3">
        <v>72841</v>
      </c>
      <c r="S119" s="3"/>
      <c r="T119" s="3">
        <v>250845</v>
      </c>
      <c r="U119" s="3"/>
      <c r="V119" s="3">
        <v>82494</v>
      </c>
      <c r="W119" s="3"/>
      <c r="X119" s="3">
        <v>16169</v>
      </c>
      <c r="Y119" s="3"/>
      <c r="Z119" s="3">
        <v>10643</v>
      </c>
      <c r="AA119" s="3"/>
      <c r="AB119" s="3">
        <v>0</v>
      </c>
      <c r="AC119" s="3"/>
      <c r="AD119" s="3">
        <v>0</v>
      </c>
      <c r="AE119" s="3"/>
      <c r="AF119" s="5">
        <f t="shared" si="34"/>
        <v>0</v>
      </c>
      <c r="AG119" s="4">
        <f t="shared" si="35"/>
        <v>0</v>
      </c>
      <c r="AH119" s="5">
        <f t="shared" si="36"/>
        <v>-2913811.4357870445</v>
      </c>
      <c r="AI119" s="17">
        <f t="shared" si="42"/>
        <v>-1</v>
      </c>
      <c r="AJ119" s="17">
        <f t="shared" si="43"/>
        <v>5.8724910411467227E-2</v>
      </c>
      <c r="AK119" s="14" t="e">
        <f t="shared" si="44"/>
        <v>#DIV/0!</v>
      </c>
      <c r="AL119" s="14">
        <f t="shared" si="45"/>
        <v>-1</v>
      </c>
      <c r="AO119" s="19">
        <f>+Tabla22[[#This Row],[Web + APP 2025]]+Tabla22[[#This Row],[Afiliados 2025]]+Tabla22[[#This Row],[TMK 2025]]+Tabla22[[#This Row],[WA 2025]]+Tabla22[[#This Row],[Ent. en Tienda 2025]]</f>
        <v>1872562.9310344828</v>
      </c>
      <c r="AP119" s="19">
        <f>+Tabla22[[#This Row],[Meli Drop 2025]]+Tabla22[[#This Row],[Meli Full 2025]]+Tabla22[[#This Row],[Amazon Drop 2025]]+Tabla22[[#This Row],[Amazon Full 2025]]+Tabla22[[#This Row],[TikTok 2025]]+Tabla22[[#This Row],[Shein 2025]]</f>
        <v>360151</v>
      </c>
    </row>
    <row r="120" spans="1:42" hidden="1" x14ac:dyDescent="0.3">
      <c r="A120" s="63">
        <v>45774</v>
      </c>
      <c r="B120" s="3">
        <f>+'BD MD'!B119</f>
        <v>41528560</v>
      </c>
      <c r="C120" s="3">
        <f t="shared" si="41"/>
        <v>2438760.9655172415</v>
      </c>
      <c r="D120" s="4">
        <f t="shared" si="46"/>
        <v>2.9363131678096309E-2</v>
      </c>
      <c r="E120" s="3"/>
      <c r="F120" s="7">
        <v>46139</v>
      </c>
      <c r="G120" s="3">
        <f>+Tabla22[[#This Row],[Meta Digital]]+Tabla22[[#This Row],[Meta MKPlace]]</f>
        <v>3182713.8675050633</v>
      </c>
      <c r="H120" s="3">
        <f>+Tabla2[[#This Row],[Meta Digital]]</f>
        <v>2639495.9314602814</v>
      </c>
      <c r="I120" s="3">
        <f>+Tabla2[[#This Row],[Meta MKPlace]]</f>
        <v>543217.9360447817</v>
      </c>
      <c r="J120" s="3">
        <v>1946010</v>
      </c>
      <c r="K120" s="3"/>
      <c r="L120" s="3">
        <v>18168.965517241377</v>
      </c>
      <c r="M120" s="3"/>
      <c r="N120" s="3">
        <v>19936</v>
      </c>
      <c r="O120" s="3"/>
      <c r="P120" s="3">
        <v>3572</v>
      </c>
      <c r="Q120" s="3"/>
      <c r="R120" s="3">
        <v>72272</v>
      </c>
      <c r="S120" s="3"/>
      <c r="T120" s="3">
        <v>273543</v>
      </c>
      <c r="U120" s="3"/>
      <c r="V120" s="3">
        <v>81092</v>
      </c>
      <c r="W120" s="3"/>
      <c r="X120" s="3">
        <v>16940</v>
      </c>
      <c r="Y120" s="3"/>
      <c r="Z120" s="3">
        <v>7227</v>
      </c>
      <c r="AA120" s="3"/>
      <c r="AB120" s="3">
        <v>0</v>
      </c>
      <c r="AC120" s="3"/>
      <c r="AD120" s="3">
        <v>0</v>
      </c>
      <c r="AE120" s="3"/>
      <c r="AF120" s="5">
        <f t="shared" si="34"/>
        <v>0</v>
      </c>
      <c r="AG120" s="4">
        <f t="shared" si="35"/>
        <v>0</v>
      </c>
      <c r="AH120" s="5">
        <f t="shared" si="36"/>
        <v>-3182713.8675050633</v>
      </c>
      <c r="AI120" s="17">
        <f t="shared" si="42"/>
        <v>-1</v>
      </c>
      <c r="AJ120" s="17">
        <f t="shared" si="43"/>
        <v>0.13060615931839281</v>
      </c>
      <c r="AK120" s="14" t="e">
        <f t="shared" si="44"/>
        <v>#DIV/0!</v>
      </c>
      <c r="AL120" s="14">
        <f t="shared" si="45"/>
        <v>-1</v>
      </c>
      <c r="AO120" s="19">
        <f>+Tabla22[[#This Row],[Web + APP 2025]]+Tabla22[[#This Row],[Afiliados 2025]]+Tabla22[[#This Row],[TMK 2025]]+Tabla22[[#This Row],[WA 2025]]+Tabla22[[#This Row],[Ent. en Tienda 2025]]</f>
        <v>2059958.9655172413</v>
      </c>
      <c r="AP120" s="19">
        <f>+Tabla22[[#This Row],[Meli Drop 2025]]+Tabla22[[#This Row],[Meli Full 2025]]+Tabla22[[#This Row],[Amazon Drop 2025]]+Tabla22[[#This Row],[Amazon Full 2025]]+Tabla22[[#This Row],[TikTok 2025]]+Tabla22[[#This Row],[Shein 2025]]</f>
        <v>378802</v>
      </c>
    </row>
    <row r="121" spans="1:42" hidden="1" x14ac:dyDescent="0.3">
      <c r="A121" s="7">
        <v>45775</v>
      </c>
      <c r="B121" s="3">
        <f>+'BD MD'!B120</f>
        <v>24509435</v>
      </c>
      <c r="C121" s="3">
        <f t="shared" si="41"/>
        <v>3201083.1724137929</v>
      </c>
      <c r="D121" s="4">
        <f t="shared" si="46"/>
        <v>3.8541631604386915E-2</v>
      </c>
      <c r="E121" s="3"/>
      <c r="F121" s="7">
        <v>46140</v>
      </c>
      <c r="G121" s="3">
        <f>+Tabla22[[#This Row],[Meta Digital]]+Tabla22[[#This Row],[Meta MKPlace]]</f>
        <v>4177585.236082233</v>
      </c>
      <c r="H121" s="3">
        <f>+Tabla2[[#This Row],[Meta Digital]]</f>
        <v>3464565.051401075</v>
      </c>
      <c r="I121" s="3">
        <f>+Tabla2[[#This Row],[Meta MKPlace]]</f>
        <v>713020.18468115793</v>
      </c>
      <c r="J121" s="3">
        <v>2632448</v>
      </c>
      <c r="K121" s="3"/>
      <c r="L121" s="3">
        <v>14455.172413793103</v>
      </c>
      <c r="M121" s="3"/>
      <c r="N121" s="3">
        <v>64714</v>
      </c>
      <c r="O121" s="3"/>
      <c r="P121" s="3">
        <v>9783</v>
      </c>
      <c r="Q121" s="3"/>
      <c r="R121" s="3">
        <v>89766</v>
      </c>
      <c r="S121" s="3"/>
      <c r="T121" s="3">
        <v>268976</v>
      </c>
      <c r="U121" s="3"/>
      <c r="V121" s="3">
        <v>80501</v>
      </c>
      <c r="W121" s="3"/>
      <c r="X121" s="3">
        <v>31107</v>
      </c>
      <c r="Y121" s="3"/>
      <c r="Z121" s="3">
        <v>9333</v>
      </c>
      <c r="AA121" s="3"/>
      <c r="AB121" s="3">
        <v>0</v>
      </c>
      <c r="AC121" s="3"/>
      <c r="AD121" s="3">
        <v>0</v>
      </c>
      <c r="AE121" s="3"/>
      <c r="AF121" s="5">
        <f t="shared" si="34"/>
        <v>0</v>
      </c>
      <c r="AG121" s="4">
        <f t="shared" si="35"/>
        <v>0</v>
      </c>
      <c r="AH121" s="5">
        <f t="shared" si="36"/>
        <v>-4177585.236082233</v>
      </c>
      <c r="AI121" s="17">
        <f t="shared" si="42"/>
        <v>-1</v>
      </c>
      <c r="AJ121" s="17">
        <f t="shared" si="43"/>
        <v>0.1332747093309751</v>
      </c>
      <c r="AK121" s="14" t="e">
        <f t="shared" si="44"/>
        <v>#DIV/0!</v>
      </c>
      <c r="AL121" s="14">
        <f t="shared" si="45"/>
        <v>-1</v>
      </c>
      <c r="AO121" s="19">
        <f>+Tabla22[[#This Row],[Web + APP 2025]]+Tabla22[[#This Row],[Afiliados 2025]]+Tabla22[[#This Row],[TMK 2025]]+Tabla22[[#This Row],[WA 2025]]+Tabla22[[#This Row],[Ent. en Tienda 2025]]</f>
        <v>2811166.1724137929</v>
      </c>
      <c r="AP121" s="19">
        <f>+Tabla22[[#This Row],[Meli Drop 2025]]+Tabla22[[#This Row],[Meli Full 2025]]+Tabla22[[#This Row],[Amazon Drop 2025]]+Tabla22[[#This Row],[Amazon Full 2025]]+Tabla22[[#This Row],[TikTok 2025]]+Tabla22[[#This Row],[Shein 2025]]</f>
        <v>389917</v>
      </c>
    </row>
    <row r="122" spans="1:42" hidden="1" x14ac:dyDescent="0.3">
      <c r="A122" s="63">
        <v>45776</v>
      </c>
      <c r="B122" s="3">
        <f>+'BD MD'!B121</f>
        <v>26524854</v>
      </c>
      <c r="C122" s="3">
        <f t="shared" si="41"/>
        <v>3535092.2068965519</v>
      </c>
      <c r="D122" s="4">
        <f t="shared" si="46"/>
        <v>4.2563161963394838E-2</v>
      </c>
      <c r="E122" s="3"/>
      <c r="F122" s="7">
        <v>46141</v>
      </c>
      <c r="G122" s="3">
        <f>+Tabla22[[#This Row],[Meta Digital]]+Tabla22[[#This Row],[Meta MKPlace]]</f>
        <v>4613484.9412814211</v>
      </c>
      <c r="H122" s="3">
        <f>+Tabla2[[#This Row],[Meta Digital]]</f>
        <v>3826066.4449586165</v>
      </c>
      <c r="I122" s="3">
        <f>+Tabla2[[#This Row],[Meta MKPlace]]</f>
        <v>787418.49632280448</v>
      </c>
      <c r="J122" s="3">
        <v>3065439</v>
      </c>
      <c r="K122" s="3"/>
      <c r="L122" s="3">
        <v>17661.206896551721</v>
      </c>
      <c r="M122" s="3"/>
      <c r="N122" s="3">
        <v>28804</v>
      </c>
      <c r="O122" s="3"/>
      <c r="P122" s="3">
        <v>996</v>
      </c>
      <c r="Q122" s="3"/>
      <c r="R122" s="3">
        <v>85432</v>
      </c>
      <c r="S122" s="3"/>
      <c r="T122" s="3">
        <v>243921</v>
      </c>
      <c r="U122" s="3"/>
      <c r="V122" s="3">
        <v>68863</v>
      </c>
      <c r="W122" s="3"/>
      <c r="X122" s="3">
        <v>14584</v>
      </c>
      <c r="Y122" s="3"/>
      <c r="Z122" s="3">
        <v>9392</v>
      </c>
      <c r="AA122" s="3"/>
      <c r="AB122" s="3">
        <v>0</v>
      </c>
      <c r="AC122" s="3"/>
      <c r="AD122" s="3">
        <v>0</v>
      </c>
      <c r="AE122" s="3"/>
      <c r="AF122" s="5">
        <f t="shared" si="34"/>
        <v>0</v>
      </c>
      <c r="AG122" s="4">
        <f t="shared" si="35"/>
        <v>0</v>
      </c>
      <c r="AH122" s="5">
        <f t="shared" si="36"/>
        <v>-4613484.9412814211</v>
      </c>
      <c r="AI122" s="17">
        <f t="shared" si="42"/>
        <v>-1</v>
      </c>
      <c r="AJ122" s="17">
        <f t="shared" si="43"/>
        <v>0.12699229170806989</v>
      </c>
      <c r="AK122" s="14" t="e">
        <f t="shared" si="44"/>
        <v>#DIV/0!</v>
      </c>
      <c r="AL122" s="14">
        <f t="shared" si="45"/>
        <v>-1</v>
      </c>
      <c r="AO122" s="19">
        <f>+Tabla22[[#This Row],[Web + APP 2025]]+Tabla22[[#This Row],[Afiliados 2025]]+Tabla22[[#This Row],[TMK 2025]]+Tabla22[[#This Row],[WA 2025]]+Tabla22[[#This Row],[Ent. en Tienda 2025]]</f>
        <v>3198332.2068965519</v>
      </c>
      <c r="AP122" s="19">
        <f>+Tabla22[[#This Row],[Meli Drop 2025]]+Tabla22[[#This Row],[Meli Full 2025]]+Tabla22[[#This Row],[Amazon Drop 2025]]+Tabla22[[#This Row],[Amazon Full 2025]]+Tabla22[[#This Row],[TikTok 2025]]+Tabla22[[#This Row],[Shein 2025]]</f>
        <v>336760</v>
      </c>
    </row>
    <row r="123" spans="1:42" hidden="1" x14ac:dyDescent="0.3">
      <c r="A123" s="7">
        <v>45777</v>
      </c>
      <c r="B123" s="3">
        <f>+'BD MD'!B122</f>
        <v>25819285</v>
      </c>
      <c r="C123" s="3">
        <f t="shared" si="41"/>
        <v>3278850.1724137929</v>
      </c>
      <c r="D123" s="4">
        <f t="shared" si="46"/>
        <v>3.9477960622891689E-2</v>
      </c>
      <c r="E123" s="3"/>
      <c r="F123" s="7">
        <v>46142</v>
      </c>
      <c r="G123" s="3">
        <f>+Tabla22[[#This Row],[Meta Digital]]+Tabla22[[#This Row],[Meta MKPlace]]</f>
        <v>4279075.3422607081</v>
      </c>
      <c r="H123" s="3">
        <f>+Tabla2[[#This Row],[Meta Digital]]</f>
        <v>3548733.070737212</v>
      </c>
      <c r="I123" s="3">
        <f>+Tabla2[[#This Row],[Meta MKPlace]]</f>
        <v>730342.27152349625</v>
      </c>
      <c r="J123" s="3">
        <v>2779622</v>
      </c>
      <c r="K123" s="3"/>
      <c r="L123" s="3">
        <v>15955.172413793105</v>
      </c>
      <c r="M123" s="3"/>
      <c r="N123" s="3">
        <v>51237</v>
      </c>
      <c r="O123" s="3"/>
      <c r="P123" s="3">
        <v>13462</v>
      </c>
      <c r="Q123" s="3"/>
      <c r="R123" s="3">
        <v>80785</v>
      </c>
      <c r="S123" s="3"/>
      <c r="T123" s="3">
        <v>259639</v>
      </c>
      <c r="U123" s="3"/>
      <c r="V123" s="3">
        <v>53075</v>
      </c>
      <c r="W123" s="3"/>
      <c r="X123" s="3">
        <v>18341</v>
      </c>
      <c r="Y123" s="3"/>
      <c r="Z123" s="3">
        <v>6734</v>
      </c>
      <c r="AA123" s="3"/>
      <c r="AB123" s="3">
        <v>0</v>
      </c>
      <c r="AC123" s="3"/>
      <c r="AD123" s="3">
        <v>0</v>
      </c>
      <c r="AE123" s="3"/>
      <c r="AF123" s="5">
        <f t="shared" si="34"/>
        <v>0</v>
      </c>
      <c r="AG123" s="4">
        <f t="shared" si="35"/>
        <v>0</v>
      </c>
      <c r="AH123" s="5">
        <f t="shared" si="36"/>
        <v>-4279075.3422607081</v>
      </c>
      <c r="AI123" s="17">
        <f t="shared" si="42"/>
        <v>-1</v>
      </c>
      <c r="AJ123" s="17">
        <f t="shared" si="43"/>
        <v>7.204909557017844E-2</v>
      </c>
      <c r="AK123" s="14" t="e">
        <f t="shared" si="44"/>
        <v>#DIV/0!</v>
      </c>
      <c r="AL123" s="14">
        <f t="shared" si="45"/>
        <v>-1</v>
      </c>
      <c r="AO123" s="19">
        <f>+Tabla22[[#This Row],[Web + APP 2025]]+Tabla22[[#This Row],[Afiliados 2025]]+Tabla22[[#This Row],[TMK 2025]]+Tabla22[[#This Row],[WA 2025]]+Tabla22[[#This Row],[Ent. en Tienda 2025]]</f>
        <v>2941061.1724137929</v>
      </c>
      <c r="AP123" s="19">
        <f>+Tabla22[[#This Row],[Meli Drop 2025]]+Tabla22[[#This Row],[Meli Full 2025]]+Tabla22[[#This Row],[Amazon Drop 2025]]+Tabla22[[#This Row],[Amazon Full 2025]]+Tabla22[[#This Row],[TikTok 2025]]+Tabla22[[#This Row],[Shein 2025]]</f>
        <v>337789</v>
      </c>
    </row>
    <row r="124" spans="1:42" hidden="1" x14ac:dyDescent="0.3">
      <c r="A124" s="63">
        <v>45778</v>
      </c>
      <c r="B124" s="3">
        <f>+'BD MD'!B123</f>
        <v>39998805</v>
      </c>
      <c r="C124" s="3">
        <f t="shared" si="41"/>
        <v>2881877.7241379311</v>
      </c>
      <c r="D124" s="4">
        <f>+C124/(SUM($C$124:$C$154))</f>
        <v>2.6996729414422931E-2</v>
      </c>
      <c r="E124" s="3"/>
      <c r="F124" s="7">
        <v>46143</v>
      </c>
      <c r="G124" s="3">
        <f>+Tabla22[[#This Row],[Meta Digital]]+Tabla22[[#This Row],[Meta MKPlace]]</f>
        <v>3759995.0962186973</v>
      </c>
      <c r="H124" s="3">
        <f>+Tabla2[[#This Row],[Meta Digital]]</f>
        <v>2941994.1949616824</v>
      </c>
      <c r="I124" s="3">
        <f>+Tabla2[[#This Row],[Meta MKPlace]]</f>
        <v>818000.90125701483</v>
      </c>
      <c r="J124" s="3">
        <v>2265014</v>
      </c>
      <c r="K124" s="3"/>
      <c r="L124" s="3">
        <v>19726.724137931029</v>
      </c>
      <c r="M124" s="3"/>
      <c r="N124" s="3">
        <v>14608</v>
      </c>
      <c r="O124" s="3"/>
      <c r="P124" s="3">
        <v>195</v>
      </c>
      <c r="Q124" s="3"/>
      <c r="R124" s="3">
        <v>107730</v>
      </c>
      <c r="S124" s="3"/>
      <c r="T124" s="3">
        <v>402948</v>
      </c>
      <c r="U124" s="3"/>
      <c r="V124" s="3">
        <v>54211</v>
      </c>
      <c r="W124" s="3"/>
      <c r="X124" s="3">
        <v>12681</v>
      </c>
      <c r="Y124" s="3"/>
      <c r="Z124" s="3">
        <v>4764</v>
      </c>
      <c r="AA124" s="3"/>
      <c r="AB124" s="3">
        <v>0</v>
      </c>
      <c r="AC124" s="3"/>
      <c r="AD124" s="3">
        <v>0</v>
      </c>
      <c r="AE124" s="3"/>
      <c r="AF124" s="5">
        <f t="shared" si="34"/>
        <v>0</v>
      </c>
      <c r="AG124" s="4">
        <f t="shared" si="35"/>
        <v>0</v>
      </c>
      <c r="AH124" s="5">
        <f t="shared" si="36"/>
        <v>-3759995.0962186973</v>
      </c>
      <c r="AI124" s="17">
        <f t="shared" si="42"/>
        <v>-1</v>
      </c>
      <c r="AJ124" s="17">
        <f t="shared" si="43"/>
        <v>8.7612641734284111E-2</v>
      </c>
      <c r="AK124" s="14" t="e">
        <f t="shared" si="44"/>
        <v>#DIV/0!</v>
      </c>
      <c r="AL124" s="14">
        <f t="shared" si="45"/>
        <v>-1</v>
      </c>
      <c r="AO124" s="19">
        <f>+Tabla22[[#This Row],[Web + APP 2025]]+Tabla22[[#This Row],[Afiliados 2025]]+Tabla22[[#This Row],[TMK 2025]]+Tabla22[[#This Row],[WA 2025]]+Tabla22[[#This Row],[Ent. en Tienda 2025]]</f>
        <v>2407273.7241379311</v>
      </c>
      <c r="AP124" s="19">
        <f>+Tabla22[[#This Row],[Meli Drop 2025]]+Tabla22[[#This Row],[Meli Full 2025]]+Tabla22[[#This Row],[Amazon Drop 2025]]+Tabla22[[#This Row],[Amazon Full 2025]]+Tabla22[[#This Row],[TikTok 2025]]+Tabla22[[#This Row],[Shein 2025]]</f>
        <v>474604</v>
      </c>
    </row>
    <row r="125" spans="1:42" hidden="1" x14ac:dyDescent="0.3">
      <c r="A125" s="7">
        <v>45779</v>
      </c>
      <c r="B125" s="3">
        <f>+'BD MD'!B124</f>
        <v>34113604</v>
      </c>
      <c r="C125" s="3">
        <f t="shared" si="41"/>
        <v>2988782.9655172415</v>
      </c>
      <c r="D125" s="4">
        <f t="shared" ref="D125:D154" si="47">+C125/(SUM($C$124:$C$154))</f>
        <v>2.7998191707679716E-2</v>
      </c>
      <c r="E125" s="3"/>
      <c r="F125" s="7">
        <v>46144</v>
      </c>
      <c r="G125" s="3">
        <f>+Tabla22[[#This Row],[Meta Digital]]+Tabla22[[#This Row],[Meta MKPlace]]</f>
        <v>3899474.7070222832</v>
      </c>
      <c r="H125" s="3">
        <f>+Tabla2[[#This Row],[Meta Digital]]</f>
        <v>3051129.4982795878</v>
      </c>
      <c r="I125" s="3">
        <f>+Tabla2[[#This Row],[Meta MKPlace]]</f>
        <v>848345.20874269539</v>
      </c>
      <c r="J125" s="3">
        <v>2379275</v>
      </c>
      <c r="K125" s="3"/>
      <c r="L125" s="3">
        <v>17493.965517241377</v>
      </c>
      <c r="M125" s="3"/>
      <c r="N125" s="3">
        <v>63530</v>
      </c>
      <c r="O125" s="3"/>
      <c r="P125" s="3">
        <v>10847</v>
      </c>
      <c r="Q125" s="3"/>
      <c r="R125" s="3">
        <v>83416</v>
      </c>
      <c r="S125" s="3"/>
      <c r="T125" s="3">
        <v>355472</v>
      </c>
      <c r="U125" s="3"/>
      <c r="V125" s="3">
        <v>50730</v>
      </c>
      <c r="W125" s="3"/>
      <c r="X125" s="3">
        <v>19076</v>
      </c>
      <c r="Y125" s="3"/>
      <c r="Z125" s="3">
        <v>8943</v>
      </c>
      <c r="AA125" s="3"/>
      <c r="AB125" s="3">
        <v>0</v>
      </c>
      <c r="AC125" s="3"/>
      <c r="AD125" s="3">
        <v>0</v>
      </c>
      <c r="AE125" s="3"/>
      <c r="AF125" s="5">
        <f t="shared" si="34"/>
        <v>0</v>
      </c>
      <c r="AG125" s="4">
        <f t="shared" si="35"/>
        <v>0</v>
      </c>
      <c r="AH125" s="5">
        <f t="shared" si="36"/>
        <v>-3899474.7070222832</v>
      </c>
      <c r="AI125" s="17">
        <f t="shared" si="42"/>
        <v>-1</v>
      </c>
      <c r="AJ125" s="17">
        <f t="shared" si="43"/>
        <v>6.0562736093113974E-2</v>
      </c>
      <c r="AK125" s="14" t="e">
        <f t="shared" si="44"/>
        <v>#DIV/0!</v>
      </c>
      <c r="AL125" s="14">
        <f t="shared" si="45"/>
        <v>-1</v>
      </c>
      <c r="AO125" s="19">
        <f>+Tabla22[[#This Row],[Web + APP 2025]]+Tabla22[[#This Row],[Afiliados 2025]]+Tabla22[[#This Row],[TMK 2025]]+Tabla22[[#This Row],[WA 2025]]+Tabla22[[#This Row],[Ent. en Tienda 2025]]</f>
        <v>2554561.9655172415</v>
      </c>
      <c r="AP125" s="19">
        <f>+Tabla22[[#This Row],[Meli Drop 2025]]+Tabla22[[#This Row],[Meli Full 2025]]+Tabla22[[#This Row],[Amazon Drop 2025]]+Tabla22[[#This Row],[Amazon Full 2025]]+Tabla22[[#This Row],[TikTok 2025]]+Tabla22[[#This Row],[Shein 2025]]</f>
        <v>434221</v>
      </c>
    </row>
    <row r="126" spans="1:42" hidden="1" x14ac:dyDescent="0.3">
      <c r="A126" s="63">
        <v>45780</v>
      </c>
      <c r="B126" s="3">
        <f>+'BD MD'!B125</f>
        <v>37655000</v>
      </c>
      <c r="C126" s="3">
        <f t="shared" si="41"/>
        <v>2280489.8275862066</v>
      </c>
      <c r="D126" s="4">
        <f t="shared" si="47"/>
        <v>2.136307390560967E-2</v>
      </c>
      <c r="E126" s="3"/>
      <c r="F126" s="7">
        <v>46145</v>
      </c>
      <c r="G126" s="3">
        <f>+Tabla22[[#This Row],[Meta Digital]]+Tabla22[[#This Row],[Meta MKPlace]]</f>
        <v>2975362.3815756189</v>
      </c>
      <c r="H126" s="3">
        <f>+Tabla2[[#This Row],[Meta Digital]]</f>
        <v>2328061.2422356457</v>
      </c>
      <c r="I126" s="3">
        <f>+Tabla2[[#This Row],[Meta MKPlace]]</f>
        <v>647301.13933997299</v>
      </c>
      <c r="J126" s="3">
        <v>1689171</v>
      </c>
      <c r="K126" s="3"/>
      <c r="L126" s="3">
        <v>20994.827586206891</v>
      </c>
      <c r="M126" s="3"/>
      <c r="N126" s="3">
        <v>23268</v>
      </c>
      <c r="O126" s="3"/>
      <c r="P126" s="3">
        <v>3184</v>
      </c>
      <c r="Q126" s="3"/>
      <c r="R126" s="3">
        <v>72034</v>
      </c>
      <c r="S126" s="3"/>
      <c r="T126" s="3">
        <v>398776</v>
      </c>
      <c r="U126" s="3"/>
      <c r="V126" s="3">
        <v>45043</v>
      </c>
      <c r="W126" s="3"/>
      <c r="X126" s="3">
        <v>18901</v>
      </c>
      <c r="Y126" s="3"/>
      <c r="Z126" s="3">
        <v>9118</v>
      </c>
      <c r="AA126" s="3"/>
      <c r="AB126" s="3">
        <v>0</v>
      </c>
      <c r="AC126" s="3"/>
      <c r="AD126" s="3">
        <v>0</v>
      </c>
      <c r="AE126" s="3"/>
      <c r="AF126" s="5">
        <f t="shared" si="34"/>
        <v>0</v>
      </c>
      <c r="AG126" s="4">
        <f t="shared" si="35"/>
        <v>0</v>
      </c>
      <c r="AH126" s="5">
        <f t="shared" si="36"/>
        <v>-2975362.3815756189</v>
      </c>
      <c r="AI126" s="17">
        <f t="shared" si="42"/>
        <v>-1</v>
      </c>
      <c r="AJ126" s="17">
        <f t="shared" si="43"/>
        <v>7.6017906486939651E-2</v>
      </c>
      <c r="AK126" s="14" t="e">
        <f t="shared" si="44"/>
        <v>#DIV/0!</v>
      </c>
      <c r="AL126" s="14">
        <f t="shared" si="45"/>
        <v>-1</v>
      </c>
      <c r="AO126" s="19">
        <f>+Tabla22[[#This Row],[Web + APP 2025]]+Tabla22[[#This Row],[Afiliados 2025]]+Tabla22[[#This Row],[TMK 2025]]+Tabla22[[#This Row],[WA 2025]]+Tabla22[[#This Row],[Ent. en Tienda 2025]]</f>
        <v>1808651.8275862068</v>
      </c>
      <c r="AP126" s="19">
        <f>+Tabla22[[#This Row],[Meli Drop 2025]]+Tabla22[[#This Row],[Meli Full 2025]]+Tabla22[[#This Row],[Amazon Drop 2025]]+Tabla22[[#This Row],[Amazon Full 2025]]+Tabla22[[#This Row],[TikTok 2025]]+Tabla22[[#This Row],[Shein 2025]]</f>
        <v>471838</v>
      </c>
    </row>
    <row r="127" spans="1:42" hidden="1" x14ac:dyDescent="0.3">
      <c r="A127" s="7">
        <v>45781</v>
      </c>
      <c r="B127" s="3">
        <f>+'BD MD'!B126</f>
        <v>39231400</v>
      </c>
      <c r="C127" s="3">
        <f t="shared" si="41"/>
        <v>2982288.8965517241</v>
      </c>
      <c r="D127" s="4">
        <f t="shared" si="47"/>
        <v>2.7937356849492553E-2</v>
      </c>
      <c r="E127" s="3"/>
      <c r="F127" s="7">
        <v>46146</v>
      </c>
      <c r="G127" s="3">
        <f>+Tabla22[[#This Row],[Meta Digital]]+Tabla22[[#This Row],[Meta MKPlace]]</f>
        <v>3891001.8744449904</v>
      </c>
      <c r="H127" s="3">
        <f>+Tabla2[[#This Row],[Meta Digital]]</f>
        <v>3044499.9619053658</v>
      </c>
      <c r="I127" s="3">
        <f>+Tabla2[[#This Row],[Meta MKPlace]]</f>
        <v>846501.91253962438</v>
      </c>
      <c r="J127" s="3">
        <v>2360873</v>
      </c>
      <c r="K127" s="3"/>
      <c r="L127" s="3">
        <v>20781.896551724134</v>
      </c>
      <c r="M127" s="3"/>
      <c r="N127" s="3">
        <v>21236</v>
      </c>
      <c r="O127" s="3"/>
      <c r="P127" s="3">
        <v>2543</v>
      </c>
      <c r="Q127" s="3"/>
      <c r="R127" s="3">
        <v>57471</v>
      </c>
      <c r="S127" s="3"/>
      <c r="T127" s="3">
        <v>451270</v>
      </c>
      <c r="U127" s="3"/>
      <c r="V127" s="3">
        <v>37594</v>
      </c>
      <c r="W127" s="3"/>
      <c r="X127" s="3">
        <v>17703</v>
      </c>
      <c r="Y127" s="3"/>
      <c r="Z127" s="3">
        <v>12817</v>
      </c>
      <c r="AA127" s="3"/>
      <c r="AB127" s="3">
        <v>0</v>
      </c>
      <c r="AC127" s="3"/>
      <c r="AD127" s="3">
        <v>0</v>
      </c>
      <c r="AE127" s="3"/>
      <c r="AF127" s="5">
        <f t="shared" si="34"/>
        <v>0</v>
      </c>
      <c r="AG127" s="4">
        <f t="shared" si="35"/>
        <v>0</v>
      </c>
      <c r="AH127" s="5">
        <f t="shared" si="36"/>
        <v>-3891001.8744449904</v>
      </c>
      <c r="AI127" s="17">
        <f t="shared" si="42"/>
        <v>-1</v>
      </c>
      <c r="AJ127" s="17">
        <f t="shared" si="43"/>
        <v>0.12858113954638481</v>
      </c>
      <c r="AK127" s="14" t="e">
        <f t="shared" si="44"/>
        <v>#DIV/0!</v>
      </c>
      <c r="AL127" s="14">
        <f t="shared" si="45"/>
        <v>-1</v>
      </c>
      <c r="AO127" s="19">
        <f>+Tabla22[[#This Row],[Web + APP 2025]]+Tabla22[[#This Row],[Afiliados 2025]]+Tabla22[[#This Row],[TMK 2025]]+Tabla22[[#This Row],[WA 2025]]+Tabla22[[#This Row],[Ent. en Tienda 2025]]</f>
        <v>2462904.8965517241</v>
      </c>
      <c r="AP127" s="19">
        <f>+Tabla22[[#This Row],[Meli Drop 2025]]+Tabla22[[#This Row],[Meli Full 2025]]+Tabla22[[#This Row],[Amazon Drop 2025]]+Tabla22[[#This Row],[Amazon Full 2025]]+Tabla22[[#This Row],[TikTok 2025]]+Tabla22[[#This Row],[Shein 2025]]</f>
        <v>519384</v>
      </c>
    </row>
    <row r="128" spans="1:42" hidden="1" x14ac:dyDescent="0.3">
      <c r="A128" s="63">
        <v>45782</v>
      </c>
      <c r="B128" s="3">
        <f>+'BD MD'!B127</f>
        <v>35100553</v>
      </c>
      <c r="C128" s="3">
        <f t="shared" si="41"/>
        <v>4513269.1034482755</v>
      </c>
      <c r="D128" s="4">
        <f t="shared" si="47"/>
        <v>4.2279206969725217E-2</v>
      </c>
      <c r="E128" s="3"/>
      <c r="F128" s="7">
        <v>46147</v>
      </c>
      <c r="G128" s="3">
        <f>+Tabla22[[#This Row],[Meta Digital]]+Tabla22[[#This Row],[Meta MKPlace]]</f>
        <v>5888476.6535183731</v>
      </c>
      <c r="H128" s="3">
        <f>+Tabla2[[#This Row],[Meta Digital]]</f>
        <v>4607416.682335699</v>
      </c>
      <c r="I128" s="3">
        <f>+Tabla2[[#This Row],[Meta MKPlace]]</f>
        <v>1281059.9711826742</v>
      </c>
      <c r="J128" s="3">
        <v>3556029</v>
      </c>
      <c r="K128" s="3"/>
      <c r="L128" s="3">
        <v>14493.103448275862</v>
      </c>
      <c r="M128" s="3"/>
      <c r="N128" s="3">
        <v>86421</v>
      </c>
      <c r="O128" s="3"/>
      <c r="P128" s="3">
        <v>8958</v>
      </c>
      <c r="Q128" s="3"/>
      <c r="R128" s="3">
        <v>100498</v>
      </c>
      <c r="S128" s="3"/>
      <c r="T128" s="3">
        <v>625936</v>
      </c>
      <c r="U128" s="3"/>
      <c r="V128" s="3">
        <v>72774</v>
      </c>
      <c r="W128" s="3"/>
      <c r="X128" s="3">
        <v>35858</v>
      </c>
      <c r="Y128" s="3"/>
      <c r="Z128" s="3">
        <v>12302</v>
      </c>
      <c r="AA128" s="3"/>
      <c r="AB128" s="3">
        <v>0</v>
      </c>
      <c r="AC128" s="3"/>
      <c r="AD128" s="3">
        <v>0</v>
      </c>
      <c r="AE128" s="3"/>
      <c r="AF128" s="5">
        <f t="shared" si="34"/>
        <v>0</v>
      </c>
      <c r="AG128" s="4">
        <f t="shared" si="35"/>
        <v>0</v>
      </c>
      <c r="AH128" s="5">
        <f t="shared" si="36"/>
        <v>-5888476.6535183731</v>
      </c>
      <c r="AI128" s="17">
        <f t="shared" si="42"/>
        <v>-1</v>
      </c>
      <c r="AJ128" s="17">
        <f t="shared" si="43"/>
        <v>0.14545555513204889</v>
      </c>
      <c r="AK128" s="14" t="e">
        <f t="shared" si="44"/>
        <v>#DIV/0!</v>
      </c>
      <c r="AL128" s="14">
        <f t="shared" si="45"/>
        <v>-1</v>
      </c>
      <c r="AO128" s="19">
        <f>+Tabla22[[#This Row],[Web + APP 2025]]+Tabla22[[#This Row],[Afiliados 2025]]+Tabla22[[#This Row],[TMK 2025]]+Tabla22[[#This Row],[WA 2025]]+Tabla22[[#This Row],[Ent. en Tienda 2025]]</f>
        <v>3766399.1034482759</v>
      </c>
      <c r="AP128" s="19">
        <f>+Tabla22[[#This Row],[Meli Drop 2025]]+Tabla22[[#This Row],[Meli Full 2025]]+Tabla22[[#This Row],[Amazon Drop 2025]]+Tabla22[[#This Row],[Amazon Full 2025]]+Tabla22[[#This Row],[TikTok 2025]]+Tabla22[[#This Row],[Shein 2025]]</f>
        <v>746870</v>
      </c>
    </row>
    <row r="129" spans="1:42" hidden="1" x14ac:dyDescent="0.3">
      <c r="A129" s="7">
        <v>45783</v>
      </c>
      <c r="B129" s="3">
        <f>+'BD MD'!B128</f>
        <v>33135134</v>
      </c>
      <c r="C129" s="3">
        <f t="shared" si="41"/>
        <v>4819689.3103448274</v>
      </c>
      <c r="D129" s="4">
        <f t="shared" si="47"/>
        <v>4.514967692180212E-2</v>
      </c>
      <c r="E129" s="3"/>
      <c r="F129" s="7">
        <v>46148</v>
      </c>
      <c r="G129" s="3">
        <f>+Tabla22[[#This Row],[Meta Digital]]+Tabla22[[#This Row],[Meta MKPlace]]</f>
        <v>6288264.0788013097</v>
      </c>
      <c r="H129" s="3">
        <f>+Tabla2[[#This Row],[Meta Digital]]</f>
        <v>4920228.8680707058</v>
      </c>
      <c r="I129" s="3">
        <f>+Tabla2[[#This Row],[Meta MKPlace]]</f>
        <v>1368035.2107306044</v>
      </c>
      <c r="J129" s="3">
        <v>3803392</v>
      </c>
      <c r="K129" s="3"/>
      <c r="L129" s="3">
        <v>19229.310344827587</v>
      </c>
      <c r="M129" s="3"/>
      <c r="N129" s="3">
        <v>89988</v>
      </c>
      <c r="O129" s="3"/>
      <c r="P129" s="3">
        <v>20578</v>
      </c>
      <c r="Q129" s="3"/>
      <c r="R129" s="3">
        <v>75155</v>
      </c>
      <c r="S129" s="3"/>
      <c r="T129" s="3">
        <v>719475</v>
      </c>
      <c r="U129" s="3"/>
      <c r="V129" s="3">
        <v>54500</v>
      </c>
      <c r="W129" s="3"/>
      <c r="X129" s="3">
        <v>28166</v>
      </c>
      <c r="Y129" s="3"/>
      <c r="Z129" s="3">
        <v>9206</v>
      </c>
      <c r="AA129" s="3"/>
      <c r="AB129" s="3">
        <v>0</v>
      </c>
      <c r="AC129" s="3"/>
      <c r="AD129" s="3">
        <v>0</v>
      </c>
      <c r="AE129" s="3"/>
      <c r="AF129" s="5">
        <f t="shared" si="34"/>
        <v>0</v>
      </c>
      <c r="AG129" s="4">
        <f t="shared" si="35"/>
        <v>0</v>
      </c>
      <c r="AH129" s="5">
        <f t="shared" si="36"/>
        <v>-6288264.0788013097</v>
      </c>
      <c r="AI129" s="17">
        <f t="shared" si="42"/>
        <v>-1</v>
      </c>
      <c r="AJ129" s="17">
        <f t="shared" si="43"/>
        <v>0.10683371178980762</v>
      </c>
      <c r="AK129" s="14" t="e">
        <f t="shared" si="44"/>
        <v>#DIV/0!</v>
      </c>
      <c r="AL129" s="14">
        <f t="shared" si="45"/>
        <v>-1</v>
      </c>
      <c r="AO129" s="19">
        <f>+Tabla22[[#This Row],[Web + APP 2025]]+Tabla22[[#This Row],[Afiliados 2025]]+Tabla22[[#This Row],[TMK 2025]]+Tabla22[[#This Row],[WA 2025]]+Tabla22[[#This Row],[Ent. en Tienda 2025]]</f>
        <v>4008342.3103448274</v>
      </c>
      <c r="AP129" s="19">
        <f>+Tabla22[[#This Row],[Meli Drop 2025]]+Tabla22[[#This Row],[Meli Full 2025]]+Tabla22[[#This Row],[Amazon Drop 2025]]+Tabla22[[#This Row],[Amazon Full 2025]]+Tabla22[[#This Row],[TikTok 2025]]+Tabla22[[#This Row],[Shein 2025]]</f>
        <v>811347</v>
      </c>
    </row>
    <row r="130" spans="1:42" hidden="1" x14ac:dyDescent="0.3">
      <c r="A130" s="63">
        <v>45784</v>
      </c>
      <c r="B130" s="3">
        <f>+'BD MD'!B129</f>
        <v>39489714</v>
      </c>
      <c r="C130" s="3">
        <f t="shared" si="41"/>
        <v>4218832.7241379311</v>
      </c>
      <c r="D130" s="4">
        <f t="shared" si="47"/>
        <v>3.9520998599041651E-2</v>
      </c>
      <c r="E130" s="3"/>
      <c r="F130" s="7">
        <v>46149</v>
      </c>
      <c r="G130" s="3">
        <f>+Tabla22[[#This Row],[Meta Digital]]+Tabla22[[#This Row],[Meta MKPlace]]</f>
        <v>5504324.5664667115</v>
      </c>
      <c r="H130" s="3">
        <f>+Tabla2[[#This Row],[Meta Digital]]</f>
        <v>4306838.3089157492</v>
      </c>
      <c r="I130" s="3">
        <f>+Tabla2[[#This Row],[Meta MKPlace]]</f>
        <v>1197486.257550962</v>
      </c>
      <c r="J130" s="3">
        <v>3212527</v>
      </c>
      <c r="K130" s="3"/>
      <c r="L130" s="3">
        <v>17851.724137931036</v>
      </c>
      <c r="M130" s="3"/>
      <c r="N130" s="3">
        <v>61190</v>
      </c>
      <c r="O130" s="3"/>
      <c r="P130" s="3">
        <v>12303</v>
      </c>
      <c r="Q130" s="3"/>
      <c r="R130" s="3">
        <v>116730</v>
      </c>
      <c r="S130" s="3"/>
      <c r="T130" s="3">
        <v>705144</v>
      </c>
      <c r="U130" s="3"/>
      <c r="V130" s="3">
        <v>60042</v>
      </c>
      <c r="W130" s="3"/>
      <c r="X130" s="3">
        <v>17079</v>
      </c>
      <c r="Y130" s="3"/>
      <c r="Z130" s="3">
        <v>15966</v>
      </c>
      <c r="AA130" s="3"/>
      <c r="AB130" s="3">
        <v>0</v>
      </c>
      <c r="AC130" s="3"/>
      <c r="AD130" s="3">
        <v>0</v>
      </c>
      <c r="AE130" s="3"/>
      <c r="AF130" s="5">
        <f t="shared" si="34"/>
        <v>0</v>
      </c>
      <c r="AG130" s="4">
        <f t="shared" si="35"/>
        <v>0</v>
      </c>
      <c r="AH130" s="5">
        <f t="shared" si="36"/>
        <v>-5504324.5664667115</v>
      </c>
      <c r="AI130" s="17">
        <f t="shared" si="42"/>
        <v>-1</v>
      </c>
      <c r="AJ130" s="17">
        <f t="shared" si="43"/>
        <v>6.3974320960575398E-2</v>
      </c>
      <c r="AK130" s="14" t="e">
        <f t="shared" si="44"/>
        <v>#DIV/0!</v>
      </c>
      <c r="AL130" s="14">
        <f t="shared" si="45"/>
        <v>-1</v>
      </c>
      <c r="AO130" s="19">
        <f>+Tabla22[[#This Row],[Web + APP 2025]]+Tabla22[[#This Row],[Afiliados 2025]]+Tabla22[[#This Row],[TMK 2025]]+Tabla22[[#This Row],[WA 2025]]+Tabla22[[#This Row],[Ent. en Tienda 2025]]</f>
        <v>3420601.7241379311</v>
      </c>
      <c r="AP130" s="19">
        <f>+Tabla22[[#This Row],[Meli Drop 2025]]+Tabla22[[#This Row],[Meli Full 2025]]+Tabla22[[#This Row],[Amazon Drop 2025]]+Tabla22[[#This Row],[Amazon Full 2025]]+Tabla22[[#This Row],[TikTok 2025]]+Tabla22[[#This Row],[Shein 2025]]</f>
        <v>798231</v>
      </c>
    </row>
    <row r="131" spans="1:42" hidden="1" x14ac:dyDescent="0.3">
      <c r="A131" s="7">
        <v>45785</v>
      </c>
      <c r="B131" s="3">
        <f>+'BD MD'!B130</f>
        <v>45546209</v>
      </c>
      <c r="C131" s="3">
        <f t="shared" si="41"/>
        <v>2913787.7931034481</v>
      </c>
      <c r="D131" s="4">
        <f t="shared" si="47"/>
        <v>2.729565517738719E-2</v>
      </c>
      <c r="E131" s="3"/>
      <c r="F131" s="7">
        <v>46150</v>
      </c>
      <c r="G131" s="3">
        <f>+Tabla22[[#This Row],[Meta Digital]]+Tabla22[[#This Row],[Meta MKPlace]]</f>
        <v>3801628.2653935738</v>
      </c>
      <c r="H131" s="3">
        <f>+Tabla2[[#This Row],[Meta Digital]]</f>
        <v>2974569.9135187422</v>
      </c>
      <c r="I131" s="3">
        <f>+Tabla2[[#This Row],[Meta MKPlace]]</f>
        <v>827058.35187483183</v>
      </c>
      <c r="J131" s="3">
        <v>2020027</v>
      </c>
      <c r="K131" s="3"/>
      <c r="L131" s="3">
        <v>18313.793103448275</v>
      </c>
      <c r="M131" s="3"/>
      <c r="N131" s="3">
        <v>30809</v>
      </c>
      <c r="O131" s="3"/>
      <c r="P131" s="3">
        <v>14752</v>
      </c>
      <c r="Q131" s="3"/>
      <c r="R131" s="3">
        <v>72647</v>
      </c>
      <c r="S131" s="3"/>
      <c r="T131" s="3">
        <v>653374</v>
      </c>
      <c r="U131" s="3"/>
      <c r="V131" s="3">
        <v>69136</v>
      </c>
      <c r="W131" s="3"/>
      <c r="X131" s="3">
        <v>20501</v>
      </c>
      <c r="Y131" s="3"/>
      <c r="Z131" s="3">
        <v>14228</v>
      </c>
      <c r="AA131" s="3"/>
      <c r="AB131" s="3">
        <v>0</v>
      </c>
      <c r="AC131" s="3"/>
      <c r="AD131" s="3">
        <v>0</v>
      </c>
      <c r="AE131" s="3"/>
      <c r="AF131" s="5">
        <f t="shared" si="34"/>
        <v>0</v>
      </c>
      <c r="AG131" s="4">
        <f t="shared" si="35"/>
        <v>0</v>
      </c>
      <c r="AH131" s="5">
        <f t="shared" si="36"/>
        <v>-3801628.2653935738</v>
      </c>
      <c r="AI131" s="17">
        <f t="shared" si="42"/>
        <v>-1</v>
      </c>
      <c r="AJ131" s="17">
        <f t="shared" si="43"/>
        <v>4.1215687266700135E-2</v>
      </c>
      <c r="AK131" s="14" t="e">
        <f t="shared" si="44"/>
        <v>#DIV/0!</v>
      </c>
      <c r="AL131" s="14">
        <f t="shared" si="45"/>
        <v>-1</v>
      </c>
      <c r="AO131" s="19">
        <f>+Tabla22[[#This Row],[Web + APP 2025]]+Tabla22[[#This Row],[Afiliados 2025]]+Tabla22[[#This Row],[TMK 2025]]+Tabla22[[#This Row],[WA 2025]]+Tabla22[[#This Row],[Ent. en Tienda 2025]]</f>
        <v>2156548.7931034481</v>
      </c>
      <c r="AP131" s="19">
        <f>+Tabla22[[#This Row],[Meli Drop 2025]]+Tabla22[[#This Row],[Meli Full 2025]]+Tabla22[[#This Row],[Amazon Drop 2025]]+Tabla22[[#This Row],[Amazon Full 2025]]+Tabla22[[#This Row],[TikTok 2025]]+Tabla22[[#This Row],[Shein 2025]]</f>
        <v>757239</v>
      </c>
    </row>
    <row r="132" spans="1:42" hidden="1" x14ac:dyDescent="0.3">
      <c r="A132" s="63">
        <v>45786</v>
      </c>
      <c r="B132" s="3">
        <f>+'BD MD'!B131</f>
        <v>51077737</v>
      </c>
      <c r="C132" s="3">
        <f t="shared" si="41"/>
        <v>2105204.0344827585</v>
      </c>
      <c r="D132" s="4">
        <f t="shared" si="47"/>
        <v>1.9721039239471345E-2</v>
      </c>
      <c r="E132" s="3"/>
      <c r="F132" s="7">
        <v>46151</v>
      </c>
      <c r="G132" s="3">
        <f>+Tabla22[[#This Row],[Meta Digital]]+Tabla22[[#This Row],[Meta MKPlace]]</f>
        <v>2746666.4459411809</v>
      </c>
      <c r="H132" s="3">
        <f>+Tabla2[[#This Row],[Meta Digital]]</f>
        <v>2149118.9569851989</v>
      </c>
      <c r="I132" s="3">
        <f>+Tabla2[[#This Row],[Meta MKPlace]]</f>
        <v>597547.4889559818</v>
      </c>
      <c r="J132" s="3">
        <v>1388636</v>
      </c>
      <c r="K132" s="3"/>
      <c r="L132" s="3">
        <v>19131.03448275862</v>
      </c>
      <c r="M132" s="3"/>
      <c r="N132" s="3">
        <v>16561</v>
      </c>
      <c r="O132" s="3"/>
      <c r="P132" s="3">
        <v>4452</v>
      </c>
      <c r="Q132" s="3"/>
      <c r="R132" s="3">
        <v>114101</v>
      </c>
      <c r="S132" s="3"/>
      <c r="T132" s="3">
        <v>495524</v>
      </c>
      <c r="U132" s="3"/>
      <c r="V132" s="3">
        <v>50019</v>
      </c>
      <c r="W132" s="3"/>
      <c r="X132" s="3">
        <v>9383</v>
      </c>
      <c r="Y132" s="3"/>
      <c r="Z132" s="3">
        <v>7397</v>
      </c>
      <c r="AA132" s="3"/>
      <c r="AB132" s="3">
        <v>0</v>
      </c>
      <c r="AC132" s="3"/>
      <c r="AD132" s="3">
        <v>0</v>
      </c>
      <c r="AE132" s="3"/>
      <c r="AF132" s="5">
        <f t="shared" ref="AF132:AF195" si="48">+AE132+AC132+AA132+Y132+W132+U132+S132+Q132+O132+M132+K132</f>
        <v>0</v>
      </c>
      <c r="AG132" s="4">
        <f t="shared" ref="AG132:AG195" si="49">+AF132/G132</f>
        <v>0</v>
      </c>
      <c r="AH132" s="5">
        <f t="shared" ref="AH132:AH195" si="50">+AF132-G132</f>
        <v>-2746666.4459411809</v>
      </c>
      <c r="AI132" s="17">
        <f t="shared" si="42"/>
        <v>-1</v>
      </c>
      <c r="AJ132" s="17">
        <f t="shared" si="43"/>
        <v>4.4025704291234931E-2</v>
      </c>
      <c r="AK132" s="14" t="e">
        <f t="shared" si="44"/>
        <v>#DIV/0!</v>
      </c>
      <c r="AL132" s="14">
        <f t="shared" si="45"/>
        <v>-1</v>
      </c>
      <c r="AO132" s="19">
        <f>+Tabla22[[#This Row],[Web + APP 2025]]+Tabla22[[#This Row],[Afiliados 2025]]+Tabla22[[#This Row],[TMK 2025]]+Tabla22[[#This Row],[WA 2025]]+Tabla22[[#This Row],[Ent. en Tienda 2025]]</f>
        <v>1542881.0344827587</v>
      </c>
      <c r="AP132" s="19">
        <f>+Tabla22[[#This Row],[Meli Drop 2025]]+Tabla22[[#This Row],[Meli Full 2025]]+Tabla22[[#This Row],[Amazon Drop 2025]]+Tabla22[[#This Row],[Amazon Full 2025]]+Tabla22[[#This Row],[TikTok 2025]]+Tabla22[[#This Row],[Shein 2025]]</f>
        <v>562323</v>
      </c>
    </row>
    <row r="133" spans="1:42" hidden="1" x14ac:dyDescent="0.3">
      <c r="A133" s="7">
        <v>45787</v>
      </c>
      <c r="B133" s="3">
        <f>+'BD MD'!B132</f>
        <v>40072359</v>
      </c>
      <c r="C133" s="3">
        <f t="shared" ref="C133:C196" si="51">+J133+L133+N133+P133+R133+T133+V133+X133+Z133+AB133+AD133</f>
        <v>1764213.8275862068</v>
      </c>
      <c r="D133" s="4">
        <f t="shared" si="47"/>
        <v>1.6526725937609097E-2</v>
      </c>
      <c r="E133" s="3"/>
      <c r="F133" s="7">
        <v>46152</v>
      </c>
      <c r="G133" s="3">
        <f>+Tabla22[[#This Row],[Meta Digital]]+Tabla22[[#This Row],[Meta MKPlace]]</f>
        <v>2301775.4309439501</v>
      </c>
      <c r="H133" s="3">
        <f>+Tabla2[[#This Row],[Meta Digital]]</f>
        <v>1801015.6350343945</v>
      </c>
      <c r="I133" s="3">
        <f>+Tabla2[[#This Row],[Meta MKPlace]]</f>
        <v>500759.79590955563</v>
      </c>
      <c r="J133" s="3">
        <v>1118094</v>
      </c>
      <c r="K133" s="3"/>
      <c r="L133" s="3">
        <v>16069.827586206895</v>
      </c>
      <c r="M133" s="3"/>
      <c r="N133" s="3">
        <v>8962</v>
      </c>
      <c r="O133" s="3"/>
      <c r="P133" s="3">
        <v>3222</v>
      </c>
      <c r="Q133" s="3"/>
      <c r="R133" s="3">
        <v>74464</v>
      </c>
      <c r="S133" s="3"/>
      <c r="T133" s="3">
        <v>461097</v>
      </c>
      <c r="U133" s="3"/>
      <c r="V133" s="3">
        <v>61803</v>
      </c>
      <c r="W133" s="3"/>
      <c r="X133" s="3">
        <v>8257</v>
      </c>
      <c r="Y133" s="3"/>
      <c r="Z133" s="3">
        <v>12245</v>
      </c>
      <c r="AA133" s="3"/>
      <c r="AB133" s="3">
        <v>0</v>
      </c>
      <c r="AC133" s="3"/>
      <c r="AD133" s="3">
        <v>0</v>
      </c>
      <c r="AE133" s="3"/>
      <c r="AF133" s="5">
        <f t="shared" si="48"/>
        <v>0</v>
      </c>
      <c r="AG133" s="4">
        <f t="shared" si="49"/>
        <v>0</v>
      </c>
      <c r="AH133" s="5">
        <f t="shared" si="50"/>
        <v>-2301775.4309439501</v>
      </c>
      <c r="AI133" s="17">
        <f t="shared" si="42"/>
        <v>-1</v>
      </c>
      <c r="AJ133" s="17">
        <f t="shared" si="43"/>
        <v>5.2691544173879286E-2</v>
      </c>
      <c r="AK133" s="14" t="e">
        <f t="shared" si="44"/>
        <v>#DIV/0!</v>
      </c>
      <c r="AL133" s="14">
        <f t="shared" si="45"/>
        <v>-1</v>
      </c>
      <c r="AO133" s="19">
        <f>+Tabla22[[#This Row],[Web + APP 2025]]+Tabla22[[#This Row],[Afiliados 2025]]+Tabla22[[#This Row],[TMK 2025]]+Tabla22[[#This Row],[WA 2025]]+Tabla22[[#This Row],[Ent. en Tienda 2025]]</f>
        <v>1220811.8275862068</v>
      </c>
      <c r="AP133" s="19">
        <f>+Tabla22[[#This Row],[Meli Drop 2025]]+Tabla22[[#This Row],[Meli Full 2025]]+Tabla22[[#This Row],[Amazon Drop 2025]]+Tabla22[[#This Row],[Amazon Full 2025]]+Tabla22[[#This Row],[TikTok 2025]]+Tabla22[[#This Row],[Shein 2025]]</f>
        <v>543402</v>
      </c>
    </row>
    <row r="134" spans="1:42" hidden="1" x14ac:dyDescent="0.3">
      <c r="A134" s="63">
        <v>45788</v>
      </c>
      <c r="B134" s="3">
        <f>+'BD MD'!B133</f>
        <v>40325337</v>
      </c>
      <c r="C134" s="3">
        <f t="shared" si="51"/>
        <v>2124804.2758620689</v>
      </c>
      <c r="D134" s="4">
        <f t="shared" si="47"/>
        <v>1.9904649532351798E-2</v>
      </c>
      <c r="E134" s="3"/>
      <c r="F134" s="7">
        <v>46153</v>
      </c>
      <c r="G134" s="3">
        <f>+Tabla22[[#This Row],[Meta Digital]]+Tabla22[[#This Row],[Meta MKPlace]]</f>
        <v>2772238.9436407336</v>
      </c>
      <c r="H134" s="3">
        <f>+Tabla2[[#This Row],[Meta Digital]]</f>
        <v>2169128.0628104741</v>
      </c>
      <c r="I134" s="3">
        <f>+Tabla2[[#This Row],[Meta MKPlace]]</f>
        <v>603110.88083025953</v>
      </c>
      <c r="J134" s="3">
        <v>1562577</v>
      </c>
      <c r="K134" s="3"/>
      <c r="L134" s="3">
        <v>20098.275862068964</v>
      </c>
      <c r="M134" s="3"/>
      <c r="N134" s="3">
        <v>2643</v>
      </c>
      <c r="O134" s="3"/>
      <c r="P134" s="3">
        <v>4578</v>
      </c>
      <c r="Q134" s="3"/>
      <c r="R134" s="3">
        <v>64714</v>
      </c>
      <c r="S134" s="3"/>
      <c r="T134" s="3">
        <v>382228</v>
      </c>
      <c r="U134" s="3"/>
      <c r="V134" s="3">
        <v>63782</v>
      </c>
      <c r="W134" s="3"/>
      <c r="X134" s="3">
        <v>16117</v>
      </c>
      <c r="Y134" s="3"/>
      <c r="Z134" s="3">
        <v>8067</v>
      </c>
      <c r="AA134" s="3"/>
      <c r="AB134" s="3">
        <v>0</v>
      </c>
      <c r="AC134" s="3"/>
      <c r="AD134" s="3">
        <v>0</v>
      </c>
      <c r="AE134" s="3"/>
      <c r="AF134" s="5">
        <f t="shared" si="48"/>
        <v>0</v>
      </c>
      <c r="AG134" s="4">
        <f t="shared" si="49"/>
        <v>0</v>
      </c>
      <c r="AH134" s="5">
        <f t="shared" si="50"/>
        <v>-2772238.9436407336</v>
      </c>
      <c r="AI134" s="17">
        <f t="shared" si="42"/>
        <v>-1</v>
      </c>
      <c r="AJ134" s="17">
        <f t="shared" si="43"/>
        <v>0.13395015829372342</v>
      </c>
      <c r="AK134" s="14" t="e">
        <f t="shared" si="44"/>
        <v>#DIV/0!</v>
      </c>
      <c r="AL134" s="14">
        <f t="shared" si="45"/>
        <v>-1</v>
      </c>
      <c r="AO134" s="19">
        <f>+Tabla22[[#This Row],[Web + APP 2025]]+Tabla22[[#This Row],[Afiliados 2025]]+Tabla22[[#This Row],[TMK 2025]]+Tabla22[[#This Row],[WA 2025]]+Tabla22[[#This Row],[Ent. en Tienda 2025]]</f>
        <v>1654610.2758620689</v>
      </c>
      <c r="AP134" s="19">
        <f>+Tabla22[[#This Row],[Meli Drop 2025]]+Tabla22[[#This Row],[Meli Full 2025]]+Tabla22[[#This Row],[Amazon Drop 2025]]+Tabla22[[#This Row],[Amazon Full 2025]]+Tabla22[[#This Row],[TikTok 2025]]+Tabla22[[#This Row],[Shein 2025]]</f>
        <v>470194</v>
      </c>
    </row>
    <row r="135" spans="1:42" hidden="1" x14ac:dyDescent="0.3">
      <c r="A135" s="7">
        <v>45789</v>
      </c>
      <c r="B135" s="3">
        <f>+'BD MD'!B134</f>
        <v>23242388</v>
      </c>
      <c r="C135" s="3">
        <f t="shared" si="51"/>
        <v>3113321.5517241377</v>
      </c>
      <c r="D135" s="4">
        <f t="shared" si="47"/>
        <v>2.9164838885428413E-2</v>
      </c>
      <c r="E135" s="3"/>
      <c r="F135" s="7">
        <v>46154</v>
      </c>
      <c r="G135" s="3">
        <f>+Tabla22[[#This Row],[Meta Digital]]+Tabla22[[#This Row],[Meta MKPlace]]</f>
        <v>4061960.5992951812</v>
      </c>
      <c r="H135" s="3">
        <f>+Tabla2[[#This Row],[Meta Digital]]</f>
        <v>3178265.9810667001</v>
      </c>
      <c r="I135" s="3">
        <f>+Tabla2[[#This Row],[Meta MKPlace]]</f>
        <v>883694.61822848092</v>
      </c>
      <c r="J135" s="3">
        <v>2459466</v>
      </c>
      <c r="K135" s="3"/>
      <c r="L135" s="3">
        <v>21396.551724137928</v>
      </c>
      <c r="M135" s="3"/>
      <c r="N135" s="3">
        <v>14035</v>
      </c>
      <c r="O135" s="3"/>
      <c r="P135" s="3">
        <v>14004</v>
      </c>
      <c r="Q135" s="3"/>
      <c r="R135" s="3">
        <v>75997</v>
      </c>
      <c r="S135" s="3"/>
      <c r="T135" s="3">
        <v>401282</v>
      </c>
      <c r="U135" s="3"/>
      <c r="V135" s="3">
        <v>95820</v>
      </c>
      <c r="W135" s="3"/>
      <c r="X135" s="3">
        <v>24006</v>
      </c>
      <c r="Y135" s="3"/>
      <c r="Z135" s="3">
        <v>7315</v>
      </c>
      <c r="AA135" s="3"/>
      <c r="AB135" s="3">
        <v>0</v>
      </c>
      <c r="AC135" s="3"/>
      <c r="AD135" s="3">
        <v>0</v>
      </c>
      <c r="AE135" s="3"/>
      <c r="AF135" s="5">
        <f t="shared" si="48"/>
        <v>0</v>
      </c>
      <c r="AG135" s="4">
        <f t="shared" si="49"/>
        <v>0</v>
      </c>
      <c r="AH135" s="5">
        <f t="shared" si="50"/>
        <v>-4061960.5992951812</v>
      </c>
      <c r="AI135" s="17">
        <f t="shared" si="42"/>
        <v>-1</v>
      </c>
      <c r="AJ135" s="17">
        <f t="shared" si="43"/>
        <v>0.13775792995889505</v>
      </c>
      <c r="AK135" s="14" t="e">
        <f t="shared" si="44"/>
        <v>#DIV/0!</v>
      </c>
      <c r="AL135" s="14">
        <f t="shared" si="45"/>
        <v>-1</v>
      </c>
      <c r="AO135" s="19">
        <f>+Tabla22[[#This Row],[Web + APP 2025]]+Tabla22[[#This Row],[Afiliados 2025]]+Tabla22[[#This Row],[TMK 2025]]+Tabla22[[#This Row],[WA 2025]]+Tabla22[[#This Row],[Ent. en Tienda 2025]]</f>
        <v>2584898.5517241377</v>
      </c>
      <c r="AP135" s="19">
        <f>+Tabla22[[#This Row],[Meli Drop 2025]]+Tabla22[[#This Row],[Meli Full 2025]]+Tabla22[[#This Row],[Amazon Drop 2025]]+Tabla22[[#This Row],[Amazon Full 2025]]+Tabla22[[#This Row],[TikTok 2025]]+Tabla22[[#This Row],[Shein 2025]]</f>
        <v>528423</v>
      </c>
    </row>
    <row r="136" spans="1:42" hidden="1" x14ac:dyDescent="0.3">
      <c r="A136" s="63">
        <v>45790</v>
      </c>
      <c r="B136" s="3">
        <f>+'BD MD'!B135</f>
        <v>25300042</v>
      </c>
      <c r="C136" s="3">
        <f t="shared" si="51"/>
        <v>3485281.4137931033</v>
      </c>
      <c r="D136" s="4">
        <f t="shared" si="47"/>
        <v>3.2649268382625683E-2</v>
      </c>
      <c r="E136" s="3"/>
      <c r="F136" s="7">
        <v>46155</v>
      </c>
      <c r="G136" s="3">
        <f>+Tabla22[[#This Row],[Meta Digital]]+Tabla22[[#This Row],[Meta MKPlace]]</f>
        <v>4547257.8225796465</v>
      </c>
      <c r="H136" s="3">
        <f>+Tabla2[[#This Row],[Meta Digital]]</f>
        <v>3557984.9905860885</v>
      </c>
      <c r="I136" s="3">
        <f>+Tabla2[[#This Row],[Meta MKPlace]]</f>
        <v>989272.83199355821</v>
      </c>
      <c r="J136" s="3">
        <v>2836483</v>
      </c>
      <c r="K136" s="3"/>
      <c r="L136" s="3">
        <v>23572.413793103442</v>
      </c>
      <c r="M136" s="3"/>
      <c r="N136" s="3">
        <v>40509</v>
      </c>
      <c r="O136" s="3"/>
      <c r="P136" s="3">
        <v>1759</v>
      </c>
      <c r="Q136" s="3"/>
      <c r="R136" s="3">
        <v>46794</v>
      </c>
      <c r="S136" s="3"/>
      <c r="T136" s="3">
        <v>386009</v>
      </c>
      <c r="U136" s="3"/>
      <c r="V136" s="3">
        <v>119690</v>
      </c>
      <c r="W136" s="3"/>
      <c r="X136" s="3">
        <v>21353</v>
      </c>
      <c r="Y136" s="3"/>
      <c r="Z136" s="3">
        <v>9112</v>
      </c>
      <c r="AA136" s="3"/>
      <c r="AB136" s="3">
        <v>0</v>
      </c>
      <c r="AC136" s="3"/>
      <c r="AD136" s="3">
        <v>0</v>
      </c>
      <c r="AE136" s="3"/>
      <c r="AF136" s="5">
        <f t="shared" si="48"/>
        <v>0</v>
      </c>
      <c r="AG136" s="4">
        <f t="shared" si="49"/>
        <v>0</v>
      </c>
      <c r="AH136" s="5">
        <f t="shared" si="50"/>
        <v>-4547257.8225796465</v>
      </c>
      <c r="AI136" s="17">
        <f t="shared" si="42"/>
        <v>-1</v>
      </c>
      <c r="AJ136" s="17">
        <f t="shared" si="43"/>
        <v>0.12341862463597443</v>
      </c>
      <c r="AK136" s="14" t="e">
        <f t="shared" si="44"/>
        <v>#DIV/0!</v>
      </c>
      <c r="AL136" s="14">
        <f t="shared" si="45"/>
        <v>-1</v>
      </c>
      <c r="AO136" s="19">
        <f>+Tabla22[[#This Row],[Web + APP 2025]]+Tabla22[[#This Row],[Afiliados 2025]]+Tabla22[[#This Row],[TMK 2025]]+Tabla22[[#This Row],[WA 2025]]+Tabla22[[#This Row],[Ent. en Tienda 2025]]</f>
        <v>2949117.4137931033</v>
      </c>
      <c r="AP136" s="19">
        <f>+Tabla22[[#This Row],[Meli Drop 2025]]+Tabla22[[#This Row],[Meli Full 2025]]+Tabla22[[#This Row],[Amazon Drop 2025]]+Tabla22[[#This Row],[Amazon Full 2025]]+Tabla22[[#This Row],[TikTok 2025]]+Tabla22[[#This Row],[Shein 2025]]</f>
        <v>536164</v>
      </c>
    </row>
    <row r="137" spans="1:42" hidden="1" x14ac:dyDescent="0.3">
      <c r="A137" s="7">
        <v>45791</v>
      </c>
      <c r="B137" s="3">
        <f>+'BD MD'!B136</f>
        <v>28389964</v>
      </c>
      <c r="C137" s="3">
        <f t="shared" si="51"/>
        <v>3503850.3103448274</v>
      </c>
      <c r="D137" s="4">
        <f t="shared" si="47"/>
        <v>3.282321728806762E-2</v>
      </c>
      <c r="E137" s="3"/>
      <c r="F137" s="7">
        <v>46156</v>
      </c>
      <c r="G137" s="3">
        <f>+Tabla22[[#This Row],[Meta Digital]]+Tabla22[[#This Row],[Meta MKPlace]]</f>
        <v>4571484.7213796498</v>
      </c>
      <c r="H137" s="3">
        <f>+Tabla2[[#This Row],[Meta Digital]]</f>
        <v>3576941.2375512011</v>
      </c>
      <c r="I137" s="3">
        <f>+Tabla2[[#This Row],[Meta MKPlace]]</f>
        <v>994543.48382844892</v>
      </c>
      <c r="J137" s="3">
        <v>2798237</v>
      </c>
      <c r="K137" s="3"/>
      <c r="L137" s="3">
        <v>17204.310344827583</v>
      </c>
      <c r="M137" s="3"/>
      <c r="N137" s="3">
        <v>30525</v>
      </c>
      <c r="O137" s="3"/>
      <c r="P137" s="3">
        <v>2915</v>
      </c>
      <c r="Q137" s="3"/>
      <c r="R137" s="3">
        <v>51632</v>
      </c>
      <c r="S137" s="3"/>
      <c r="T137" s="3">
        <v>406451</v>
      </c>
      <c r="U137" s="3"/>
      <c r="V137" s="3">
        <v>166963</v>
      </c>
      <c r="W137" s="3"/>
      <c r="X137" s="3">
        <v>21663</v>
      </c>
      <c r="Y137" s="3"/>
      <c r="Z137" s="3">
        <v>8260</v>
      </c>
      <c r="AA137" s="3"/>
      <c r="AB137" s="3">
        <v>0</v>
      </c>
      <c r="AC137" s="3"/>
      <c r="AD137" s="3">
        <v>0</v>
      </c>
      <c r="AE137" s="3"/>
      <c r="AF137" s="5">
        <f t="shared" si="48"/>
        <v>0</v>
      </c>
      <c r="AG137" s="4">
        <f t="shared" si="49"/>
        <v>0</v>
      </c>
      <c r="AH137" s="5">
        <f t="shared" si="50"/>
        <v>-4571484.7213796498</v>
      </c>
      <c r="AI137" s="17">
        <f t="shared" si="42"/>
        <v>-1</v>
      </c>
      <c r="AJ137" s="17">
        <f t="shared" si="43"/>
        <v>8.3641022570976054E-2</v>
      </c>
      <c r="AK137" s="14" t="e">
        <f t="shared" si="44"/>
        <v>#DIV/0!</v>
      </c>
      <c r="AL137" s="14">
        <f t="shared" si="45"/>
        <v>-1</v>
      </c>
      <c r="AO137" s="19">
        <f>+Tabla22[[#This Row],[Web + APP 2025]]+Tabla22[[#This Row],[Afiliados 2025]]+Tabla22[[#This Row],[TMK 2025]]+Tabla22[[#This Row],[WA 2025]]+Tabla22[[#This Row],[Ent. en Tienda 2025]]</f>
        <v>2900513.3103448274</v>
      </c>
      <c r="AP137" s="19">
        <f>+Tabla22[[#This Row],[Meli Drop 2025]]+Tabla22[[#This Row],[Meli Full 2025]]+Tabla22[[#This Row],[Amazon Drop 2025]]+Tabla22[[#This Row],[Amazon Full 2025]]+Tabla22[[#This Row],[TikTok 2025]]+Tabla22[[#This Row],[Shein 2025]]</f>
        <v>603337</v>
      </c>
    </row>
    <row r="138" spans="1:42" hidden="1" x14ac:dyDescent="0.3">
      <c r="A138" s="63">
        <v>45792</v>
      </c>
      <c r="B138" s="3">
        <f>+'BD MD'!B137</f>
        <v>37812054</v>
      </c>
      <c r="C138" s="3">
        <f t="shared" si="51"/>
        <v>3162638.8620689656</v>
      </c>
      <c r="D138" s="4">
        <f t="shared" si="47"/>
        <v>2.9626831450787761E-2</v>
      </c>
      <c r="E138" s="3"/>
      <c r="F138" s="7">
        <v>46157</v>
      </c>
      <c r="G138" s="3">
        <f>+Tabla22[[#This Row],[Meta Digital]]+Tabla22[[#This Row],[Meta MKPlace]]</f>
        <v>4126305.0520462836</v>
      </c>
      <c r="H138" s="3">
        <f>+Tabla2[[#This Row],[Meta Digital]]</f>
        <v>3228612.0590874143</v>
      </c>
      <c r="I138" s="3">
        <f>+Tabla2[[#This Row],[Meta MKPlace]]</f>
        <v>897692.9929588692</v>
      </c>
      <c r="J138" s="3">
        <v>2365155</v>
      </c>
      <c r="K138" s="3"/>
      <c r="L138" s="3">
        <v>17875.862068965514</v>
      </c>
      <c r="M138" s="3"/>
      <c r="N138" s="3">
        <v>48768</v>
      </c>
      <c r="O138" s="3"/>
      <c r="P138" s="3">
        <v>1400</v>
      </c>
      <c r="Q138" s="3"/>
      <c r="R138" s="3">
        <v>88607</v>
      </c>
      <c r="S138" s="3"/>
      <c r="T138" s="3">
        <v>449212</v>
      </c>
      <c r="U138" s="3"/>
      <c r="V138" s="3">
        <v>166991</v>
      </c>
      <c r="W138" s="3"/>
      <c r="X138" s="3">
        <v>16715</v>
      </c>
      <c r="Y138" s="3"/>
      <c r="Z138" s="3">
        <v>7915</v>
      </c>
      <c r="AA138" s="3"/>
      <c r="AB138" s="3">
        <v>0</v>
      </c>
      <c r="AC138" s="3"/>
      <c r="AD138" s="3">
        <v>0</v>
      </c>
      <c r="AE138" s="3"/>
      <c r="AF138" s="5">
        <f t="shared" si="48"/>
        <v>0</v>
      </c>
      <c r="AG138" s="4">
        <f t="shared" si="49"/>
        <v>0</v>
      </c>
      <c r="AH138" s="5">
        <f t="shared" si="50"/>
        <v>-4126305.0520462836</v>
      </c>
      <c r="AI138" s="17">
        <f t="shared" si="42"/>
        <v>-1</v>
      </c>
      <c r="AJ138" s="17">
        <f t="shared" si="43"/>
        <v>7.3099609983005243E-2</v>
      </c>
      <c r="AK138" s="14" t="e">
        <f t="shared" si="44"/>
        <v>#DIV/0!</v>
      </c>
      <c r="AL138" s="14">
        <f t="shared" si="45"/>
        <v>-1</v>
      </c>
      <c r="AO138" s="19">
        <f>+Tabla22[[#This Row],[Web + APP 2025]]+Tabla22[[#This Row],[Afiliados 2025]]+Tabla22[[#This Row],[TMK 2025]]+Tabla22[[#This Row],[WA 2025]]+Tabla22[[#This Row],[Ent. en Tienda 2025]]</f>
        <v>2521805.8620689656</v>
      </c>
      <c r="AP138" s="19">
        <f>+Tabla22[[#This Row],[Meli Drop 2025]]+Tabla22[[#This Row],[Meli Full 2025]]+Tabla22[[#This Row],[Amazon Drop 2025]]+Tabla22[[#This Row],[Amazon Full 2025]]+Tabla22[[#This Row],[TikTok 2025]]+Tabla22[[#This Row],[Shein 2025]]</f>
        <v>640833</v>
      </c>
    </row>
    <row r="139" spans="1:42" hidden="1" x14ac:dyDescent="0.3">
      <c r="A139" s="7">
        <v>45793</v>
      </c>
      <c r="B139" s="3">
        <f>+'BD MD'!B138</f>
        <v>38245451</v>
      </c>
      <c r="C139" s="3">
        <f t="shared" si="51"/>
        <v>2795727.5517241377</v>
      </c>
      <c r="D139" s="4">
        <f t="shared" si="47"/>
        <v>2.6189695557926891E-2</v>
      </c>
      <c r="E139" s="3"/>
      <c r="F139" s="7">
        <v>46158</v>
      </c>
      <c r="G139" s="3">
        <f>+Tabla22[[#This Row],[Meta Digital]]+Tabla22[[#This Row],[Meta MKPlace]]</f>
        <v>3647594.6903648521</v>
      </c>
      <c r="H139" s="3">
        <f>+Tabla2[[#This Row],[Meta Digital]]</f>
        <v>2854046.9149596673</v>
      </c>
      <c r="I139" s="3">
        <f>+Tabla2[[#This Row],[Meta MKPlace]]</f>
        <v>793547.77540518483</v>
      </c>
      <c r="J139" s="3">
        <v>2141315</v>
      </c>
      <c r="K139" s="3"/>
      <c r="L139" s="3">
        <v>25296.55172413792</v>
      </c>
      <c r="M139" s="3"/>
      <c r="N139" s="3">
        <v>27754</v>
      </c>
      <c r="O139" s="3"/>
      <c r="P139" s="3">
        <v>1869</v>
      </c>
      <c r="Q139" s="3"/>
      <c r="R139" s="3">
        <v>86382</v>
      </c>
      <c r="S139" s="3"/>
      <c r="T139" s="3">
        <v>369211</v>
      </c>
      <c r="U139" s="3"/>
      <c r="V139" s="3">
        <v>113629</v>
      </c>
      <c r="W139" s="3"/>
      <c r="X139" s="3">
        <v>16988</v>
      </c>
      <c r="Y139" s="3"/>
      <c r="Z139" s="3">
        <v>13283</v>
      </c>
      <c r="AA139" s="3"/>
      <c r="AB139" s="3">
        <v>0</v>
      </c>
      <c r="AC139" s="3"/>
      <c r="AD139" s="3">
        <v>0</v>
      </c>
      <c r="AE139" s="3"/>
      <c r="AF139" s="5">
        <f t="shared" si="48"/>
        <v>0</v>
      </c>
      <c r="AG139" s="4">
        <f t="shared" si="49"/>
        <v>0</v>
      </c>
      <c r="AH139" s="5">
        <f t="shared" si="50"/>
        <v>-3647594.6903648521</v>
      </c>
      <c r="AI139" s="17">
        <f t="shared" si="42"/>
        <v>-1</v>
      </c>
      <c r="AJ139" s="17">
        <f t="shared" si="43"/>
        <v>6.1798040608597962E-2</v>
      </c>
      <c r="AK139" s="14" t="e">
        <f t="shared" si="44"/>
        <v>#DIV/0!</v>
      </c>
      <c r="AL139" s="14">
        <f t="shared" si="45"/>
        <v>-1</v>
      </c>
      <c r="AO139" s="19">
        <f>+Tabla22[[#This Row],[Web + APP 2025]]+Tabla22[[#This Row],[Afiliados 2025]]+Tabla22[[#This Row],[TMK 2025]]+Tabla22[[#This Row],[WA 2025]]+Tabla22[[#This Row],[Ent. en Tienda 2025]]</f>
        <v>2282616.5517241377</v>
      </c>
      <c r="AP139" s="19">
        <f>+Tabla22[[#This Row],[Meli Drop 2025]]+Tabla22[[#This Row],[Meli Full 2025]]+Tabla22[[#This Row],[Amazon Drop 2025]]+Tabla22[[#This Row],[Amazon Full 2025]]+Tabla22[[#This Row],[TikTok 2025]]+Tabla22[[#This Row],[Shein 2025]]</f>
        <v>513111</v>
      </c>
    </row>
    <row r="140" spans="1:42" hidden="1" x14ac:dyDescent="0.3">
      <c r="A140" s="63">
        <v>45794</v>
      </c>
      <c r="B140" s="3">
        <f>+'BD MD'!B139</f>
        <v>44431907</v>
      </c>
      <c r="C140" s="3">
        <f t="shared" si="51"/>
        <v>2745804.7931034481</v>
      </c>
      <c r="D140" s="4">
        <f t="shared" si="47"/>
        <v>2.5722031300413166E-2</v>
      </c>
      <c r="E140" s="3"/>
      <c r="F140" s="7">
        <v>46159</v>
      </c>
      <c r="G140" s="3">
        <f>+Tabla22[[#This Row],[Meta Digital]]+Tabla22[[#This Row],[Meta MKPlace]]</f>
        <v>3582460.3073092168</v>
      </c>
      <c r="H140" s="3">
        <f>+Tabla2[[#This Row],[Meta Digital]]</f>
        <v>2803082.7589066979</v>
      </c>
      <c r="I140" s="3">
        <f>+Tabla2[[#This Row],[Meta MKPlace]]</f>
        <v>779377.54840251897</v>
      </c>
      <c r="J140" s="3">
        <v>2132828</v>
      </c>
      <c r="K140" s="3"/>
      <c r="L140" s="3">
        <v>21563.793103448275</v>
      </c>
      <c r="M140" s="3"/>
      <c r="N140" s="3">
        <v>-607</v>
      </c>
      <c r="O140" s="3"/>
      <c r="P140" s="3">
        <v>4423</v>
      </c>
      <c r="Q140" s="3"/>
      <c r="R140" s="3">
        <v>79497</v>
      </c>
      <c r="S140" s="3"/>
      <c r="T140" s="3">
        <v>366239</v>
      </c>
      <c r="U140" s="3"/>
      <c r="V140" s="3">
        <v>114522</v>
      </c>
      <c r="W140" s="3"/>
      <c r="X140" s="3">
        <v>20368</v>
      </c>
      <c r="Y140" s="3"/>
      <c r="Z140" s="3">
        <v>6971</v>
      </c>
      <c r="AA140" s="3"/>
      <c r="AB140" s="3">
        <v>0</v>
      </c>
      <c r="AC140" s="3"/>
      <c r="AD140" s="3">
        <v>0</v>
      </c>
      <c r="AE140" s="3"/>
      <c r="AF140" s="5">
        <f t="shared" si="48"/>
        <v>0</v>
      </c>
      <c r="AG140" s="4">
        <f t="shared" si="49"/>
        <v>0</v>
      </c>
      <c r="AH140" s="5">
        <f t="shared" si="50"/>
        <v>-3582460.3073092168</v>
      </c>
      <c r="AI140" s="17">
        <f t="shared" si="42"/>
        <v>-1</v>
      </c>
      <c r="AJ140" s="17">
        <f t="shared" si="43"/>
        <v>7.4541474037675956E-2</v>
      </c>
      <c r="AK140" s="14" t="e">
        <f t="shared" si="44"/>
        <v>#DIV/0!</v>
      </c>
      <c r="AL140" s="14">
        <f t="shared" si="45"/>
        <v>-1</v>
      </c>
      <c r="AO140" s="19">
        <f>+Tabla22[[#This Row],[Web + APP 2025]]+Tabla22[[#This Row],[Afiliados 2025]]+Tabla22[[#This Row],[TMK 2025]]+Tabla22[[#This Row],[WA 2025]]+Tabla22[[#This Row],[Ent. en Tienda 2025]]</f>
        <v>2237704.7931034481</v>
      </c>
      <c r="AP140" s="19">
        <f>+Tabla22[[#This Row],[Meli Drop 2025]]+Tabla22[[#This Row],[Meli Full 2025]]+Tabla22[[#This Row],[Amazon Drop 2025]]+Tabla22[[#This Row],[Amazon Full 2025]]+Tabla22[[#This Row],[TikTok 2025]]+Tabla22[[#This Row],[Shein 2025]]</f>
        <v>508100</v>
      </c>
    </row>
    <row r="141" spans="1:42" hidden="1" x14ac:dyDescent="0.3">
      <c r="A141" s="7">
        <v>45795</v>
      </c>
      <c r="B141" s="3">
        <f>+'BD MD'!B140</f>
        <v>45518633</v>
      </c>
      <c r="C141" s="3">
        <f t="shared" si="51"/>
        <v>3393026</v>
      </c>
      <c r="D141" s="4">
        <f t="shared" si="47"/>
        <v>3.1785042110175812E-2</v>
      </c>
      <c r="E141" s="3"/>
      <c r="F141" s="7">
        <v>46160</v>
      </c>
      <c r="G141" s="3">
        <f>+Tabla22[[#This Row],[Meta Digital]]+Tabla22[[#This Row],[Meta MKPlace]]</f>
        <v>4426891.888745497</v>
      </c>
      <c r="H141" s="3">
        <f>+Tabla2[[#This Row],[Meta Digital]]</f>
        <v>3463805.11280717</v>
      </c>
      <c r="I141" s="3">
        <f>+Tabla2[[#This Row],[Meta MKPlace]]</f>
        <v>963086.77593832707</v>
      </c>
      <c r="J141" s="3">
        <v>2699305</v>
      </c>
      <c r="K141" s="3"/>
      <c r="L141" s="3">
        <v>20974.999999999996</v>
      </c>
      <c r="M141" s="3"/>
      <c r="N141" s="3">
        <v>22100</v>
      </c>
      <c r="O141" s="3"/>
      <c r="P141" s="3">
        <v>-481</v>
      </c>
      <c r="Q141" s="3"/>
      <c r="R141" s="3">
        <v>76910</v>
      </c>
      <c r="S141" s="3"/>
      <c r="T141" s="3">
        <v>427036</v>
      </c>
      <c r="U141" s="3"/>
      <c r="V141" s="3">
        <v>120368</v>
      </c>
      <c r="W141" s="3"/>
      <c r="X141" s="3">
        <v>16748</v>
      </c>
      <c r="Y141" s="3"/>
      <c r="Z141" s="3">
        <v>10065</v>
      </c>
      <c r="AA141" s="3"/>
      <c r="AB141" s="3">
        <v>0</v>
      </c>
      <c r="AC141" s="3"/>
      <c r="AD141" s="3">
        <v>0</v>
      </c>
      <c r="AE141" s="3"/>
      <c r="AF141" s="5">
        <f t="shared" si="48"/>
        <v>0</v>
      </c>
      <c r="AG141" s="4">
        <f t="shared" si="49"/>
        <v>0</v>
      </c>
      <c r="AH141" s="5">
        <f t="shared" si="50"/>
        <v>-4426891.888745497</v>
      </c>
      <c r="AI141" s="17">
        <f t="shared" si="42"/>
        <v>-1</v>
      </c>
      <c r="AJ141" s="17">
        <f t="shared" si="43"/>
        <v>0.15233793648315361</v>
      </c>
      <c r="AK141" s="14" t="e">
        <f t="shared" si="44"/>
        <v>#DIV/0!</v>
      </c>
      <c r="AL141" s="14">
        <f t="shared" si="45"/>
        <v>-1</v>
      </c>
      <c r="AO141" s="19">
        <f>+Tabla22[[#This Row],[Web + APP 2025]]+Tabla22[[#This Row],[Afiliados 2025]]+Tabla22[[#This Row],[TMK 2025]]+Tabla22[[#This Row],[WA 2025]]+Tabla22[[#This Row],[Ent. en Tienda 2025]]</f>
        <v>2818809</v>
      </c>
      <c r="AP141" s="19">
        <f>+Tabla22[[#This Row],[Meli Drop 2025]]+Tabla22[[#This Row],[Meli Full 2025]]+Tabla22[[#This Row],[Amazon Drop 2025]]+Tabla22[[#This Row],[Amazon Full 2025]]+Tabla22[[#This Row],[TikTok 2025]]+Tabla22[[#This Row],[Shein 2025]]</f>
        <v>574217</v>
      </c>
    </row>
    <row r="142" spans="1:42" hidden="1" x14ac:dyDescent="0.3">
      <c r="A142" s="63">
        <v>45796</v>
      </c>
      <c r="B142" s="3">
        <f>+'BD MD'!B141</f>
        <v>26117094</v>
      </c>
      <c r="C142" s="3">
        <f t="shared" si="51"/>
        <v>3978624.2068965519</v>
      </c>
      <c r="D142" s="4">
        <f t="shared" si="47"/>
        <v>3.7270783647626558E-2</v>
      </c>
      <c r="E142" s="3"/>
      <c r="F142" s="7">
        <v>46161</v>
      </c>
      <c r="G142" s="3">
        <f>+Tabla22[[#This Row],[Meta Digital]]+Tabla22[[#This Row],[Meta MKPlace]]</f>
        <v>5190923.7447272241</v>
      </c>
      <c r="H142" s="3">
        <f>+Tabla2[[#This Row],[Meta Digital]]</f>
        <v>4061619.0002041389</v>
      </c>
      <c r="I142" s="3">
        <f>+Tabla2[[#This Row],[Meta MKPlace]]</f>
        <v>1129304.7445230847</v>
      </c>
      <c r="J142" s="3">
        <v>3148606</v>
      </c>
      <c r="K142" s="3"/>
      <c r="L142" s="3">
        <v>20161.206896551717</v>
      </c>
      <c r="M142" s="3"/>
      <c r="N142" s="3">
        <v>63309</v>
      </c>
      <c r="O142" s="3"/>
      <c r="P142" s="3">
        <v>9654</v>
      </c>
      <c r="Q142" s="3"/>
      <c r="R142" s="3">
        <v>164587</v>
      </c>
      <c r="S142" s="3"/>
      <c r="T142" s="3">
        <v>398765</v>
      </c>
      <c r="U142" s="3"/>
      <c r="V142" s="3">
        <v>133448</v>
      </c>
      <c r="W142" s="3"/>
      <c r="X142" s="3">
        <v>26159</v>
      </c>
      <c r="Y142" s="3"/>
      <c r="Z142" s="3">
        <v>13935</v>
      </c>
      <c r="AA142" s="3"/>
      <c r="AB142" s="3">
        <v>0</v>
      </c>
      <c r="AC142" s="3"/>
      <c r="AD142" s="3">
        <v>0</v>
      </c>
      <c r="AE142" s="3"/>
      <c r="AF142" s="5">
        <f t="shared" si="48"/>
        <v>0</v>
      </c>
      <c r="AG142" s="4">
        <f t="shared" si="49"/>
        <v>0</v>
      </c>
      <c r="AH142" s="5">
        <f t="shared" si="50"/>
        <v>-5190923.7447272241</v>
      </c>
      <c r="AI142" s="17">
        <f t="shared" si="42"/>
        <v>-1</v>
      </c>
      <c r="AJ142" s="17">
        <f t="shared" si="43"/>
        <v>0.13607668251157123</v>
      </c>
      <c r="AK142" s="14" t="e">
        <f t="shared" si="44"/>
        <v>#DIV/0!</v>
      </c>
      <c r="AL142" s="14">
        <f t="shared" si="45"/>
        <v>-1</v>
      </c>
      <c r="AO142" s="19">
        <f>+Tabla22[[#This Row],[Web + APP 2025]]+Tabla22[[#This Row],[Afiliados 2025]]+Tabla22[[#This Row],[TMK 2025]]+Tabla22[[#This Row],[WA 2025]]+Tabla22[[#This Row],[Ent. en Tienda 2025]]</f>
        <v>3406317.2068965519</v>
      </c>
      <c r="AP142" s="19">
        <f>+Tabla22[[#This Row],[Meli Drop 2025]]+Tabla22[[#This Row],[Meli Full 2025]]+Tabla22[[#This Row],[Amazon Drop 2025]]+Tabla22[[#This Row],[Amazon Full 2025]]+Tabla22[[#This Row],[TikTok 2025]]+Tabla22[[#This Row],[Shein 2025]]</f>
        <v>572307</v>
      </c>
    </row>
    <row r="143" spans="1:42" hidden="1" x14ac:dyDescent="0.3">
      <c r="A143" s="7">
        <v>45797</v>
      </c>
      <c r="B143" s="3">
        <f>+'BD MD'!B142</f>
        <v>29370833</v>
      </c>
      <c r="C143" s="3">
        <f t="shared" si="51"/>
        <v>3996685.5172413792</v>
      </c>
      <c r="D143" s="4">
        <f t="shared" si="47"/>
        <v>3.7439977608968229E-2</v>
      </c>
      <c r="E143" s="3"/>
      <c r="F143" s="7">
        <v>46162</v>
      </c>
      <c r="G143" s="3">
        <f>+Tabla22[[#This Row],[Meta Digital]]+Tabla22[[#This Row],[Meta MKPlace]]</f>
        <v>5214488.3941774871</v>
      </c>
      <c r="H143" s="3">
        <f>+Tabla2[[#This Row],[Meta Digital]]</f>
        <v>4080057.0726257497</v>
      </c>
      <c r="I143" s="3">
        <f>+Tabla2[[#This Row],[Meta MKPlace]]</f>
        <v>1134431.3215517374</v>
      </c>
      <c r="J143" s="3">
        <v>3264277</v>
      </c>
      <c r="K143" s="3"/>
      <c r="L143" s="3">
        <v>22440.517241379308</v>
      </c>
      <c r="M143" s="3"/>
      <c r="N143" s="3">
        <v>94697</v>
      </c>
      <c r="O143" s="3"/>
      <c r="P143" s="3">
        <v>6895</v>
      </c>
      <c r="Q143" s="3"/>
      <c r="R143" s="3">
        <v>104955</v>
      </c>
      <c r="S143" s="3"/>
      <c r="T143" s="3">
        <v>334212</v>
      </c>
      <c r="U143" s="3"/>
      <c r="V143" s="3">
        <v>131940</v>
      </c>
      <c r="W143" s="3"/>
      <c r="X143" s="3">
        <v>26309</v>
      </c>
      <c r="Y143" s="3"/>
      <c r="Z143" s="3">
        <v>10960</v>
      </c>
      <c r="AA143" s="3"/>
      <c r="AB143" s="3">
        <v>0</v>
      </c>
      <c r="AC143" s="3"/>
      <c r="AD143" s="3">
        <v>0</v>
      </c>
      <c r="AE143" s="3"/>
      <c r="AF143" s="5">
        <f t="shared" si="48"/>
        <v>0</v>
      </c>
      <c r="AG143" s="4">
        <f t="shared" si="49"/>
        <v>0</v>
      </c>
      <c r="AH143" s="5">
        <f t="shared" si="50"/>
        <v>-5214488.3941774871</v>
      </c>
      <c r="AI143" s="17">
        <f t="shared" si="42"/>
        <v>-1</v>
      </c>
      <c r="AJ143" s="17">
        <f t="shared" si="43"/>
        <v>0.10988042512550848</v>
      </c>
      <c r="AK143" s="14" t="e">
        <f t="shared" si="44"/>
        <v>#DIV/0!</v>
      </c>
      <c r="AL143" s="14">
        <f t="shared" si="45"/>
        <v>-1</v>
      </c>
      <c r="AO143" s="19">
        <f>+Tabla22[[#This Row],[Web + APP 2025]]+Tabla22[[#This Row],[Afiliados 2025]]+Tabla22[[#This Row],[TMK 2025]]+Tabla22[[#This Row],[WA 2025]]+Tabla22[[#This Row],[Ent. en Tienda 2025]]</f>
        <v>3493264.5172413792</v>
      </c>
      <c r="AP143" s="19">
        <f>+Tabla22[[#This Row],[Meli Drop 2025]]+Tabla22[[#This Row],[Meli Full 2025]]+Tabla22[[#This Row],[Amazon Drop 2025]]+Tabla22[[#This Row],[Amazon Full 2025]]+Tabla22[[#This Row],[TikTok 2025]]+Tabla22[[#This Row],[Shein 2025]]</f>
        <v>503421</v>
      </c>
    </row>
    <row r="144" spans="1:42" hidden="1" x14ac:dyDescent="0.3">
      <c r="A144" s="63">
        <v>45798</v>
      </c>
      <c r="B144" s="3">
        <f>+'BD MD'!B143</f>
        <v>32364229</v>
      </c>
      <c r="C144" s="3">
        <f t="shared" si="51"/>
        <v>3556195.2413793104</v>
      </c>
      <c r="D144" s="4">
        <f t="shared" si="47"/>
        <v>3.3313571867485903E-2</v>
      </c>
      <c r="E144" s="3"/>
      <c r="F144" s="7">
        <v>46163</v>
      </c>
      <c r="G144" s="3">
        <f>+Tabla22[[#This Row],[Meta Digital]]+Tabla22[[#This Row],[Meta MKPlace]]</f>
        <v>4639779.3205408398</v>
      </c>
      <c r="H144" s="3">
        <f>+Tabla2[[#This Row],[Meta Digital]]</f>
        <v>3630378.0929560172</v>
      </c>
      <c r="I144" s="3">
        <f>+Tabla2[[#This Row],[Meta MKPlace]]</f>
        <v>1009401.2275848228</v>
      </c>
      <c r="J144" s="3">
        <v>2759403</v>
      </c>
      <c r="K144" s="3"/>
      <c r="L144" s="3">
        <v>22517.241379310341</v>
      </c>
      <c r="M144" s="3"/>
      <c r="N144" s="3">
        <v>59374</v>
      </c>
      <c r="O144" s="3"/>
      <c r="P144" s="3">
        <v>11701</v>
      </c>
      <c r="Q144" s="3"/>
      <c r="R144" s="3">
        <v>96289</v>
      </c>
      <c r="S144" s="3"/>
      <c r="T144" s="3">
        <v>374047</v>
      </c>
      <c r="U144" s="3"/>
      <c r="V144" s="3">
        <v>193832</v>
      </c>
      <c r="W144" s="3"/>
      <c r="X144" s="3">
        <v>28023</v>
      </c>
      <c r="Y144" s="3"/>
      <c r="Z144" s="3">
        <v>11009</v>
      </c>
      <c r="AA144" s="3"/>
      <c r="AB144" s="3">
        <v>0</v>
      </c>
      <c r="AC144" s="3"/>
      <c r="AD144" s="3">
        <v>0</v>
      </c>
      <c r="AE144" s="3"/>
      <c r="AF144" s="5">
        <f t="shared" si="48"/>
        <v>0</v>
      </c>
      <c r="AG144" s="4">
        <f t="shared" si="49"/>
        <v>0</v>
      </c>
      <c r="AH144" s="5">
        <f t="shared" si="50"/>
        <v>-4639779.3205408398</v>
      </c>
      <c r="AI144" s="17">
        <f t="shared" si="42"/>
        <v>-1</v>
      </c>
      <c r="AJ144" s="17">
        <f t="shared" si="43"/>
        <v>9.6148381354023871E-2</v>
      </c>
      <c r="AK144" s="14" t="e">
        <f t="shared" si="44"/>
        <v>#DIV/0!</v>
      </c>
      <c r="AL144" s="14">
        <f t="shared" si="45"/>
        <v>-1</v>
      </c>
      <c r="AO144" s="19">
        <f>+Tabla22[[#This Row],[Web + APP 2025]]+Tabla22[[#This Row],[Afiliados 2025]]+Tabla22[[#This Row],[TMK 2025]]+Tabla22[[#This Row],[WA 2025]]+Tabla22[[#This Row],[Ent. en Tienda 2025]]</f>
        <v>2949284.2413793104</v>
      </c>
      <c r="AP144" s="19">
        <f>+Tabla22[[#This Row],[Meli Drop 2025]]+Tabla22[[#This Row],[Meli Full 2025]]+Tabla22[[#This Row],[Amazon Drop 2025]]+Tabla22[[#This Row],[Amazon Full 2025]]+Tabla22[[#This Row],[TikTok 2025]]+Tabla22[[#This Row],[Shein 2025]]</f>
        <v>606911</v>
      </c>
    </row>
    <row r="145" spans="1:42" hidden="1" x14ac:dyDescent="0.3">
      <c r="A145" s="7">
        <v>45799</v>
      </c>
      <c r="B145" s="3">
        <f>+'BD MD'!B144</f>
        <v>36223027</v>
      </c>
      <c r="C145" s="3">
        <f t="shared" si="51"/>
        <v>3482785.4137931033</v>
      </c>
      <c r="D145" s="4">
        <f t="shared" si="47"/>
        <v>3.2625886461854374E-2</v>
      </c>
      <c r="E145" s="3"/>
      <c r="F145" s="7">
        <v>46164</v>
      </c>
      <c r="G145" s="3">
        <f>+Tabla22[[#This Row],[Meta Digital]]+Tabla22[[#This Row],[Meta MKPlace]]</f>
        <v>4544001.2833859278</v>
      </c>
      <c r="H145" s="3">
        <f>+Tabla2[[#This Row],[Meta Digital]]</f>
        <v>3555436.9235917404</v>
      </c>
      <c r="I145" s="3">
        <f>+Tabla2[[#This Row],[Meta MKPlace]]</f>
        <v>988564.35979418748</v>
      </c>
      <c r="J145" s="3">
        <v>2725438</v>
      </c>
      <c r="K145" s="3"/>
      <c r="L145" s="3">
        <v>22197.413793103446</v>
      </c>
      <c r="M145" s="3"/>
      <c r="N145" s="3">
        <v>57018</v>
      </c>
      <c r="O145" s="3"/>
      <c r="P145" s="3">
        <v>2723</v>
      </c>
      <c r="Q145" s="3"/>
      <c r="R145" s="3">
        <v>100755</v>
      </c>
      <c r="S145" s="3"/>
      <c r="T145" s="3">
        <v>368227</v>
      </c>
      <c r="U145" s="3"/>
      <c r="V145" s="3">
        <v>184282</v>
      </c>
      <c r="W145" s="3"/>
      <c r="X145" s="3">
        <v>13230</v>
      </c>
      <c r="Y145" s="3"/>
      <c r="Z145" s="3">
        <v>8915</v>
      </c>
      <c r="AA145" s="3"/>
      <c r="AB145" s="3">
        <v>0</v>
      </c>
      <c r="AC145" s="3"/>
      <c r="AD145" s="3">
        <v>0</v>
      </c>
      <c r="AE145" s="3"/>
      <c r="AF145" s="5">
        <f t="shared" si="48"/>
        <v>0</v>
      </c>
      <c r="AG145" s="4">
        <f t="shared" si="49"/>
        <v>0</v>
      </c>
      <c r="AH145" s="5">
        <f t="shared" si="50"/>
        <v>-4544001.2833859278</v>
      </c>
      <c r="AI145" s="17">
        <f t="shared" ref="AI145:AI208" si="52">+AF145/C146-1</f>
        <v>-1</v>
      </c>
      <c r="AJ145" s="17">
        <f t="shared" ref="AJ145:AJ208" si="53">+C146/B146</f>
        <v>6.8977677392095163E-2</v>
      </c>
      <c r="AK145" s="14" t="e">
        <f t="shared" ref="AK145:AK208" si="54">+AF145/E145</f>
        <v>#DIV/0!</v>
      </c>
      <c r="AL145" s="14">
        <f t="shared" ref="AL145:AL208" si="55">+E145/B146-1</f>
        <v>-1</v>
      </c>
      <c r="AO145" s="19">
        <f>+Tabla22[[#This Row],[Web + APP 2025]]+Tabla22[[#This Row],[Afiliados 2025]]+Tabla22[[#This Row],[TMK 2025]]+Tabla22[[#This Row],[WA 2025]]+Tabla22[[#This Row],[Ent. en Tienda 2025]]</f>
        <v>2908131.4137931033</v>
      </c>
      <c r="AP145" s="19">
        <f>+Tabla22[[#This Row],[Meli Drop 2025]]+Tabla22[[#This Row],[Meli Full 2025]]+Tabla22[[#This Row],[Amazon Drop 2025]]+Tabla22[[#This Row],[Amazon Full 2025]]+Tabla22[[#This Row],[TikTok 2025]]+Tabla22[[#This Row],[Shein 2025]]</f>
        <v>574654</v>
      </c>
    </row>
    <row r="146" spans="1:42" hidden="1" x14ac:dyDescent="0.3">
      <c r="A146" s="63">
        <v>45800</v>
      </c>
      <c r="B146" s="3">
        <f>+'BD MD'!B145</f>
        <v>37119549</v>
      </c>
      <c r="C146" s="3">
        <f t="shared" si="51"/>
        <v>2560420.2758620689</v>
      </c>
      <c r="D146" s="4">
        <f t="shared" si="47"/>
        <v>2.3985394243375629E-2</v>
      </c>
      <c r="E146" s="3"/>
      <c r="F146" s="7">
        <v>46165</v>
      </c>
      <c r="G146" s="3">
        <f>+Tabla22[[#This Row],[Meta Digital]]+Tabla22[[#This Row],[Meta MKPlace]]</f>
        <v>3340588.5339497253</v>
      </c>
      <c r="H146" s="3">
        <f>+Tabla2[[#This Row],[Meta Digital]]</f>
        <v>2613831.0883754441</v>
      </c>
      <c r="I146" s="3">
        <f>+Tabla2[[#This Row],[Meta MKPlace]]</f>
        <v>726757.4455742815</v>
      </c>
      <c r="J146" s="3">
        <v>1842077</v>
      </c>
      <c r="K146" s="3"/>
      <c r="L146" s="3">
        <v>21773.275862068964</v>
      </c>
      <c r="M146" s="3"/>
      <c r="N146" s="3">
        <v>44511</v>
      </c>
      <c r="O146" s="3"/>
      <c r="P146" s="3">
        <v>5468</v>
      </c>
      <c r="Q146" s="3"/>
      <c r="R146" s="3">
        <v>104707</v>
      </c>
      <c r="S146" s="3"/>
      <c r="T146" s="3">
        <v>359912</v>
      </c>
      <c r="U146" s="3"/>
      <c r="V146" s="3">
        <v>161958</v>
      </c>
      <c r="W146" s="3"/>
      <c r="X146" s="3">
        <v>14507</v>
      </c>
      <c r="Y146" s="3"/>
      <c r="Z146" s="3">
        <v>5507</v>
      </c>
      <c r="AA146" s="3"/>
      <c r="AB146" s="3">
        <v>0</v>
      </c>
      <c r="AC146" s="3"/>
      <c r="AD146" s="3">
        <v>0</v>
      </c>
      <c r="AE146" s="3"/>
      <c r="AF146" s="5">
        <f t="shared" si="48"/>
        <v>0</v>
      </c>
      <c r="AG146" s="4">
        <f t="shared" si="49"/>
        <v>0</v>
      </c>
      <c r="AH146" s="5">
        <f t="shared" si="50"/>
        <v>-3340588.5339497253</v>
      </c>
      <c r="AI146" s="17">
        <f t="shared" si="52"/>
        <v>-1</v>
      </c>
      <c r="AJ146" s="17">
        <f t="shared" si="53"/>
        <v>4.5674196175479929E-2</v>
      </c>
      <c r="AK146" s="14" t="e">
        <f t="shared" si="54"/>
        <v>#DIV/0!</v>
      </c>
      <c r="AL146" s="14">
        <f t="shared" si="55"/>
        <v>-1</v>
      </c>
      <c r="AO146" s="19">
        <f>+Tabla22[[#This Row],[Web + APP 2025]]+Tabla22[[#This Row],[Afiliados 2025]]+Tabla22[[#This Row],[TMK 2025]]+Tabla22[[#This Row],[WA 2025]]+Tabla22[[#This Row],[Ent. en Tienda 2025]]</f>
        <v>2018536.2758620689</v>
      </c>
      <c r="AP146" s="19">
        <f>+Tabla22[[#This Row],[Meli Drop 2025]]+Tabla22[[#This Row],[Meli Full 2025]]+Tabla22[[#This Row],[Amazon Drop 2025]]+Tabla22[[#This Row],[Amazon Full 2025]]+Tabla22[[#This Row],[TikTok 2025]]+Tabla22[[#This Row],[Shein 2025]]</f>
        <v>541884</v>
      </c>
    </row>
    <row r="147" spans="1:42" hidden="1" x14ac:dyDescent="0.3">
      <c r="A147" s="7">
        <v>45801</v>
      </c>
      <c r="B147" s="3">
        <f>+'BD MD'!B146</f>
        <v>45670035</v>
      </c>
      <c r="C147" s="3">
        <f t="shared" si="51"/>
        <v>2085942.1379310344</v>
      </c>
      <c r="D147" s="4">
        <f t="shared" si="47"/>
        <v>1.9540598478622946E-2</v>
      </c>
      <c r="E147" s="3"/>
      <c r="F147" s="7">
        <v>46166</v>
      </c>
      <c r="G147" s="3">
        <f>+Tabla22[[#This Row],[Meta Digital]]+Tabla22[[#This Row],[Meta MKPlace]]</f>
        <v>2721535.3878217665</v>
      </c>
      <c r="H147" s="3">
        <f>+Tabla2[[#This Row],[Meta Digital]]</f>
        <v>2129455.2539194915</v>
      </c>
      <c r="I147" s="3">
        <f>+Tabla2[[#This Row],[Meta MKPlace]]</f>
        <v>592080.13390227524</v>
      </c>
      <c r="J147" s="3">
        <v>1490912</v>
      </c>
      <c r="K147" s="3"/>
      <c r="L147" s="3">
        <v>21924.137931034478</v>
      </c>
      <c r="M147" s="3"/>
      <c r="N147" s="3">
        <v>4053</v>
      </c>
      <c r="O147" s="3"/>
      <c r="P147" s="3">
        <v>-155</v>
      </c>
      <c r="Q147" s="3"/>
      <c r="R147" s="3">
        <v>60410</v>
      </c>
      <c r="S147" s="3"/>
      <c r="T147" s="3">
        <v>342742</v>
      </c>
      <c r="U147" s="3"/>
      <c r="V147" s="3">
        <v>137614</v>
      </c>
      <c r="W147" s="3"/>
      <c r="X147" s="3">
        <v>23925</v>
      </c>
      <c r="Y147" s="3"/>
      <c r="Z147" s="3">
        <v>4517</v>
      </c>
      <c r="AA147" s="3"/>
      <c r="AB147" s="3">
        <v>0</v>
      </c>
      <c r="AC147" s="3"/>
      <c r="AD147" s="3">
        <v>0</v>
      </c>
      <c r="AE147" s="3"/>
      <c r="AF147" s="5">
        <f t="shared" si="48"/>
        <v>0</v>
      </c>
      <c r="AG147" s="4">
        <f t="shared" si="49"/>
        <v>0</v>
      </c>
      <c r="AH147" s="5">
        <f t="shared" si="50"/>
        <v>-2721535.3878217665</v>
      </c>
      <c r="AI147" s="17">
        <f t="shared" si="52"/>
        <v>-1</v>
      </c>
      <c r="AJ147" s="17">
        <f t="shared" si="53"/>
        <v>5.4733307851918746E-2</v>
      </c>
      <c r="AK147" s="14" t="e">
        <f t="shared" si="54"/>
        <v>#DIV/0!</v>
      </c>
      <c r="AL147" s="14">
        <f t="shared" si="55"/>
        <v>-1</v>
      </c>
      <c r="AO147" s="19">
        <f>+Tabla22[[#This Row],[Web + APP 2025]]+Tabla22[[#This Row],[Afiliados 2025]]+Tabla22[[#This Row],[TMK 2025]]+Tabla22[[#This Row],[WA 2025]]+Tabla22[[#This Row],[Ent. en Tienda 2025]]</f>
        <v>1577144.1379310344</v>
      </c>
      <c r="AP147" s="19">
        <f>+Tabla22[[#This Row],[Meli Drop 2025]]+Tabla22[[#This Row],[Meli Full 2025]]+Tabla22[[#This Row],[Amazon Drop 2025]]+Tabla22[[#This Row],[Amazon Full 2025]]+Tabla22[[#This Row],[TikTok 2025]]+Tabla22[[#This Row],[Shein 2025]]</f>
        <v>508798</v>
      </c>
    </row>
    <row r="148" spans="1:42" hidden="1" x14ac:dyDescent="0.3">
      <c r="A148" s="63">
        <v>45802</v>
      </c>
      <c r="B148" s="3">
        <f>+'BD MD'!B147</f>
        <v>43078411</v>
      </c>
      <c r="C148" s="3">
        <f t="shared" si="51"/>
        <v>2357823.931034483</v>
      </c>
      <c r="D148" s="4">
        <f t="shared" si="47"/>
        <v>2.2087520972816393E-2</v>
      </c>
      <c r="E148" s="3"/>
      <c r="F148" s="7">
        <v>46167</v>
      </c>
      <c r="G148" s="3">
        <f>+Tabla22[[#This Row],[Meta Digital]]+Tabla22[[#This Row],[Meta MKPlace]]</f>
        <v>3076260.4340157062</v>
      </c>
      <c r="H148" s="3">
        <f>+Tabla2[[#This Row],[Meta Digital]]</f>
        <v>2407008.5485393694</v>
      </c>
      <c r="I148" s="3">
        <f>+Tabla2[[#This Row],[Meta MKPlace]]</f>
        <v>669251.8854763367</v>
      </c>
      <c r="J148" s="3">
        <v>1648534</v>
      </c>
      <c r="K148" s="3"/>
      <c r="L148" s="3">
        <v>27512.931034482754</v>
      </c>
      <c r="M148" s="3"/>
      <c r="N148" s="3">
        <v>7700</v>
      </c>
      <c r="O148" s="3"/>
      <c r="P148" s="3">
        <v>-1294</v>
      </c>
      <c r="Q148" s="3"/>
      <c r="R148" s="3">
        <v>100831</v>
      </c>
      <c r="S148" s="3"/>
      <c r="T148" s="3">
        <v>396662</v>
      </c>
      <c r="U148" s="3"/>
      <c r="V148" s="3">
        <v>149588</v>
      </c>
      <c r="W148" s="3"/>
      <c r="X148" s="3">
        <v>19789</v>
      </c>
      <c r="Y148" s="3"/>
      <c r="Z148" s="3">
        <v>8501</v>
      </c>
      <c r="AA148" s="3"/>
      <c r="AB148" s="3">
        <v>0</v>
      </c>
      <c r="AC148" s="3"/>
      <c r="AD148" s="3">
        <v>0</v>
      </c>
      <c r="AE148" s="3"/>
      <c r="AF148" s="5">
        <f t="shared" si="48"/>
        <v>0</v>
      </c>
      <c r="AG148" s="4">
        <f t="shared" si="49"/>
        <v>0</v>
      </c>
      <c r="AH148" s="5">
        <f t="shared" si="50"/>
        <v>-3076260.4340157062</v>
      </c>
      <c r="AI148" s="17">
        <f t="shared" si="52"/>
        <v>-1</v>
      </c>
      <c r="AJ148" s="17">
        <f t="shared" si="53"/>
        <v>0.17365839229752345</v>
      </c>
      <c r="AK148" s="14" t="e">
        <f t="shared" si="54"/>
        <v>#DIV/0!</v>
      </c>
      <c r="AL148" s="14">
        <f t="shared" si="55"/>
        <v>-1</v>
      </c>
      <c r="AO148" s="19">
        <f>+Tabla22[[#This Row],[Web + APP 2025]]+Tabla22[[#This Row],[Afiliados 2025]]+Tabla22[[#This Row],[TMK 2025]]+Tabla22[[#This Row],[WA 2025]]+Tabla22[[#This Row],[Ent. en Tienda 2025]]</f>
        <v>1783283.9310344828</v>
      </c>
      <c r="AP148" s="19">
        <f>+Tabla22[[#This Row],[Meli Drop 2025]]+Tabla22[[#This Row],[Meli Full 2025]]+Tabla22[[#This Row],[Amazon Drop 2025]]+Tabla22[[#This Row],[Amazon Full 2025]]+Tabla22[[#This Row],[TikTok 2025]]+Tabla22[[#This Row],[Shein 2025]]</f>
        <v>574540</v>
      </c>
    </row>
    <row r="149" spans="1:42" hidden="1" x14ac:dyDescent="0.3">
      <c r="A149" s="7">
        <v>45803</v>
      </c>
      <c r="B149" s="3">
        <f>+'BD MD'!B148</f>
        <v>26417617</v>
      </c>
      <c r="C149" s="3">
        <f t="shared" si="51"/>
        <v>4587640.8965517245</v>
      </c>
      <c r="D149" s="4">
        <f t="shared" si="47"/>
        <v>4.2975903834294608E-2</v>
      </c>
      <c r="E149" s="3"/>
      <c r="F149" s="7">
        <v>46168</v>
      </c>
      <c r="G149" s="3">
        <f>+Tabla22[[#This Row],[Meta Digital]]+Tabla22[[#This Row],[Meta MKPlace]]</f>
        <v>5985509.7701644348</v>
      </c>
      <c r="H149" s="3">
        <f>+Tabla2[[#This Row],[Meta Digital]]</f>
        <v>4683339.883985308</v>
      </c>
      <c r="I149" s="3">
        <f>+Tabla2[[#This Row],[Meta MKPlace]]</f>
        <v>1302169.8861791266</v>
      </c>
      <c r="J149" s="3">
        <v>3471403</v>
      </c>
      <c r="K149" s="3"/>
      <c r="L149" s="3">
        <v>24606.89655172413</v>
      </c>
      <c r="M149" s="3"/>
      <c r="N149" s="3">
        <v>37482</v>
      </c>
      <c r="O149" s="3"/>
      <c r="P149" s="3">
        <v>8128</v>
      </c>
      <c r="Q149" s="3"/>
      <c r="R149" s="3">
        <v>96490</v>
      </c>
      <c r="S149" s="3"/>
      <c r="T149" s="3">
        <v>729673</v>
      </c>
      <c r="U149" s="3"/>
      <c r="V149" s="3">
        <v>173445</v>
      </c>
      <c r="W149" s="3"/>
      <c r="X149" s="3">
        <v>31849</v>
      </c>
      <c r="Y149" s="3"/>
      <c r="Z149" s="3">
        <v>14564</v>
      </c>
      <c r="AA149" s="3"/>
      <c r="AB149" s="3">
        <v>0</v>
      </c>
      <c r="AC149" s="3"/>
      <c r="AD149" s="3">
        <v>0</v>
      </c>
      <c r="AE149" s="3"/>
      <c r="AF149" s="5">
        <f t="shared" si="48"/>
        <v>0</v>
      </c>
      <c r="AG149" s="4">
        <f t="shared" si="49"/>
        <v>0</v>
      </c>
      <c r="AH149" s="5">
        <f t="shared" si="50"/>
        <v>-5985509.7701644348</v>
      </c>
      <c r="AI149" s="17">
        <f t="shared" si="52"/>
        <v>-1</v>
      </c>
      <c r="AJ149" s="17">
        <f t="shared" si="53"/>
        <v>0.18628988727198137</v>
      </c>
      <c r="AK149" s="14" t="e">
        <f t="shared" si="54"/>
        <v>#DIV/0!</v>
      </c>
      <c r="AL149" s="14">
        <f t="shared" si="55"/>
        <v>-1</v>
      </c>
      <c r="AO149" s="19">
        <f>+Tabla22[[#This Row],[Web + APP 2025]]+Tabla22[[#This Row],[Afiliados 2025]]+Tabla22[[#This Row],[TMK 2025]]+Tabla22[[#This Row],[WA 2025]]+Tabla22[[#This Row],[Ent. en Tienda 2025]]</f>
        <v>3638109.8965517241</v>
      </c>
      <c r="AP149" s="19">
        <f>+Tabla22[[#This Row],[Meli Drop 2025]]+Tabla22[[#This Row],[Meli Full 2025]]+Tabla22[[#This Row],[Amazon Drop 2025]]+Tabla22[[#This Row],[Amazon Full 2025]]+Tabla22[[#This Row],[TikTok 2025]]+Tabla22[[#This Row],[Shein 2025]]</f>
        <v>949531</v>
      </c>
    </row>
    <row r="150" spans="1:42" hidden="1" x14ac:dyDescent="0.3">
      <c r="A150" s="63">
        <v>45804</v>
      </c>
      <c r="B150" s="3">
        <f>+'BD MD'!B149</f>
        <v>31571706</v>
      </c>
      <c r="C150" s="3">
        <f t="shared" si="51"/>
        <v>5881489.5517241377</v>
      </c>
      <c r="D150" s="4">
        <f t="shared" si="47"/>
        <v>5.50963632675113E-2</v>
      </c>
      <c r="E150" s="3"/>
      <c r="F150" s="7">
        <v>46169</v>
      </c>
      <c r="G150" s="3">
        <f>+Tabla22[[#This Row],[Meta Digital]]+Tabla22[[#This Row],[Meta MKPlace]]</f>
        <v>7673598.2542630024</v>
      </c>
      <c r="H150" s="3">
        <f>+Tabla2[[#This Row],[Meta Digital]]</f>
        <v>6004178.4472574098</v>
      </c>
      <c r="I150" s="3">
        <f>+Tabla2[[#This Row],[Meta MKPlace]]</f>
        <v>1669419.8070055924</v>
      </c>
      <c r="J150" s="3">
        <v>4105033</v>
      </c>
      <c r="K150" s="3"/>
      <c r="L150" s="3">
        <v>24421.551724137928</v>
      </c>
      <c r="M150" s="3"/>
      <c r="N150" s="3">
        <v>55831</v>
      </c>
      <c r="O150" s="3"/>
      <c r="P150" s="3">
        <v>10097</v>
      </c>
      <c r="Q150" s="3"/>
      <c r="R150" s="3">
        <v>119447</v>
      </c>
      <c r="S150" s="3"/>
      <c r="T150" s="3">
        <v>1213906</v>
      </c>
      <c r="U150" s="3"/>
      <c r="V150" s="3">
        <v>294966</v>
      </c>
      <c r="W150" s="3"/>
      <c r="X150" s="3">
        <v>45119</v>
      </c>
      <c r="Y150" s="3"/>
      <c r="Z150" s="3">
        <v>12669</v>
      </c>
      <c r="AA150" s="3"/>
      <c r="AB150" s="3">
        <v>0</v>
      </c>
      <c r="AC150" s="3"/>
      <c r="AD150" s="3">
        <v>0</v>
      </c>
      <c r="AE150" s="3"/>
      <c r="AF150" s="5">
        <f t="shared" si="48"/>
        <v>0</v>
      </c>
      <c r="AG150" s="4">
        <f t="shared" si="49"/>
        <v>0</v>
      </c>
      <c r="AH150" s="5">
        <f t="shared" si="50"/>
        <v>-7673598.2542630024</v>
      </c>
      <c r="AI150" s="17">
        <f t="shared" si="52"/>
        <v>-1</v>
      </c>
      <c r="AJ150" s="17">
        <f t="shared" si="53"/>
        <v>0.16609570361762527</v>
      </c>
      <c r="AK150" s="14" t="e">
        <f t="shared" si="54"/>
        <v>#DIV/0!</v>
      </c>
      <c r="AL150" s="14">
        <f t="shared" si="55"/>
        <v>-1</v>
      </c>
      <c r="AO150" s="19">
        <f>+Tabla22[[#This Row],[Web + APP 2025]]+Tabla22[[#This Row],[Afiliados 2025]]+Tabla22[[#This Row],[TMK 2025]]+Tabla22[[#This Row],[WA 2025]]+Tabla22[[#This Row],[Ent. en Tienda 2025]]</f>
        <v>4314829.5517241377</v>
      </c>
      <c r="AP150" s="19">
        <f>+Tabla22[[#This Row],[Meli Drop 2025]]+Tabla22[[#This Row],[Meli Full 2025]]+Tabla22[[#This Row],[Amazon Drop 2025]]+Tabla22[[#This Row],[Amazon Full 2025]]+Tabla22[[#This Row],[TikTok 2025]]+Tabla22[[#This Row],[Shein 2025]]</f>
        <v>1566660</v>
      </c>
    </row>
    <row r="151" spans="1:42" hidden="1" x14ac:dyDescent="0.3">
      <c r="A151" s="7">
        <v>45805</v>
      </c>
      <c r="B151" s="3">
        <f>+'BD MD'!B150</f>
        <v>34320185</v>
      </c>
      <c r="C151" s="3">
        <f t="shared" si="51"/>
        <v>5700435.2758620689</v>
      </c>
      <c r="D151" s="4">
        <f t="shared" si="47"/>
        <v>5.3400290858250876E-2</v>
      </c>
      <c r="E151" s="3"/>
      <c r="F151" s="7">
        <v>46170</v>
      </c>
      <c r="G151" s="3">
        <f>+Tabla22[[#This Row],[Meta Digital]]+Tabla22[[#This Row],[Meta MKPlace]]</f>
        <v>7437376.1606991785</v>
      </c>
      <c r="H151" s="3">
        <f>+Tabla2[[#This Row],[Meta Digital]]</f>
        <v>5819347.3476941772</v>
      </c>
      <c r="I151" s="3">
        <f>+Tabla2[[#This Row],[Meta MKPlace]]</f>
        <v>1618028.8130050015</v>
      </c>
      <c r="J151" s="3">
        <v>3686445</v>
      </c>
      <c r="K151" s="3"/>
      <c r="L151" s="3">
        <v>31223.275862068956</v>
      </c>
      <c r="M151" s="3"/>
      <c r="N151" s="3">
        <v>60377</v>
      </c>
      <c r="O151" s="3"/>
      <c r="P151" s="3">
        <v>8759</v>
      </c>
      <c r="Q151" s="3"/>
      <c r="R151" s="3">
        <v>88703</v>
      </c>
      <c r="S151" s="3"/>
      <c r="T151" s="3">
        <v>1382114</v>
      </c>
      <c r="U151" s="3"/>
      <c r="V151" s="3">
        <v>371492</v>
      </c>
      <c r="W151" s="3"/>
      <c r="X151" s="3">
        <v>45166</v>
      </c>
      <c r="Y151" s="3"/>
      <c r="Z151" s="3">
        <v>26156</v>
      </c>
      <c r="AA151" s="3"/>
      <c r="AB151" s="3">
        <v>0</v>
      </c>
      <c r="AC151" s="3"/>
      <c r="AD151" s="3">
        <v>0</v>
      </c>
      <c r="AE151" s="3"/>
      <c r="AF151" s="5">
        <f t="shared" si="48"/>
        <v>0</v>
      </c>
      <c r="AG151" s="4">
        <f t="shared" si="49"/>
        <v>0</v>
      </c>
      <c r="AH151" s="5">
        <f t="shared" si="50"/>
        <v>-7437376.1606991785</v>
      </c>
      <c r="AI151" s="17">
        <f t="shared" si="52"/>
        <v>-1</v>
      </c>
      <c r="AJ151" s="17">
        <f t="shared" si="53"/>
        <v>0.12622528907363834</v>
      </c>
      <c r="AK151" s="14" t="e">
        <f t="shared" si="54"/>
        <v>#DIV/0!</v>
      </c>
      <c r="AL151" s="14">
        <f t="shared" si="55"/>
        <v>-1</v>
      </c>
      <c r="AO151" s="19">
        <f>+Tabla22[[#This Row],[Web + APP 2025]]+Tabla22[[#This Row],[Afiliados 2025]]+Tabla22[[#This Row],[TMK 2025]]+Tabla22[[#This Row],[WA 2025]]+Tabla22[[#This Row],[Ent. en Tienda 2025]]</f>
        <v>3875507.2758620689</v>
      </c>
      <c r="AP151" s="19">
        <f>+Tabla22[[#This Row],[Meli Drop 2025]]+Tabla22[[#This Row],[Meli Full 2025]]+Tabla22[[#This Row],[Amazon Drop 2025]]+Tabla22[[#This Row],[Amazon Full 2025]]+Tabla22[[#This Row],[TikTok 2025]]+Tabla22[[#This Row],[Shein 2025]]</f>
        <v>1824928</v>
      </c>
    </row>
    <row r="152" spans="1:42" hidden="1" x14ac:dyDescent="0.3">
      <c r="A152" s="63">
        <v>45806</v>
      </c>
      <c r="B152" s="3">
        <f>+'BD MD'!B151</f>
        <v>37519109</v>
      </c>
      <c r="C152" s="3">
        <f t="shared" si="51"/>
        <v>4735860.3793103453</v>
      </c>
      <c r="D152" s="4">
        <f t="shared" si="47"/>
        <v>4.4364387889834184E-2</v>
      </c>
      <c r="E152" s="3"/>
      <c r="F152" s="7">
        <v>46171</v>
      </c>
      <c r="G152" s="3">
        <f>+Tabla22[[#This Row],[Meta Digital]]+Tabla22[[#This Row],[Meta MKPlace]]</f>
        <v>6178892.2040090878</v>
      </c>
      <c r="H152" s="3">
        <f>+Tabla2[[#This Row],[Meta Digital]]</f>
        <v>4834651.2509471122</v>
      </c>
      <c r="I152" s="3">
        <f>+Tabla2[[#This Row],[Meta MKPlace]]</f>
        <v>1344240.9530619758</v>
      </c>
      <c r="J152" s="3">
        <v>3006591</v>
      </c>
      <c r="K152" s="3"/>
      <c r="L152" s="3">
        <v>27291.379310344819</v>
      </c>
      <c r="M152" s="3"/>
      <c r="N152" s="3">
        <v>44594</v>
      </c>
      <c r="O152" s="3"/>
      <c r="P152" s="3">
        <v>8693</v>
      </c>
      <c r="Q152" s="3"/>
      <c r="R152" s="3">
        <v>93162</v>
      </c>
      <c r="S152" s="3"/>
      <c r="T152" s="3">
        <v>1195372</v>
      </c>
      <c r="U152" s="3"/>
      <c r="V152" s="3">
        <v>298834</v>
      </c>
      <c r="W152" s="3"/>
      <c r="X152" s="3">
        <v>46665</v>
      </c>
      <c r="Y152" s="3"/>
      <c r="Z152" s="3">
        <v>14658</v>
      </c>
      <c r="AA152" s="3"/>
      <c r="AB152" s="3">
        <v>0</v>
      </c>
      <c r="AC152" s="3"/>
      <c r="AD152" s="3">
        <v>0</v>
      </c>
      <c r="AE152" s="3"/>
      <c r="AF152" s="5">
        <f t="shared" si="48"/>
        <v>0</v>
      </c>
      <c r="AG152" s="4">
        <f t="shared" si="49"/>
        <v>0</v>
      </c>
      <c r="AH152" s="5">
        <f t="shared" si="50"/>
        <v>-6178892.2040090878</v>
      </c>
      <c r="AI152" s="17">
        <f t="shared" si="52"/>
        <v>-1</v>
      </c>
      <c r="AJ152" s="17">
        <f t="shared" si="53"/>
        <v>9.7571173661689548E-2</v>
      </c>
      <c r="AK152" s="14" t="e">
        <f t="shared" si="54"/>
        <v>#DIV/0!</v>
      </c>
      <c r="AL152" s="14">
        <f t="shared" si="55"/>
        <v>-1</v>
      </c>
      <c r="AO152" s="19">
        <f>+Tabla22[[#This Row],[Web + APP 2025]]+Tabla22[[#This Row],[Afiliados 2025]]+Tabla22[[#This Row],[TMK 2025]]+Tabla22[[#This Row],[WA 2025]]+Tabla22[[#This Row],[Ent. en Tienda 2025]]</f>
        <v>3180331.3793103448</v>
      </c>
      <c r="AP152" s="19">
        <f>+Tabla22[[#This Row],[Meli Drop 2025]]+Tabla22[[#This Row],[Meli Full 2025]]+Tabla22[[#This Row],[Amazon Drop 2025]]+Tabla22[[#This Row],[Amazon Full 2025]]+Tabla22[[#This Row],[TikTok 2025]]+Tabla22[[#This Row],[Shein 2025]]</f>
        <v>1555529</v>
      </c>
    </row>
    <row r="153" spans="1:42" hidden="1" x14ac:dyDescent="0.3">
      <c r="A153" s="7">
        <v>45807</v>
      </c>
      <c r="B153" s="3">
        <f>+'BD MD'!B152</f>
        <v>43157206</v>
      </c>
      <c r="C153" s="3">
        <f t="shared" si="51"/>
        <v>4210899.2413793104</v>
      </c>
      <c r="D153" s="4">
        <f t="shared" si="47"/>
        <v>3.9446679662622323E-2</v>
      </c>
      <c r="E153" s="3"/>
      <c r="F153" s="7">
        <v>46172</v>
      </c>
      <c r="G153" s="3">
        <f>+Tabla22[[#This Row],[Meta Digital]]+Tabla22[[#This Row],[Meta MKPlace]]</f>
        <v>5493973.7261036718</v>
      </c>
      <c r="H153" s="3">
        <f>+Tabla2[[#This Row],[Meta Digital]]</f>
        <v>4298739.3323262157</v>
      </c>
      <c r="I153" s="3">
        <f>+Tabla2[[#This Row],[Meta MKPlace]]</f>
        <v>1195234.3937774564</v>
      </c>
      <c r="J153" s="3">
        <v>2492801</v>
      </c>
      <c r="K153" s="3"/>
      <c r="L153" s="3">
        <v>37442.241379310333</v>
      </c>
      <c r="M153" s="3"/>
      <c r="N153" s="3">
        <v>36352</v>
      </c>
      <c r="O153" s="3"/>
      <c r="P153" s="3">
        <v>7638</v>
      </c>
      <c r="Q153" s="3"/>
      <c r="R153" s="3">
        <v>113450</v>
      </c>
      <c r="S153" s="3"/>
      <c r="T153" s="3">
        <v>1220737</v>
      </c>
      <c r="U153" s="3"/>
      <c r="V153" s="3">
        <v>249590</v>
      </c>
      <c r="W153" s="3"/>
      <c r="X153" s="3">
        <v>38407</v>
      </c>
      <c r="Y153" s="3"/>
      <c r="Z153" s="3">
        <v>14482</v>
      </c>
      <c r="AA153" s="3"/>
      <c r="AB153" s="3">
        <v>0</v>
      </c>
      <c r="AC153" s="3"/>
      <c r="AD153" s="3">
        <v>0</v>
      </c>
      <c r="AE153" s="3"/>
      <c r="AF153" s="5">
        <f t="shared" si="48"/>
        <v>0</v>
      </c>
      <c r="AG153" s="4">
        <f t="shared" si="49"/>
        <v>0</v>
      </c>
      <c r="AH153" s="5">
        <f t="shared" si="50"/>
        <v>-5493973.7261036718</v>
      </c>
      <c r="AI153" s="17">
        <f t="shared" si="52"/>
        <v>-1</v>
      </c>
      <c r="AJ153" s="17">
        <f t="shared" si="53"/>
        <v>7.4666685862339127E-2</v>
      </c>
      <c r="AK153" s="14" t="e">
        <f t="shared" si="54"/>
        <v>#DIV/0!</v>
      </c>
      <c r="AL153" s="14">
        <f t="shared" si="55"/>
        <v>-1</v>
      </c>
      <c r="AO153" s="19">
        <f>+Tabla22[[#This Row],[Web + APP 2025]]+Tabla22[[#This Row],[Afiliados 2025]]+Tabla22[[#This Row],[TMK 2025]]+Tabla22[[#This Row],[WA 2025]]+Tabla22[[#This Row],[Ent. en Tienda 2025]]</f>
        <v>2687683.2413793104</v>
      </c>
      <c r="AP153" s="19">
        <f>+Tabla22[[#This Row],[Meli Drop 2025]]+Tabla22[[#This Row],[Meli Full 2025]]+Tabla22[[#This Row],[Amazon Drop 2025]]+Tabla22[[#This Row],[Amazon Full 2025]]+Tabla22[[#This Row],[TikTok 2025]]+Tabla22[[#This Row],[Shein 2025]]</f>
        <v>1523216</v>
      </c>
    </row>
    <row r="154" spans="1:42" hidden="1" x14ac:dyDescent="0.3">
      <c r="A154" s="63">
        <v>45808</v>
      </c>
      <c r="B154" s="3">
        <f>+'BD MD'!B153</f>
        <v>51180118</v>
      </c>
      <c r="C154" s="3">
        <f t="shared" si="51"/>
        <v>3821449.7931034481</v>
      </c>
      <c r="D154" s="4">
        <f t="shared" si="47"/>
        <v>3.5798411976718056E-2</v>
      </c>
      <c r="E154" s="3"/>
      <c r="F154" s="7">
        <v>46173</v>
      </c>
      <c r="G154" s="3">
        <f>+Tabla22[[#This Row],[Meta Digital]]+Tabla22[[#This Row],[Meta MKPlace]]</f>
        <v>4985857.7836827114</v>
      </c>
      <c r="H154" s="3">
        <f>+Tabla2[[#This Row],[Meta Digital]]</f>
        <v>3901165.900788154</v>
      </c>
      <c r="I154" s="3">
        <f>+Tabla2[[#This Row],[Meta MKPlace]]</f>
        <v>1084691.8828945572</v>
      </c>
      <c r="J154" s="3">
        <v>2298316</v>
      </c>
      <c r="K154" s="3"/>
      <c r="L154" s="3">
        <v>34463.793103448254</v>
      </c>
      <c r="M154" s="3"/>
      <c r="N154" s="3">
        <v>19296</v>
      </c>
      <c r="O154" s="3"/>
      <c r="P154" s="3">
        <v>4141</v>
      </c>
      <c r="Q154" s="3"/>
      <c r="R154" s="3">
        <v>119066</v>
      </c>
      <c r="S154" s="3"/>
      <c r="T154" s="3">
        <v>1010801</v>
      </c>
      <c r="U154" s="3"/>
      <c r="V154" s="3">
        <v>278925</v>
      </c>
      <c r="W154" s="3"/>
      <c r="X154" s="3">
        <v>39390</v>
      </c>
      <c r="Y154" s="3"/>
      <c r="Z154" s="3">
        <v>17051</v>
      </c>
      <c r="AA154" s="3"/>
      <c r="AB154" s="3">
        <v>0</v>
      </c>
      <c r="AC154" s="3"/>
      <c r="AD154" s="3">
        <v>0</v>
      </c>
      <c r="AE154" s="3"/>
      <c r="AF154" s="5">
        <f t="shared" si="48"/>
        <v>0</v>
      </c>
      <c r="AG154" s="4">
        <f t="shared" si="49"/>
        <v>0</v>
      </c>
      <c r="AH154" s="5">
        <f t="shared" si="50"/>
        <v>-4985857.7836827114</v>
      </c>
      <c r="AI154" s="17">
        <f t="shared" si="52"/>
        <v>-1</v>
      </c>
      <c r="AJ154" s="17">
        <f t="shared" si="53"/>
        <v>8.0082957001188254E-2</v>
      </c>
      <c r="AK154" s="14" t="e">
        <f t="shared" si="54"/>
        <v>#DIV/0!</v>
      </c>
      <c r="AL154" s="14">
        <f t="shared" si="55"/>
        <v>-1</v>
      </c>
      <c r="AO154" s="19">
        <f>+Tabla22[[#This Row],[Web + APP 2025]]+Tabla22[[#This Row],[Afiliados 2025]]+Tabla22[[#This Row],[TMK 2025]]+Tabla22[[#This Row],[WA 2025]]+Tabla22[[#This Row],[Ent. en Tienda 2025]]</f>
        <v>2475282.7931034481</v>
      </c>
      <c r="AP154" s="19">
        <f>+Tabla22[[#This Row],[Meli Drop 2025]]+Tabla22[[#This Row],[Meli Full 2025]]+Tabla22[[#This Row],[Amazon Drop 2025]]+Tabla22[[#This Row],[Amazon Full 2025]]+Tabla22[[#This Row],[TikTok 2025]]+Tabla22[[#This Row],[Shein 2025]]</f>
        <v>1346167</v>
      </c>
    </row>
    <row r="155" spans="1:42" hidden="1" x14ac:dyDescent="0.3">
      <c r="A155" s="7">
        <v>45809</v>
      </c>
      <c r="B155" s="3">
        <f>+'BD MD'!B154</f>
        <v>54033676</v>
      </c>
      <c r="C155" s="3">
        <f t="shared" si="51"/>
        <v>4327176.5517241377</v>
      </c>
      <c r="D155" s="4">
        <f>+C155/(SUM($C$155:$C$184))</f>
        <v>3.737345737463011E-2</v>
      </c>
      <c r="E155" s="3"/>
      <c r="F155" s="7">
        <v>46174</v>
      </c>
      <c r="G155" s="3">
        <f>+Tabla22[[#This Row],[Meta Digital]]+Tabla22[[#This Row],[Meta MKPlace]]</f>
        <v>5632184.8648500796</v>
      </c>
      <c r="H155" s="3">
        <f>+Tabla2[[#This Row],[Meta Digital]]</f>
        <v>4262447.6520698862</v>
      </c>
      <c r="I155" s="3">
        <f>+Tabla2[[#This Row],[Meta MKPlace]]</f>
        <v>1369737.2127801937</v>
      </c>
      <c r="J155" s="3">
        <v>2641485</v>
      </c>
      <c r="K155" s="3"/>
      <c r="L155" s="3">
        <v>39671.551724137906</v>
      </c>
      <c r="M155" s="3"/>
      <c r="N155" s="3">
        <v>-228</v>
      </c>
      <c r="O155" s="3"/>
      <c r="P155" s="3">
        <v>1403</v>
      </c>
      <c r="Q155" s="3"/>
      <c r="R155" s="3">
        <v>186803</v>
      </c>
      <c r="S155" s="3"/>
      <c r="T155" s="3">
        <v>1125600</v>
      </c>
      <c r="U155" s="3"/>
      <c r="V155" s="3">
        <v>278166</v>
      </c>
      <c r="W155" s="3"/>
      <c r="X155" s="3">
        <v>40863</v>
      </c>
      <c r="Y155" s="3"/>
      <c r="Z155" s="3">
        <v>13413</v>
      </c>
      <c r="AA155" s="3"/>
      <c r="AB155" s="3">
        <v>0</v>
      </c>
      <c r="AC155" s="3"/>
      <c r="AD155" s="3">
        <v>0</v>
      </c>
      <c r="AE155" s="3"/>
      <c r="AF155" s="5">
        <f t="shared" si="48"/>
        <v>0</v>
      </c>
      <c r="AG155" s="4">
        <f t="shared" si="49"/>
        <v>0</v>
      </c>
      <c r="AH155" s="5">
        <f t="shared" si="50"/>
        <v>-5632184.8648500796</v>
      </c>
      <c r="AI155" s="17">
        <f t="shared" si="52"/>
        <v>-1</v>
      </c>
      <c r="AJ155" s="17">
        <f t="shared" si="53"/>
        <v>0.17180180723805138</v>
      </c>
      <c r="AK155" s="14" t="e">
        <f t="shared" si="54"/>
        <v>#DIV/0!</v>
      </c>
      <c r="AL155" s="14">
        <f t="shared" si="55"/>
        <v>-1</v>
      </c>
      <c r="AO155" s="19">
        <f>+Tabla22[[#This Row],[Web + APP 2025]]+Tabla22[[#This Row],[Afiliados 2025]]+Tabla22[[#This Row],[TMK 2025]]+Tabla22[[#This Row],[WA 2025]]+Tabla22[[#This Row],[Ent. en Tienda 2025]]</f>
        <v>2869134.5517241377</v>
      </c>
      <c r="AP155" s="19">
        <f>+Tabla22[[#This Row],[Meli Drop 2025]]+Tabla22[[#This Row],[Meli Full 2025]]+Tabla22[[#This Row],[Amazon Drop 2025]]+Tabla22[[#This Row],[Amazon Full 2025]]+Tabla22[[#This Row],[TikTok 2025]]+Tabla22[[#This Row],[Shein 2025]]</f>
        <v>1458042</v>
      </c>
    </row>
    <row r="156" spans="1:42" hidden="1" x14ac:dyDescent="0.3">
      <c r="A156" s="63">
        <v>45810</v>
      </c>
      <c r="B156" s="3">
        <f>+'BD MD'!B155</f>
        <v>30821255</v>
      </c>
      <c r="C156" s="3">
        <f t="shared" si="51"/>
        <v>5295147.3103448274</v>
      </c>
      <c r="D156" s="4">
        <f>+C156/(SUM($C$155:$C$184))</f>
        <v>4.5733738831781293E-2</v>
      </c>
      <c r="E156" s="3"/>
      <c r="F156" s="7">
        <v>46175</v>
      </c>
      <c r="G156" s="3">
        <f>+Tabla22[[#This Row],[Meta Digital]]+Tabla22[[#This Row],[Meta MKPlace]]</f>
        <v>6892080.3627928812</v>
      </c>
      <c r="H156" s="3">
        <f>+Tabla2[[#This Row],[Meta Digital]]</f>
        <v>5215938.8346080966</v>
      </c>
      <c r="I156" s="3">
        <f>+Tabla2[[#This Row],[Meta MKPlace]]</f>
        <v>1676141.5281847843</v>
      </c>
      <c r="J156" s="3">
        <v>3591037</v>
      </c>
      <c r="K156" s="3"/>
      <c r="L156" s="3">
        <v>32404.310344827569</v>
      </c>
      <c r="M156" s="3"/>
      <c r="N156" s="3">
        <v>47857</v>
      </c>
      <c r="O156" s="3"/>
      <c r="P156" s="3">
        <v>7967</v>
      </c>
      <c r="Q156" s="3"/>
      <c r="R156" s="3">
        <v>133459</v>
      </c>
      <c r="S156" s="3"/>
      <c r="T156" s="3">
        <v>1113451</v>
      </c>
      <c r="U156" s="3"/>
      <c r="V156" s="3">
        <v>281772</v>
      </c>
      <c r="W156" s="3"/>
      <c r="X156" s="3">
        <v>68092</v>
      </c>
      <c r="Y156" s="3"/>
      <c r="Z156" s="3">
        <v>19108</v>
      </c>
      <c r="AA156" s="3"/>
      <c r="AB156" s="3">
        <v>0</v>
      </c>
      <c r="AC156" s="3"/>
      <c r="AD156" s="3">
        <v>0</v>
      </c>
      <c r="AE156" s="3"/>
      <c r="AF156" s="5">
        <f t="shared" si="48"/>
        <v>0</v>
      </c>
      <c r="AG156" s="4">
        <f t="shared" si="49"/>
        <v>0</v>
      </c>
      <c r="AH156" s="5">
        <f t="shared" si="50"/>
        <v>-6892080.3627928812</v>
      </c>
      <c r="AI156" s="17">
        <f t="shared" si="52"/>
        <v>-1</v>
      </c>
      <c r="AJ156" s="17">
        <f t="shared" si="53"/>
        <v>0.19154059687361949</v>
      </c>
      <c r="AK156" s="14" t="e">
        <f t="shared" si="54"/>
        <v>#DIV/0!</v>
      </c>
      <c r="AL156" s="14">
        <f t="shared" si="55"/>
        <v>-1</v>
      </c>
      <c r="AO156" s="19">
        <f>+Tabla22[[#This Row],[Web + APP 2025]]+Tabla22[[#This Row],[Afiliados 2025]]+Tabla22[[#This Row],[TMK 2025]]+Tabla22[[#This Row],[WA 2025]]+Tabla22[[#This Row],[Ent. en Tienda 2025]]</f>
        <v>3812724.3103448274</v>
      </c>
      <c r="AP156" s="19">
        <f>+Tabla22[[#This Row],[Meli Drop 2025]]+Tabla22[[#This Row],[Meli Full 2025]]+Tabla22[[#This Row],[Amazon Drop 2025]]+Tabla22[[#This Row],[Amazon Full 2025]]+Tabla22[[#This Row],[TikTok 2025]]+Tabla22[[#This Row],[Shein 2025]]</f>
        <v>1482423</v>
      </c>
    </row>
    <row r="157" spans="1:42" hidden="1" x14ac:dyDescent="0.3">
      <c r="A157" s="7">
        <v>45811</v>
      </c>
      <c r="B157" s="3">
        <f>+'BD MD'!B156</f>
        <v>35443743</v>
      </c>
      <c r="C157" s="3">
        <f t="shared" si="51"/>
        <v>6788915.6896551726</v>
      </c>
      <c r="D157" s="4">
        <f t="shared" ref="D157:D184" si="56">+C157/(SUM($C$155:$C$184))</f>
        <v>5.8635289804893645E-2</v>
      </c>
      <c r="E157" s="3"/>
      <c r="F157" s="7">
        <v>46176</v>
      </c>
      <c r="G157" s="3">
        <f>+Tabla22[[#This Row],[Meta Digital]]+Tabla22[[#This Row],[Meta MKPlace]]</f>
        <v>8836345.7647190355</v>
      </c>
      <c r="H157" s="3">
        <f>+Tabla2[[#This Row],[Meta Digital]]</f>
        <v>6687362.393369684</v>
      </c>
      <c r="I157" s="3">
        <f>+Tabla2[[#This Row],[Meta MKPlace]]</f>
        <v>2148983.3713493519</v>
      </c>
      <c r="J157" s="3">
        <v>4671193</v>
      </c>
      <c r="K157" s="3"/>
      <c r="L157" s="3">
        <v>32920.689655172391</v>
      </c>
      <c r="M157" s="3"/>
      <c r="N157" s="3">
        <v>51815</v>
      </c>
      <c r="O157" s="3"/>
      <c r="P157" s="3">
        <v>10260</v>
      </c>
      <c r="Q157" s="3"/>
      <c r="R157" s="3">
        <v>127803</v>
      </c>
      <c r="S157" s="3"/>
      <c r="T157" s="3">
        <v>1389018</v>
      </c>
      <c r="U157" s="3"/>
      <c r="V157" s="3">
        <v>419059</v>
      </c>
      <c r="W157" s="3"/>
      <c r="X157" s="3">
        <v>74233</v>
      </c>
      <c r="Y157" s="3"/>
      <c r="Z157" s="3">
        <v>12614</v>
      </c>
      <c r="AA157" s="3"/>
      <c r="AB157" s="3">
        <v>0</v>
      </c>
      <c r="AC157" s="3"/>
      <c r="AD157" s="3">
        <v>0</v>
      </c>
      <c r="AE157" s="3"/>
      <c r="AF157" s="5">
        <f t="shared" si="48"/>
        <v>0</v>
      </c>
      <c r="AG157" s="4">
        <f t="shared" si="49"/>
        <v>0</v>
      </c>
      <c r="AH157" s="5">
        <f t="shared" si="50"/>
        <v>-8836345.7647190355</v>
      </c>
      <c r="AI157" s="17">
        <f t="shared" si="52"/>
        <v>-1</v>
      </c>
      <c r="AJ157" s="17">
        <f t="shared" si="53"/>
        <v>0.13273938478222633</v>
      </c>
      <c r="AK157" s="14" t="e">
        <f t="shared" si="54"/>
        <v>#DIV/0!</v>
      </c>
      <c r="AL157" s="14">
        <f t="shared" si="55"/>
        <v>-1</v>
      </c>
      <c r="AO157" s="19">
        <f>+Tabla22[[#This Row],[Web + APP 2025]]+Tabla22[[#This Row],[Afiliados 2025]]+Tabla22[[#This Row],[TMK 2025]]+Tabla22[[#This Row],[WA 2025]]+Tabla22[[#This Row],[Ent. en Tienda 2025]]</f>
        <v>4893991.6896551726</v>
      </c>
      <c r="AP157" s="19">
        <f>+Tabla22[[#This Row],[Meli Drop 2025]]+Tabla22[[#This Row],[Meli Full 2025]]+Tabla22[[#This Row],[Amazon Drop 2025]]+Tabla22[[#This Row],[Amazon Full 2025]]+Tabla22[[#This Row],[TikTok 2025]]+Tabla22[[#This Row],[Shein 2025]]</f>
        <v>1894924</v>
      </c>
    </row>
    <row r="158" spans="1:42" hidden="1" x14ac:dyDescent="0.3">
      <c r="A158" s="63">
        <v>45812</v>
      </c>
      <c r="B158" s="3">
        <f>+'BD MD'!B157</f>
        <v>35210999</v>
      </c>
      <c r="C158" s="3">
        <f t="shared" si="51"/>
        <v>4673886.3448275868</v>
      </c>
      <c r="D158" s="4">
        <f t="shared" si="56"/>
        <v>4.0367960492085679E-2</v>
      </c>
      <c r="E158" s="3"/>
      <c r="F158" s="7">
        <v>46177</v>
      </c>
      <c r="G158" s="3">
        <f>+Tabla22[[#This Row],[Meta Digital]]+Tabla22[[#This Row],[Meta MKPlace]]</f>
        <v>6083456.8723290656</v>
      </c>
      <c r="H158" s="3">
        <f>+Tabla2[[#This Row],[Meta Digital]]</f>
        <v>4603971.1202941258</v>
      </c>
      <c r="I158" s="3">
        <f>+Tabla2[[#This Row],[Meta MKPlace]]</f>
        <v>1479485.7520349401</v>
      </c>
      <c r="J158" s="3">
        <v>3304777</v>
      </c>
      <c r="K158" s="3"/>
      <c r="L158" s="3">
        <v>29785.344827586188</v>
      </c>
      <c r="M158" s="3"/>
      <c r="N158" s="3">
        <v>42044</v>
      </c>
      <c r="O158" s="3"/>
      <c r="P158" s="3">
        <v>4685</v>
      </c>
      <c r="Q158" s="3"/>
      <c r="R158" s="3">
        <v>147345</v>
      </c>
      <c r="S158" s="3"/>
      <c r="T158" s="3">
        <v>792011</v>
      </c>
      <c r="U158" s="3"/>
      <c r="V158" s="3">
        <v>301527</v>
      </c>
      <c r="W158" s="3"/>
      <c r="X158" s="3">
        <v>38002</v>
      </c>
      <c r="Y158" s="3"/>
      <c r="Z158" s="3">
        <v>13710</v>
      </c>
      <c r="AA158" s="3"/>
      <c r="AB158" s="3">
        <v>0</v>
      </c>
      <c r="AC158" s="3"/>
      <c r="AD158" s="3">
        <v>0</v>
      </c>
      <c r="AE158" s="3"/>
      <c r="AF158" s="5">
        <f t="shared" si="48"/>
        <v>0</v>
      </c>
      <c r="AG158" s="4">
        <f t="shared" si="49"/>
        <v>0</v>
      </c>
      <c r="AH158" s="5">
        <f t="shared" si="50"/>
        <v>-6083456.8723290656</v>
      </c>
      <c r="AI158" s="17">
        <f t="shared" si="52"/>
        <v>-1</v>
      </c>
      <c r="AJ158" s="17">
        <f t="shared" si="53"/>
        <v>9.2614520141080292E-2</v>
      </c>
      <c r="AK158" s="14" t="e">
        <f t="shared" si="54"/>
        <v>#DIV/0!</v>
      </c>
      <c r="AL158" s="14">
        <f t="shared" si="55"/>
        <v>-1</v>
      </c>
      <c r="AO158" s="19">
        <f>+Tabla22[[#This Row],[Web + APP 2025]]+Tabla22[[#This Row],[Afiliados 2025]]+Tabla22[[#This Row],[TMK 2025]]+Tabla22[[#This Row],[WA 2025]]+Tabla22[[#This Row],[Ent. en Tienda 2025]]</f>
        <v>3528636.3448275863</v>
      </c>
      <c r="AP158" s="19">
        <f>+Tabla22[[#This Row],[Meli Drop 2025]]+Tabla22[[#This Row],[Meli Full 2025]]+Tabla22[[#This Row],[Amazon Drop 2025]]+Tabla22[[#This Row],[Amazon Full 2025]]+Tabla22[[#This Row],[TikTok 2025]]+Tabla22[[#This Row],[Shein 2025]]</f>
        <v>1145250</v>
      </c>
    </row>
    <row r="159" spans="1:42" hidden="1" x14ac:dyDescent="0.3">
      <c r="A159" s="7">
        <v>45813</v>
      </c>
      <c r="B159" s="3">
        <f>+'BD MD'!B158</f>
        <v>38609736</v>
      </c>
      <c r="C159" s="3">
        <f t="shared" si="51"/>
        <v>3575822.1724137929</v>
      </c>
      <c r="D159" s="4">
        <f t="shared" si="56"/>
        <v>3.0884073238637729E-2</v>
      </c>
      <c r="E159" s="3"/>
      <c r="F159" s="7">
        <v>46178</v>
      </c>
      <c r="G159" s="3">
        <f>+Tabla22[[#This Row],[Meta Digital]]+Tabla22[[#This Row],[Meta MKPlace]]</f>
        <v>4654233.8354185615</v>
      </c>
      <c r="H159" s="3">
        <f>+Tabla2[[#This Row],[Meta Digital]]</f>
        <v>3522332.5512224883</v>
      </c>
      <c r="I159" s="3">
        <f>+Tabla2[[#This Row],[Meta MKPlace]]</f>
        <v>1131901.2841960727</v>
      </c>
      <c r="J159" s="3">
        <v>2405203</v>
      </c>
      <c r="K159" s="3"/>
      <c r="L159" s="3">
        <v>24530.172413793087</v>
      </c>
      <c r="M159" s="3"/>
      <c r="N159" s="3">
        <v>28287</v>
      </c>
      <c r="O159" s="3"/>
      <c r="P159" s="3">
        <v>7601</v>
      </c>
      <c r="Q159" s="3"/>
      <c r="R159" s="3">
        <v>173866</v>
      </c>
      <c r="S159" s="3"/>
      <c r="T159" s="3">
        <v>649458</v>
      </c>
      <c r="U159" s="3"/>
      <c r="V159" s="3">
        <v>251407</v>
      </c>
      <c r="W159" s="3"/>
      <c r="X159" s="3">
        <v>22490</v>
      </c>
      <c r="Y159" s="3"/>
      <c r="Z159" s="3">
        <v>12980</v>
      </c>
      <c r="AA159" s="3"/>
      <c r="AB159" s="3">
        <v>0</v>
      </c>
      <c r="AC159" s="3"/>
      <c r="AD159" s="3">
        <v>0</v>
      </c>
      <c r="AE159" s="3"/>
      <c r="AF159" s="5">
        <f t="shared" si="48"/>
        <v>0</v>
      </c>
      <c r="AG159" s="4">
        <f t="shared" si="49"/>
        <v>0</v>
      </c>
      <c r="AH159" s="5">
        <f t="shared" si="50"/>
        <v>-4654233.8354185615</v>
      </c>
      <c r="AI159" s="17">
        <f t="shared" si="52"/>
        <v>-1</v>
      </c>
      <c r="AJ159" s="17">
        <f t="shared" si="53"/>
        <v>7.5391766962284598E-2</v>
      </c>
      <c r="AK159" s="14" t="e">
        <f t="shared" si="54"/>
        <v>#DIV/0!</v>
      </c>
      <c r="AL159" s="14">
        <f t="shared" si="55"/>
        <v>-1</v>
      </c>
      <c r="AO159" s="19">
        <f>+Tabla22[[#This Row],[Web + APP 2025]]+Tabla22[[#This Row],[Afiliados 2025]]+Tabla22[[#This Row],[TMK 2025]]+Tabla22[[#This Row],[WA 2025]]+Tabla22[[#This Row],[Ent. en Tienda 2025]]</f>
        <v>2639487.1724137929</v>
      </c>
      <c r="AP159" s="19">
        <f>+Tabla22[[#This Row],[Meli Drop 2025]]+Tabla22[[#This Row],[Meli Full 2025]]+Tabla22[[#This Row],[Amazon Drop 2025]]+Tabla22[[#This Row],[Amazon Full 2025]]+Tabla22[[#This Row],[TikTok 2025]]+Tabla22[[#This Row],[Shein 2025]]</f>
        <v>936335</v>
      </c>
    </row>
    <row r="160" spans="1:42" hidden="1" x14ac:dyDescent="0.3">
      <c r="A160" s="63">
        <v>45814</v>
      </c>
      <c r="B160" s="3">
        <f>+'BD MD'!B159</f>
        <v>40369746</v>
      </c>
      <c r="C160" s="3">
        <f t="shared" si="51"/>
        <v>3043546.4827586208</v>
      </c>
      <c r="D160" s="4">
        <f t="shared" si="56"/>
        <v>2.6286853189700001E-2</v>
      </c>
      <c r="E160" s="3"/>
      <c r="F160" s="7">
        <v>46179</v>
      </c>
      <c r="G160" s="3">
        <f>+Tabla22[[#This Row],[Meta Digital]]+Tabla22[[#This Row],[Meta MKPlace]]</f>
        <v>3961432.1788720973</v>
      </c>
      <c r="H160" s="3">
        <f>+Tabla2[[#This Row],[Meta Digital]]</f>
        <v>2998019.009469592</v>
      </c>
      <c r="I160" s="3">
        <f>+Tabla2[[#This Row],[Meta MKPlace]]</f>
        <v>963413.16940250504</v>
      </c>
      <c r="J160" s="3">
        <v>2001508</v>
      </c>
      <c r="K160" s="3"/>
      <c r="L160" s="3">
        <v>24459.482758620674</v>
      </c>
      <c r="M160" s="3"/>
      <c r="N160" s="3">
        <v>72867</v>
      </c>
      <c r="O160" s="3"/>
      <c r="P160" s="3">
        <v>5878</v>
      </c>
      <c r="Q160" s="3"/>
      <c r="R160" s="3">
        <v>128752</v>
      </c>
      <c r="S160" s="3"/>
      <c r="T160" s="3">
        <v>599700</v>
      </c>
      <c r="U160" s="3"/>
      <c r="V160" s="3">
        <v>181701</v>
      </c>
      <c r="W160" s="3"/>
      <c r="X160" s="3">
        <v>19333</v>
      </c>
      <c r="Y160" s="3"/>
      <c r="Z160" s="3">
        <v>9348</v>
      </c>
      <c r="AA160" s="3"/>
      <c r="AB160" s="3">
        <v>0</v>
      </c>
      <c r="AC160" s="3"/>
      <c r="AD160" s="3">
        <v>0</v>
      </c>
      <c r="AE160" s="3"/>
      <c r="AF160" s="5">
        <f t="shared" si="48"/>
        <v>0</v>
      </c>
      <c r="AG160" s="4">
        <f t="shared" si="49"/>
        <v>0</v>
      </c>
      <c r="AH160" s="5">
        <f t="shared" si="50"/>
        <v>-3961432.1788720973</v>
      </c>
      <c r="AI160" s="17">
        <f t="shared" si="52"/>
        <v>-1</v>
      </c>
      <c r="AJ160" s="17">
        <f t="shared" si="53"/>
        <v>5.3102761036963236E-2</v>
      </c>
      <c r="AK160" s="14" t="e">
        <f t="shared" si="54"/>
        <v>#DIV/0!</v>
      </c>
      <c r="AL160" s="14">
        <f t="shared" si="55"/>
        <v>-1</v>
      </c>
      <c r="AO160" s="19">
        <f>+Tabla22[[#This Row],[Web + APP 2025]]+Tabla22[[#This Row],[Afiliados 2025]]+Tabla22[[#This Row],[TMK 2025]]+Tabla22[[#This Row],[WA 2025]]+Tabla22[[#This Row],[Ent. en Tienda 2025]]</f>
        <v>2233464.4827586208</v>
      </c>
      <c r="AP160" s="19">
        <f>+Tabla22[[#This Row],[Meli Drop 2025]]+Tabla22[[#This Row],[Meli Full 2025]]+Tabla22[[#This Row],[Amazon Drop 2025]]+Tabla22[[#This Row],[Amazon Full 2025]]+Tabla22[[#This Row],[TikTok 2025]]+Tabla22[[#This Row],[Shein 2025]]</f>
        <v>810082</v>
      </c>
    </row>
    <row r="161" spans="1:42" hidden="1" x14ac:dyDescent="0.3">
      <c r="A161" s="7">
        <v>45815</v>
      </c>
      <c r="B161" s="3">
        <f>+'BD MD'!B160</f>
        <v>50222961</v>
      </c>
      <c r="C161" s="3">
        <f t="shared" si="51"/>
        <v>2666977.8965517241</v>
      </c>
      <c r="D161" s="4">
        <f t="shared" si="56"/>
        <v>2.3034462205185954E-2</v>
      </c>
      <c r="E161" s="3"/>
      <c r="F161" s="7">
        <v>46180</v>
      </c>
      <c r="G161" s="3">
        <f>+Tabla22[[#This Row],[Meta Digital]]+Tabla22[[#This Row],[Meta MKPlace]]</f>
        <v>3471296.4364403691</v>
      </c>
      <c r="H161" s="3">
        <f>+Tabla2[[#This Row],[Meta Digital]]</f>
        <v>2627083.3966203039</v>
      </c>
      <c r="I161" s="3">
        <f>+Tabla2[[#This Row],[Meta MKPlace]]</f>
        <v>844213.03982006526</v>
      </c>
      <c r="J161" s="3">
        <v>1812078</v>
      </c>
      <c r="K161" s="3"/>
      <c r="L161" s="3">
        <v>25031.896551724123</v>
      </c>
      <c r="M161" s="3"/>
      <c r="N161" s="3">
        <v>25976</v>
      </c>
      <c r="O161" s="3"/>
      <c r="P161" s="3">
        <v>10248</v>
      </c>
      <c r="Q161" s="3"/>
      <c r="R161" s="3">
        <v>156778</v>
      </c>
      <c r="S161" s="3"/>
      <c r="T161" s="3">
        <v>495806</v>
      </c>
      <c r="U161" s="3"/>
      <c r="V161" s="3">
        <v>116017</v>
      </c>
      <c r="W161" s="3"/>
      <c r="X161" s="3">
        <v>17934</v>
      </c>
      <c r="Y161" s="3"/>
      <c r="Z161" s="3">
        <v>7109</v>
      </c>
      <c r="AA161" s="3"/>
      <c r="AB161" s="3">
        <v>0</v>
      </c>
      <c r="AC161" s="3"/>
      <c r="AD161" s="3">
        <v>0</v>
      </c>
      <c r="AE161" s="3"/>
      <c r="AF161" s="5">
        <f t="shared" si="48"/>
        <v>0</v>
      </c>
      <c r="AG161" s="4">
        <f t="shared" si="49"/>
        <v>0</v>
      </c>
      <c r="AH161" s="5">
        <f t="shared" si="50"/>
        <v>-3471296.4364403691</v>
      </c>
      <c r="AI161" s="17">
        <f t="shared" si="52"/>
        <v>-1</v>
      </c>
      <c r="AJ161" s="17">
        <f t="shared" si="53"/>
        <v>6.4516336148044889E-2</v>
      </c>
      <c r="AK161" s="14" t="e">
        <f t="shared" si="54"/>
        <v>#DIV/0!</v>
      </c>
      <c r="AL161" s="14">
        <f t="shared" si="55"/>
        <v>-1</v>
      </c>
      <c r="AO161" s="19">
        <f>+Tabla22[[#This Row],[Web + APP 2025]]+Tabla22[[#This Row],[Afiliados 2025]]+Tabla22[[#This Row],[TMK 2025]]+Tabla22[[#This Row],[WA 2025]]+Tabla22[[#This Row],[Ent. en Tienda 2025]]</f>
        <v>2030111.8965517241</v>
      </c>
      <c r="AP161" s="19">
        <f>+Tabla22[[#This Row],[Meli Drop 2025]]+Tabla22[[#This Row],[Meli Full 2025]]+Tabla22[[#This Row],[Amazon Drop 2025]]+Tabla22[[#This Row],[Amazon Full 2025]]+Tabla22[[#This Row],[TikTok 2025]]+Tabla22[[#This Row],[Shein 2025]]</f>
        <v>636866</v>
      </c>
    </row>
    <row r="162" spans="1:42" hidden="1" x14ac:dyDescent="0.3">
      <c r="A162" s="63">
        <v>45816</v>
      </c>
      <c r="B162" s="3">
        <f>+'BD MD'!B161</f>
        <v>49920221</v>
      </c>
      <c r="C162" s="3">
        <f t="shared" si="51"/>
        <v>3220669.7586206896</v>
      </c>
      <c r="D162" s="4">
        <f t="shared" si="56"/>
        <v>2.7816651921357554E-2</v>
      </c>
      <c r="E162" s="3"/>
      <c r="F162" s="7">
        <v>46181</v>
      </c>
      <c r="G162" s="3">
        <f>+Tabla22[[#This Row],[Meta Digital]]+Tabla22[[#This Row],[Meta MKPlace]]</f>
        <v>4191973.0457857726</v>
      </c>
      <c r="H162" s="3">
        <f>+Tabla2[[#This Row],[Meta Digital]]</f>
        <v>3172492.7528680181</v>
      </c>
      <c r="I162" s="3">
        <f>+Tabla2[[#This Row],[Meta MKPlace]]</f>
        <v>1019480.2929177544</v>
      </c>
      <c r="J162" s="3">
        <v>2272542</v>
      </c>
      <c r="K162" s="3"/>
      <c r="L162" s="3">
        <v>25757.758620689638</v>
      </c>
      <c r="M162" s="3"/>
      <c r="N162" s="3">
        <v>21715</v>
      </c>
      <c r="O162" s="3"/>
      <c r="P162" s="3">
        <v>6780</v>
      </c>
      <c r="Q162" s="3"/>
      <c r="R162" s="3">
        <v>85534</v>
      </c>
      <c r="S162" s="3"/>
      <c r="T162" s="3">
        <v>642846</v>
      </c>
      <c r="U162" s="3"/>
      <c r="V162" s="3">
        <v>139716</v>
      </c>
      <c r="W162" s="3"/>
      <c r="X162" s="3">
        <v>16575</v>
      </c>
      <c r="Y162" s="3"/>
      <c r="Z162" s="3">
        <v>9204</v>
      </c>
      <c r="AA162" s="3"/>
      <c r="AB162" s="3">
        <v>0</v>
      </c>
      <c r="AC162" s="3"/>
      <c r="AD162" s="3">
        <v>0</v>
      </c>
      <c r="AE162" s="3"/>
      <c r="AF162" s="5">
        <f t="shared" si="48"/>
        <v>0</v>
      </c>
      <c r="AG162" s="4">
        <f t="shared" si="49"/>
        <v>0</v>
      </c>
      <c r="AH162" s="5">
        <f t="shared" si="50"/>
        <v>-4191973.0457857726</v>
      </c>
      <c r="AI162" s="17">
        <f t="shared" si="52"/>
        <v>-1</v>
      </c>
      <c r="AJ162" s="17">
        <f t="shared" si="53"/>
        <v>0.15693746285149524</v>
      </c>
      <c r="AK162" s="14" t="e">
        <f t="shared" si="54"/>
        <v>#DIV/0!</v>
      </c>
      <c r="AL162" s="14">
        <f t="shared" si="55"/>
        <v>-1</v>
      </c>
      <c r="AO162" s="19">
        <f>+Tabla22[[#This Row],[Web + APP 2025]]+Tabla22[[#This Row],[Afiliados 2025]]+Tabla22[[#This Row],[TMK 2025]]+Tabla22[[#This Row],[WA 2025]]+Tabla22[[#This Row],[Ent. en Tienda 2025]]</f>
        <v>2412328.7586206896</v>
      </c>
      <c r="AP162" s="19">
        <f>+Tabla22[[#This Row],[Meli Drop 2025]]+Tabla22[[#This Row],[Meli Full 2025]]+Tabla22[[#This Row],[Amazon Drop 2025]]+Tabla22[[#This Row],[Amazon Full 2025]]+Tabla22[[#This Row],[TikTok 2025]]+Tabla22[[#This Row],[Shein 2025]]</f>
        <v>808341</v>
      </c>
    </row>
    <row r="163" spans="1:42" hidden="1" x14ac:dyDescent="0.3">
      <c r="A163" s="7">
        <v>45817</v>
      </c>
      <c r="B163" s="3">
        <f>+'BD MD'!B162</f>
        <v>28800528</v>
      </c>
      <c r="C163" s="3">
        <f t="shared" si="51"/>
        <v>4519881.7931034481</v>
      </c>
      <c r="D163" s="4">
        <f t="shared" si="56"/>
        <v>3.9037836222700878E-2</v>
      </c>
      <c r="E163" s="3"/>
      <c r="F163" s="7">
        <v>46182</v>
      </c>
      <c r="G163" s="3">
        <f>+Tabla22[[#This Row],[Meta Digital]]+Tabla22[[#This Row],[Meta MKPlace]]</f>
        <v>5883006.9727304205</v>
      </c>
      <c r="H163" s="3">
        <f>+Tabla2[[#This Row],[Meta Digital]]</f>
        <v>4452270.2751684338</v>
      </c>
      <c r="I163" s="3">
        <f>+Tabla2[[#This Row],[Meta MKPlace]]</f>
        <v>1430736.6975619872</v>
      </c>
      <c r="J163" s="3">
        <v>3416740</v>
      </c>
      <c r="K163" s="3"/>
      <c r="L163" s="3">
        <v>24238.793103448261</v>
      </c>
      <c r="M163" s="3"/>
      <c r="N163" s="3">
        <v>51991</v>
      </c>
      <c r="O163" s="3"/>
      <c r="P163" s="3">
        <v>11309</v>
      </c>
      <c r="Q163" s="3"/>
      <c r="R163" s="3">
        <v>75866</v>
      </c>
      <c r="S163" s="3"/>
      <c r="T163" s="3">
        <v>757315</v>
      </c>
      <c r="U163" s="3"/>
      <c r="V163" s="3">
        <v>142907</v>
      </c>
      <c r="W163" s="3"/>
      <c r="X163" s="3">
        <v>32343</v>
      </c>
      <c r="Y163" s="3"/>
      <c r="Z163" s="3">
        <v>7172</v>
      </c>
      <c r="AA163" s="3"/>
      <c r="AB163" s="3">
        <v>0</v>
      </c>
      <c r="AC163" s="3"/>
      <c r="AD163" s="3">
        <v>0</v>
      </c>
      <c r="AE163" s="3"/>
      <c r="AF163" s="5">
        <f t="shared" si="48"/>
        <v>0</v>
      </c>
      <c r="AG163" s="4">
        <f t="shared" si="49"/>
        <v>0</v>
      </c>
      <c r="AH163" s="5">
        <f t="shared" si="50"/>
        <v>-5883006.9727304205</v>
      </c>
      <c r="AI163" s="17">
        <f t="shared" si="52"/>
        <v>-1</v>
      </c>
      <c r="AJ163" s="17">
        <f t="shared" si="53"/>
        <v>0.14473161357136341</v>
      </c>
      <c r="AK163" s="14" t="e">
        <f t="shared" si="54"/>
        <v>#DIV/0!</v>
      </c>
      <c r="AL163" s="14">
        <f t="shared" si="55"/>
        <v>-1</v>
      </c>
      <c r="AO163" s="19">
        <f>+Tabla22[[#This Row],[Web + APP 2025]]+Tabla22[[#This Row],[Afiliados 2025]]+Tabla22[[#This Row],[TMK 2025]]+Tabla22[[#This Row],[WA 2025]]+Tabla22[[#This Row],[Ent. en Tienda 2025]]</f>
        <v>3580144.7931034481</v>
      </c>
      <c r="AP163" s="19">
        <f>+Tabla22[[#This Row],[Meli Drop 2025]]+Tabla22[[#This Row],[Meli Full 2025]]+Tabla22[[#This Row],[Amazon Drop 2025]]+Tabla22[[#This Row],[Amazon Full 2025]]+Tabla22[[#This Row],[TikTok 2025]]+Tabla22[[#This Row],[Shein 2025]]</f>
        <v>939737</v>
      </c>
    </row>
    <row r="164" spans="1:42" hidden="1" x14ac:dyDescent="0.3">
      <c r="A164" s="63">
        <v>45818</v>
      </c>
      <c r="B164" s="3">
        <f>+'BD MD'!B163</f>
        <v>33842549</v>
      </c>
      <c r="C164" s="3">
        <f t="shared" si="51"/>
        <v>4898086.7241379311</v>
      </c>
      <c r="D164" s="4">
        <f t="shared" si="56"/>
        <v>4.2304360178895876E-2</v>
      </c>
      <c r="E164" s="3"/>
      <c r="F164" s="7">
        <v>46183</v>
      </c>
      <c r="G164" s="3">
        <f>+Tabla22[[#This Row],[Meta Digital]]+Tabla22[[#This Row],[Meta MKPlace]]</f>
        <v>6375272.5558241699</v>
      </c>
      <c r="H164" s="3">
        <f>+Tabla2[[#This Row],[Meta Digital]]</f>
        <v>4824817.7552676359</v>
      </c>
      <c r="I164" s="3">
        <f>+Tabla2[[#This Row],[Meta MKPlace]]</f>
        <v>1550454.800556534</v>
      </c>
      <c r="J164" s="3">
        <v>3683319</v>
      </c>
      <c r="K164" s="3"/>
      <c r="L164" s="3">
        <v>22251.724137931022</v>
      </c>
      <c r="M164" s="3"/>
      <c r="N164" s="3">
        <v>65685</v>
      </c>
      <c r="O164" s="3"/>
      <c r="P164" s="3">
        <v>13660</v>
      </c>
      <c r="Q164" s="3"/>
      <c r="R164" s="3">
        <v>88024</v>
      </c>
      <c r="S164" s="3"/>
      <c r="T164" s="3">
        <v>829750</v>
      </c>
      <c r="U164" s="3"/>
      <c r="V164" s="3">
        <v>153054</v>
      </c>
      <c r="W164" s="3"/>
      <c r="X164" s="3">
        <v>32493</v>
      </c>
      <c r="Y164" s="3"/>
      <c r="Z164" s="3">
        <v>9850</v>
      </c>
      <c r="AA164" s="3"/>
      <c r="AB164" s="3">
        <v>0</v>
      </c>
      <c r="AC164" s="3"/>
      <c r="AD164" s="3">
        <v>0</v>
      </c>
      <c r="AE164" s="3"/>
      <c r="AF164" s="5">
        <f t="shared" si="48"/>
        <v>0</v>
      </c>
      <c r="AG164" s="4">
        <f t="shared" si="49"/>
        <v>0</v>
      </c>
      <c r="AH164" s="5">
        <f t="shared" si="50"/>
        <v>-6375272.5558241699</v>
      </c>
      <c r="AI164" s="17">
        <f t="shared" si="52"/>
        <v>-1</v>
      </c>
      <c r="AJ164" s="17">
        <f t="shared" si="53"/>
        <v>0.11671609835334708</v>
      </c>
      <c r="AK164" s="14" t="e">
        <f t="shared" si="54"/>
        <v>#DIV/0!</v>
      </c>
      <c r="AL164" s="14">
        <f t="shared" si="55"/>
        <v>-1</v>
      </c>
      <c r="AO164" s="19">
        <f>+Tabla22[[#This Row],[Web + APP 2025]]+Tabla22[[#This Row],[Afiliados 2025]]+Tabla22[[#This Row],[TMK 2025]]+Tabla22[[#This Row],[WA 2025]]+Tabla22[[#This Row],[Ent. en Tienda 2025]]</f>
        <v>3872939.7241379311</v>
      </c>
      <c r="AP164" s="19">
        <f>+Tabla22[[#This Row],[Meli Drop 2025]]+Tabla22[[#This Row],[Meli Full 2025]]+Tabla22[[#This Row],[Amazon Drop 2025]]+Tabla22[[#This Row],[Amazon Full 2025]]+Tabla22[[#This Row],[TikTok 2025]]+Tabla22[[#This Row],[Shein 2025]]</f>
        <v>1025147</v>
      </c>
    </row>
    <row r="165" spans="1:42" hidden="1" x14ac:dyDescent="0.3">
      <c r="A165" s="7">
        <v>45819</v>
      </c>
      <c r="B165" s="3">
        <f>+'BD MD'!B164</f>
        <v>38225481</v>
      </c>
      <c r="C165" s="3">
        <f t="shared" si="51"/>
        <v>4461529</v>
      </c>
      <c r="D165" s="4">
        <f t="shared" si="56"/>
        <v>3.853384809102333E-2</v>
      </c>
      <c r="E165" s="3"/>
      <c r="F165" s="7">
        <v>46184</v>
      </c>
      <c r="G165" s="3">
        <f>+Tabla22[[#This Row],[Meta Digital]]+Tabla22[[#This Row],[Meta MKPlace]]</f>
        <v>5807055.8960386179</v>
      </c>
      <c r="H165" s="3">
        <f>+Tabla2[[#This Row],[Meta Digital]]</f>
        <v>4394790.3635026133</v>
      </c>
      <c r="I165" s="3">
        <f>+Tabla2[[#This Row],[Meta MKPlace]]</f>
        <v>1412265.5325360051</v>
      </c>
      <c r="J165" s="3">
        <v>3146636</v>
      </c>
      <c r="K165" s="3"/>
      <c r="L165" s="3">
        <v>19799.999999999989</v>
      </c>
      <c r="M165" s="3"/>
      <c r="N165" s="3">
        <v>47481</v>
      </c>
      <c r="O165" s="3"/>
      <c r="P165" s="3">
        <v>1700</v>
      </c>
      <c r="Q165" s="3"/>
      <c r="R165" s="3">
        <v>120026</v>
      </c>
      <c r="S165" s="3"/>
      <c r="T165" s="3">
        <v>948224</v>
      </c>
      <c r="U165" s="3"/>
      <c r="V165" s="3">
        <v>139153</v>
      </c>
      <c r="W165" s="3"/>
      <c r="X165" s="3">
        <v>23874</v>
      </c>
      <c r="Y165" s="3"/>
      <c r="Z165" s="3">
        <v>14635</v>
      </c>
      <c r="AA165" s="3"/>
      <c r="AB165" s="3">
        <v>0</v>
      </c>
      <c r="AC165" s="3"/>
      <c r="AD165" s="3">
        <v>0</v>
      </c>
      <c r="AE165" s="3"/>
      <c r="AF165" s="5">
        <f t="shared" si="48"/>
        <v>0</v>
      </c>
      <c r="AG165" s="4">
        <f t="shared" si="49"/>
        <v>0</v>
      </c>
      <c r="AH165" s="5">
        <f t="shared" si="50"/>
        <v>-5807055.8960386179</v>
      </c>
      <c r="AI165" s="17">
        <f t="shared" si="52"/>
        <v>-1</v>
      </c>
      <c r="AJ165" s="17">
        <f t="shared" si="53"/>
        <v>8.6743893937208105E-2</v>
      </c>
      <c r="AK165" s="14" t="e">
        <f t="shared" si="54"/>
        <v>#DIV/0!</v>
      </c>
      <c r="AL165" s="14">
        <f t="shared" si="55"/>
        <v>-1</v>
      </c>
      <c r="AO165" s="19">
        <f>+Tabla22[[#This Row],[Web + APP 2025]]+Tabla22[[#This Row],[Afiliados 2025]]+Tabla22[[#This Row],[TMK 2025]]+Tabla22[[#This Row],[WA 2025]]+Tabla22[[#This Row],[Ent. en Tienda 2025]]</f>
        <v>3335643</v>
      </c>
      <c r="AP165" s="19">
        <f>+Tabla22[[#This Row],[Meli Drop 2025]]+Tabla22[[#This Row],[Meli Full 2025]]+Tabla22[[#This Row],[Amazon Drop 2025]]+Tabla22[[#This Row],[Amazon Full 2025]]+Tabla22[[#This Row],[TikTok 2025]]+Tabla22[[#This Row],[Shein 2025]]</f>
        <v>1125886</v>
      </c>
    </row>
    <row r="166" spans="1:42" hidden="1" x14ac:dyDescent="0.3">
      <c r="A166" s="63">
        <v>45820</v>
      </c>
      <c r="B166" s="3">
        <f>+'BD MD'!B165</f>
        <v>44572329</v>
      </c>
      <c r="C166" s="3">
        <f t="shared" si="51"/>
        <v>3866377.3793103448</v>
      </c>
      <c r="D166" s="4">
        <f t="shared" si="56"/>
        <v>3.3393573951197839E-2</v>
      </c>
      <c r="E166" s="3"/>
      <c r="F166" s="7">
        <v>46185</v>
      </c>
      <c r="G166" s="3">
        <f>+Tabla22[[#This Row],[Meta Digital]]+Tabla22[[#This Row],[Meta MKPlace]]</f>
        <v>5032415.9176897611</v>
      </c>
      <c r="H166" s="3">
        <f>+Tabla2[[#This Row],[Meta Digital]]</f>
        <v>3808541.4323783601</v>
      </c>
      <c r="I166" s="3">
        <f>+Tabla2[[#This Row],[Meta MKPlace]]</f>
        <v>1223874.4853114008</v>
      </c>
      <c r="J166" s="3">
        <v>2555955</v>
      </c>
      <c r="K166" s="3"/>
      <c r="L166" s="3">
        <v>25116.379310344812</v>
      </c>
      <c r="M166" s="3"/>
      <c r="N166" s="3">
        <v>47507</v>
      </c>
      <c r="O166" s="3"/>
      <c r="P166" s="3">
        <v>12578</v>
      </c>
      <c r="Q166" s="3"/>
      <c r="R166" s="3">
        <v>112328</v>
      </c>
      <c r="S166" s="3"/>
      <c r="T166" s="3">
        <v>947866</v>
      </c>
      <c r="U166" s="3"/>
      <c r="V166" s="3">
        <v>131048</v>
      </c>
      <c r="W166" s="3"/>
      <c r="X166" s="3">
        <v>20426</v>
      </c>
      <c r="Y166" s="3"/>
      <c r="Z166" s="3">
        <v>13553</v>
      </c>
      <c r="AA166" s="3"/>
      <c r="AB166" s="3">
        <v>0</v>
      </c>
      <c r="AC166" s="3"/>
      <c r="AD166" s="3">
        <v>0</v>
      </c>
      <c r="AE166" s="3"/>
      <c r="AF166" s="5">
        <f t="shared" si="48"/>
        <v>0</v>
      </c>
      <c r="AG166" s="4">
        <f t="shared" si="49"/>
        <v>0</v>
      </c>
      <c r="AH166" s="5">
        <f t="shared" si="50"/>
        <v>-5032415.9176897611</v>
      </c>
      <c r="AI166" s="17">
        <f t="shared" si="52"/>
        <v>-1</v>
      </c>
      <c r="AJ166" s="17">
        <f t="shared" si="53"/>
        <v>5.8120100079536934E-2</v>
      </c>
      <c r="AK166" s="14" t="e">
        <f t="shared" si="54"/>
        <v>#DIV/0!</v>
      </c>
      <c r="AL166" s="14">
        <f t="shared" si="55"/>
        <v>-1</v>
      </c>
      <c r="AO166" s="19">
        <f>+Tabla22[[#This Row],[Web + APP 2025]]+Tabla22[[#This Row],[Afiliados 2025]]+Tabla22[[#This Row],[TMK 2025]]+Tabla22[[#This Row],[WA 2025]]+Tabla22[[#This Row],[Ent. en Tienda 2025]]</f>
        <v>2753484.3793103448</v>
      </c>
      <c r="AP166" s="19">
        <f>+Tabla22[[#This Row],[Meli Drop 2025]]+Tabla22[[#This Row],[Meli Full 2025]]+Tabla22[[#This Row],[Amazon Drop 2025]]+Tabla22[[#This Row],[Amazon Full 2025]]+Tabla22[[#This Row],[TikTok 2025]]+Tabla22[[#This Row],[Shein 2025]]</f>
        <v>1112893</v>
      </c>
    </row>
    <row r="167" spans="1:42" hidden="1" x14ac:dyDescent="0.3">
      <c r="A167" s="7">
        <v>45821</v>
      </c>
      <c r="B167" s="3">
        <f>+'BD MD'!B166</f>
        <v>48087656</v>
      </c>
      <c r="C167" s="3">
        <f t="shared" si="51"/>
        <v>2794859.3793103448</v>
      </c>
      <c r="D167" s="4">
        <f t="shared" si="56"/>
        <v>2.4138963740483719E-2</v>
      </c>
      <c r="E167" s="3"/>
      <c r="F167" s="7">
        <v>46186</v>
      </c>
      <c r="G167" s="3">
        <f>+Tabla22[[#This Row],[Meta Digital]]+Tabla22[[#This Row],[Meta MKPlace]]</f>
        <v>3637744.9608022207</v>
      </c>
      <c r="H167" s="3">
        <f>+Tabla2[[#This Row],[Meta Digital]]</f>
        <v>2753051.9397134925</v>
      </c>
      <c r="I167" s="3">
        <f>+Tabla2[[#This Row],[Meta MKPlace]]</f>
        <v>884693.02108872833</v>
      </c>
      <c r="J167" s="3">
        <v>1667347</v>
      </c>
      <c r="K167" s="3"/>
      <c r="L167" s="3">
        <v>28341.379310344812</v>
      </c>
      <c r="M167" s="3"/>
      <c r="N167" s="3">
        <v>42888</v>
      </c>
      <c r="O167" s="3"/>
      <c r="P167" s="3">
        <v>9320</v>
      </c>
      <c r="Q167" s="3"/>
      <c r="R167" s="3">
        <v>114759</v>
      </c>
      <c r="S167" s="3"/>
      <c r="T167" s="3">
        <v>766146</v>
      </c>
      <c r="U167" s="3"/>
      <c r="V167" s="3">
        <v>144596</v>
      </c>
      <c r="W167" s="3"/>
      <c r="X167" s="3">
        <v>10631</v>
      </c>
      <c r="Y167" s="3"/>
      <c r="Z167" s="3">
        <v>10831</v>
      </c>
      <c r="AA167" s="3"/>
      <c r="AB167" s="3">
        <v>0</v>
      </c>
      <c r="AC167" s="3"/>
      <c r="AD167" s="3">
        <v>0</v>
      </c>
      <c r="AE167" s="3"/>
      <c r="AF167" s="5">
        <f t="shared" si="48"/>
        <v>0</v>
      </c>
      <c r="AG167" s="4">
        <f t="shared" si="49"/>
        <v>0</v>
      </c>
      <c r="AH167" s="5">
        <f t="shared" si="50"/>
        <v>-3637744.9608022207</v>
      </c>
      <c r="AI167" s="17">
        <f t="shared" si="52"/>
        <v>-1</v>
      </c>
      <c r="AJ167" s="17">
        <f t="shared" si="53"/>
        <v>3.8833830622110654E-2</v>
      </c>
      <c r="AK167" s="14" t="e">
        <f t="shared" si="54"/>
        <v>#DIV/0!</v>
      </c>
      <c r="AL167" s="14">
        <f t="shared" si="55"/>
        <v>-1</v>
      </c>
      <c r="AO167" s="19">
        <f>+Tabla22[[#This Row],[Web + APP 2025]]+Tabla22[[#This Row],[Afiliados 2025]]+Tabla22[[#This Row],[TMK 2025]]+Tabla22[[#This Row],[WA 2025]]+Tabla22[[#This Row],[Ent. en Tienda 2025]]</f>
        <v>1862655.3793103448</v>
      </c>
      <c r="AP167" s="19">
        <f>+Tabla22[[#This Row],[Meli Drop 2025]]+Tabla22[[#This Row],[Meli Full 2025]]+Tabla22[[#This Row],[Amazon Drop 2025]]+Tabla22[[#This Row],[Amazon Full 2025]]+Tabla22[[#This Row],[TikTok 2025]]+Tabla22[[#This Row],[Shein 2025]]</f>
        <v>932204</v>
      </c>
    </row>
    <row r="168" spans="1:42" hidden="1" x14ac:dyDescent="0.3">
      <c r="A168" s="63">
        <v>45822</v>
      </c>
      <c r="B168" s="3">
        <f>+'BD MD'!B167</f>
        <v>63504580</v>
      </c>
      <c r="C168" s="3">
        <f t="shared" si="51"/>
        <v>2466126.1034482759</v>
      </c>
      <c r="D168" s="4">
        <f t="shared" si="56"/>
        <v>2.1299722279869336E-2</v>
      </c>
      <c r="E168" s="3"/>
      <c r="F168" s="7">
        <v>46187</v>
      </c>
      <c r="G168" s="3">
        <f>+Tabla22[[#This Row],[Meta Digital]]+Tabla22[[#This Row],[Meta MKPlace]]</f>
        <v>3209870.9051098973</v>
      </c>
      <c r="H168" s="3">
        <f>+Tabla2[[#This Row],[Meta Digital]]</f>
        <v>2429236.083552686</v>
      </c>
      <c r="I168" s="3">
        <f>+Tabla2[[#This Row],[Meta MKPlace]]</f>
        <v>780634.82155721122</v>
      </c>
      <c r="J168" s="3">
        <v>1488514</v>
      </c>
      <c r="K168" s="3"/>
      <c r="L168" s="3">
        <v>33468.10344827584</v>
      </c>
      <c r="M168" s="3"/>
      <c r="N168" s="3">
        <v>14384</v>
      </c>
      <c r="O168" s="3"/>
      <c r="P168" s="3">
        <v>6930</v>
      </c>
      <c r="Q168" s="3"/>
      <c r="R168" s="3">
        <v>78828</v>
      </c>
      <c r="S168" s="3"/>
      <c r="T168" s="3">
        <v>672212</v>
      </c>
      <c r="U168" s="3"/>
      <c r="V168" s="3">
        <v>147847</v>
      </c>
      <c r="W168" s="3"/>
      <c r="X168" s="3">
        <v>11663</v>
      </c>
      <c r="Y168" s="3"/>
      <c r="Z168" s="3">
        <v>12280</v>
      </c>
      <c r="AA168" s="3"/>
      <c r="AB168" s="3">
        <v>0</v>
      </c>
      <c r="AC168" s="3"/>
      <c r="AD168" s="3">
        <v>0</v>
      </c>
      <c r="AE168" s="3"/>
      <c r="AF168" s="5">
        <f t="shared" si="48"/>
        <v>0</v>
      </c>
      <c r="AG168" s="4">
        <f t="shared" si="49"/>
        <v>0</v>
      </c>
      <c r="AH168" s="5">
        <f t="shared" si="50"/>
        <v>-3209870.9051098973</v>
      </c>
      <c r="AI168" s="17">
        <f t="shared" si="52"/>
        <v>-1</v>
      </c>
      <c r="AJ168" s="17">
        <f t="shared" si="53"/>
        <v>5.9564987902162574E-2</v>
      </c>
      <c r="AK168" s="14" t="e">
        <f t="shared" si="54"/>
        <v>#DIV/0!</v>
      </c>
      <c r="AL168" s="14">
        <f t="shared" si="55"/>
        <v>-1</v>
      </c>
      <c r="AO168" s="19">
        <f>+Tabla22[[#This Row],[Web + APP 2025]]+Tabla22[[#This Row],[Afiliados 2025]]+Tabla22[[#This Row],[TMK 2025]]+Tabla22[[#This Row],[WA 2025]]+Tabla22[[#This Row],[Ent. en Tienda 2025]]</f>
        <v>1622124.1034482759</v>
      </c>
      <c r="AP168" s="19">
        <f>+Tabla22[[#This Row],[Meli Drop 2025]]+Tabla22[[#This Row],[Meli Full 2025]]+Tabla22[[#This Row],[Amazon Drop 2025]]+Tabla22[[#This Row],[Amazon Full 2025]]+Tabla22[[#This Row],[TikTok 2025]]+Tabla22[[#This Row],[Shein 2025]]</f>
        <v>844002</v>
      </c>
    </row>
    <row r="169" spans="1:42" hidden="1" x14ac:dyDescent="0.3">
      <c r="A169" s="7">
        <v>45823</v>
      </c>
      <c r="B169" s="3">
        <f>+'BD MD'!B168</f>
        <v>45983368</v>
      </c>
      <c r="C169" s="3">
        <f t="shared" si="51"/>
        <v>2738998.7586206896</v>
      </c>
      <c r="D169" s="4">
        <f t="shared" si="56"/>
        <v>2.3656500290862425E-2</v>
      </c>
      <c r="E169" s="3"/>
      <c r="F169" s="7">
        <v>46188</v>
      </c>
      <c r="G169" s="3">
        <f>+Tabla22[[#This Row],[Meta Digital]]+Tabla22[[#This Row],[Meta MKPlace]]</f>
        <v>3565037.6564829531</v>
      </c>
      <c r="H169" s="3">
        <f>+Tabla2[[#This Row],[Meta Digital]]</f>
        <v>2698026.9208228453</v>
      </c>
      <c r="I169" s="3">
        <f>+Tabla2[[#This Row],[Meta MKPlace]]</f>
        <v>867010.73566010792</v>
      </c>
      <c r="J169" s="3">
        <v>1664679</v>
      </c>
      <c r="K169" s="3"/>
      <c r="L169" s="3">
        <v>25457.758620689638</v>
      </c>
      <c r="M169" s="3"/>
      <c r="N169" s="3">
        <v>15670</v>
      </c>
      <c r="O169" s="3"/>
      <c r="P169" s="3">
        <v>5332</v>
      </c>
      <c r="Q169" s="3"/>
      <c r="R169" s="3">
        <v>91206</v>
      </c>
      <c r="S169" s="3"/>
      <c r="T169" s="3">
        <v>746589</v>
      </c>
      <c r="U169" s="3"/>
      <c r="V169" s="3">
        <v>161202</v>
      </c>
      <c r="W169" s="3"/>
      <c r="X169" s="3">
        <v>18560</v>
      </c>
      <c r="Y169" s="3"/>
      <c r="Z169" s="3">
        <v>10303</v>
      </c>
      <c r="AA169" s="3"/>
      <c r="AB169" s="3">
        <v>0</v>
      </c>
      <c r="AC169" s="3"/>
      <c r="AD169" s="3">
        <v>0</v>
      </c>
      <c r="AE169" s="3"/>
      <c r="AF169" s="5">
        <f t="shared" si="48"/>
        <v>0</v>
      </c>
      <c r="AG169" s="4">
        <f t="shared" si="49"/>
        <v>0</v>
      </c>
      <c r="AH169" s="5">
        <f t="shared" si="50"/>
        <v>-3565037.6564829531</v>
      </c>
      <c r="AI169" s="17">
        <f t="shared" si="52"/>
        <v>-1</v>
      </c>
      <c r="AJ169" s="17">
        <f t="shared" si="53"/>
        <v>0.15960028243421642</v>
      </c>
      <c r="AK169" s="14" t="e">
        <f t="shared" si="54"/>
        <v>#DIV/0!</v>
      </c>
      <c r="AL169" s="14">
        <f t="shared" si="55"/>
        <v>-1</v>
      </c>
      <c r="AO169" s="19">
        <f>+Tabla22[[#This Row],[Web + APP 2025]]+Tabla22[[#This Row],[Afiliados 2025]]+Tabla22[[#This Row],[TMK 2025]]+Tabla22[[#This Row],[WA 2025]]+Tabla22[[#This Row],[Ent. en Tienda 2025]]</f>
        <v>1802344.7586206896</v>
      </c>
      <c r="AP169" s="19">
        <f>+Tabla22[[#This Row],[Meli Drop 2025]]+Tabla22[[#This Row],[Meli Full 2025]]+Tabla22[[#This Row],[Amazon Drop 2025]]+Tabla22[[#This Row],[Amazon Full 2025]]+Tabla22[[#This Row],[TikTok 2025]]+Tabla22[[#This Row],[Shein 2025]]</f>
        <v>936654</v>
      </c>
    </row>
    <row r="170" spans="1:42" hidden="1" x14ac:dyDescent="0.3">
      <c r="A170" s="63">
        <v>45824</v>
      </c>
      <c r="B170" s="3">
        <f>+'BD MD'!B169</f>
        <v>24591091</v>
      </c>
      <c r="C170" s="3">
        <f t="shared" si="51"/>
        <v>3924745.0689655175</v>
      </c>
      <c r="D170" s="4">
        <f t="shared" si="56"/>
        <v>3.3897690743130919E-2</v>
      </c>
      <c r="E170" s="3"/>
      <c r="F170" s="7">
        <v>46189</v>
      </c>
      <c r="G170" s="3">
        <f>+Tabla22[[#This Row],[Meta Digital]]+Tabla22[[#This Row],[Meta MKPlace]]</f>
        <v>5108386.3834987292</v>
      </c>
      <c r="H170" s="3">
        <f>+Tabla2[[#This Row],[Meta Digital]]</f>
        <v>3866036.0177629814</v>
      </c>
      <c r="I170" s="3">
        <f>+Tabla2[[#This Row],[Meta MKPlace]]</f>
        <v>1242350.3657357481</v>
      </c>
      <c r="J170" s="3">
        <v>2846654</v>
      </c>
      <c r="K170" s="3"/>
      <c r="L170" s="3">
        <v>25462.068965517225</v>
      </c>
      <c r="M170" s="3"/>
      <c r="N170" s="3">
        <v>27617</v>
      </c>
      <c r="O170" s="3"/>
      <c r="P170" s="3">
        <v>9575</v>
      </c>
      <c r="Q170" s="3"/>
      <c r="R170" s="3">
        <v>85369</v>
      </c>
      <c r="S170" s="3"/>
      <c r="T170" s="3">
        <v>742785</v>
      </c>
      <c r="U170" s="3"/>
      <c r="V170" s="3">
        <v>138760</v>
      </c>
      <c r="W170" s="3"/>
      <c r="X170" s="3">
        <v>37149</v>
      </c>
      <c r="Y170" s="3"/>
      <c r="Z170" s="3">
        <v>11374</v>
      </c>
      <c r="AA170" s="3"/>
      <c r="AB170" s="3">
        <v>0</v>
      </c>
      <c r="AC170" s="3"/>
      <c r="AD170" s="3">
        <v>0</v>
      </c>
      <c r="AE170" s="3"/>
      <c r="AF170" s="5">
        <f t="shared" si="48"/>
        <v>0</v>
      </c>
      <c r="AG170" s="4">
        <f t="shared" si="49"/>
        <v>0</v>
      </c>
      <c r="AH170" s="5">
        <f t="shared" si="50"/>
        <v>-5108386.3834987292</v>
      </c>
      <c r="AI170" s="17">
        <f t="shared" si="52"/>
        <v>-1</v>
      </c>
      <c r="AJ170" s="17">
        <f t="shared" si="53"/>
        <v>0.15020856307896388</v>
      </c>
      <c r="AK170" s="14" t="e">
        <f t="shared" si="54"/>
        <v>#DIV/0!</v>
      </c>
      <c r="AL170" s="14">
        <f t="shared" si="55"/>
        <v>-1</v>
      </c>
      <c r="AO170" s="19">
        <f>+Tabla22[[#This Row],[Web + APP 2025]]+Tabla22[[#This Row],[Afiliados 2025]]+Tabla22[[#This Row],[TMK 2025]]+Tabla22[[#This Row],[WA 2025]]+Tabla22[[#This Row],[Ent. en Tienda 2025]]</f>
        <v>2994677.0689655175</v>
      </c>
      <c r="AP170" s="19">
        <f>+Tabla22[[#This Row],[Meli Drop 2025]]+Tabla22[[#This Row],[Meli Full 2025]]+Tabla22[[#This Row],[Amazon Drop 2025]]+Tabla22[[#This Row],[Amazon Full 2025]]+Tabla22[[#This Row],[TikTok 2025]]+Tabla22[[#This Row],[Shein 2025]]</f>
        <v>930068</v>
      </c>
    </row>
    <row r="171" spans="1:42" hidden="1" x14ac:dyDescent="0.3">
      <c r="A171" s="7">
        <v>45825</v>
      </c>
      <c r="B171" s="3">
        <f>+'BD MD'!B170</f>
        <v>30070957</v>
      </c>
      <c r="C171" s="3">
        <f t="shared" si="51"/>
        <v>4516915.2413793104</v>
      </c>
      <c r="D171" s="4">
        <f t="shared" si="56"/>
        <v>3.9012214366720095E-2</v>
      </c>
      <c r="E171" s="3"/>
      <c r="F171" s="7">
        <v>46190</v>
      </c>
      <c r="G171" s="3">
        <f>+Tabla22[[#This Row],[Meta Digital]]+Tabla22[[#This Row],[Meta MKPlace]]</f>
        <v>5879145.7557170251</v>
      </c>
      <c r="H171" s="3">
        <f>+Tabla2[[#This Row],[Meta Digital]]</f>
        <v>4449348.0991767338</v>
      </c>
      <c r="I171" s="3">
        <f>+Tabla2[[#This Row],[Meta MKPlace]]</f>
        <v>1429797.6565402914</v>
      </c>
      <c r="J171" s="3">
        <v>3368273</v>
      </c>
      <c r="K171" s="3"/>
      <c r="L171" s="3">
        <v>37267.241379310319</v>
      </c>
      <c r="M171" s="3"/>
      <c r="N171" s="3">
        <v>45603</v>
      </c>
      <c r="O171" s="3"/>
      <c r="P171" s="3">
        <v>6054</v>
      </c>
      <c r="Q171" s="3"/>
      <c r="R171" s="3">
        <v>78737</v>
      </c>
      <c r="S171" s="3"/>
      <c r="T171" s="3">
        <v>770093</v>
      </c>
      <c r="U171" s="3"/>
      <c r="V171" s="3">
        <v>153147</v>
      </c>
      <c r="W171" s="3"/>
      <c r="X171" s="3">
        <v>41755</v>
      </c>
      <c r="Y171" s="3"/>
      <c r="Z171" s="3">
        <v>15986</v>
      </c>
      <c r="AA171" s="3"/>
      <c r="AB171" s="3">
        <v>0</v>
      </c>
      <c r="AC171" s="3"/>
      <c r="AD171" s="3">
        <v>0</v>
      </c>
      <c r="AE171" s="3"/>
      <c r="AF171" s="5">
        <f t="shared" si="48"/>
        <v>0</v>
      </c>
      <c r="AG171" s="4">
        <f t="shared" si="49"/>
        <v>0</v>
      </c>
      <c r="AH171" s="5">
        <f t="shared" si="50"/>
        <v>-5879145.7557170251</v>
      </c>
      <c r="AI171" s="17">
        <f t="shared" si="52"/>
        <v>-1</v>
      </c>
      <c r="AJ171" s="17">
        <f t="shared" si="53"/>
        <v>0.12179327422691781</v>
      </c>
      <c r="AK171" s="14" t="e">
        <f t="shared" si="54"/>
        <v>#DIV/0!</v>
      </c>
      <c r="AL171" s="14">
        <f t="shared" si="55"/>
        <v>-1</v>
      </c>
      <c r="AO171" s="19">
        <f>+Tabla22[[#This Row],[Web + APP 2025]]+Tabla22[[#This Row],[Afiliados 2025]]+Tabla22[[#This Row],[TMK 2025]]+Tabla22[[#This Row],[WA 2025]]+Tabla22[[#This Row],[Ent. en Tienda 2025]]</f>
        <v>3535934.2413793104</v>
      </c>
      <c r="AP171" s="19">
        <f>+Tabla22[[#This Row],[Meli Drop 2025]]+Tabla22[[#This Row],[Meli Full 2025]]+Tabla22[[#This Row],[Amazon Drop 2025]]+Tabla22[[#This Row],[Amazon Full 2025]]+Tabla22[[#This Row],[TikTok 2025]]+Tabla22[[#This Row],[Shein 2025]]</f>
        <v>980981</v>
      </c>
    </row>
    <row r="172" spans="1:42" hidden="1" x14ac:dyDescent="0.3">
      <c r="A172" s="63">
        <v>45826</v>
      </c>
      <c r="B172" s="3">
        <f>+'BD MD'!B171</f>
        <v>33374116</v>
      </c>
      <c r="C172" s="3">
        <f t="shared" si="51"/>
        <v>4064742.8620689656</v>
      </c>
      <c r="D172" s="4">
        <f t="shared" si="56"/>
        <v>3.5106839824651355E-2</v>
      </c>
      <c r="E172" s="3"/>
      <c r="F172" s="7">
        <v>46191</v>
      </c>
      <c r="G172" s="3">
        <f>+Tabla22[[#This Row],[Meta Digital]]+Tabla22[[#This Row],[Meta MKPlace]]</f>
        <v>5290605.3066243604</v>
      </c>
      <c r="H172" s="3">
        <f>+Tabla2[[#This Row],[Meta Digital]]</f>
        <v>4003939.6270508883</v>
      </c>
      <c r="I172" s="3">
        <f>+Tabla2[[#This Row],[Meta MKPlace]]</f>
        <v>1286665.6795734721</v>
      </c>
      <c r="J172" s="3">
        <v>3013055</v>
      </c>
      <c r="K172" s="3"/>
      <c r="L172" s="3">
        <v>40300.862068965493</v>
      </c>
      <c r="M172" s="3"/>
      <c r="N172" s="3">
        <v>43913</v>
      </c>
      <c r="O172" s="3"/>
      <c r="P172" s="3">
        <v>7553</v>
      </c>
      <c r="Q172" s="3"/>
      <c r="R172" s="3">
        <v>114170</v>
      </c>
      <c r="S172" s="3"/>
      <c r="T172" s="3">
        <v>667867</v>
      </c>
      <c r="U172" s="3"/>
      <c r="V172" s="3">
        <v>125568</v>
      </c>
      <c r="W172" s="3"/>
      <c r="X172" s="3">
        <v>34974</v>
      </c>
      <c r="Y172" s="3"/>
      <c r="Z172" s="3">
        <v>17342</v>
      </c>
      <c r="AA172" s="3"/>
      <c r="AB172" s="3">
        <v>0</v>
      </c>
      <c r="AC172" s="3"/>
      <c r="AD172" s="3">
        <v>0</v>
      </c>
      <c r="AE172" s="3"/>
      <c r="AF172" s="5">
        <f t="shared" si="48"/>
        <v>0</v>
      </c>
      <c r="AG172" s="4">
        <f t="shared" si="49"/>
        <v>0</v>
      </c>
      <c r="AH172" s="5">
        <f t="shared" si="50"/>
        <v>-5290605.3066243604</v>
      </c>
      <c r="AI172" s="17">
        <f t="shared" si="52"/>
        <v>-1</v>
      </c>
      <c r="AJ172" s="17">
        <f t="shared" si="53"/>
        <v>9.5492945050713124E-2</v>
      </c>
      <c r="AK172" s="14" t="e">
        <f t="shared" si="54"/>
        <v>#DIV/0!</v>
      </c>
      <c r="AL172" s="14">
        <f t="shared" si="55"/>
        <v>-1</v>
      </c>
      <c r="AO172" s="19">
        <f>+Tabla22[[#This Row],[Web + APP 2025]]+Tabla22[[#This Row],[Afiliados 2025]]+Tabla22[[#This Row],[TMK 2025]]+Tabla22[[#This Row],[WA 2025]]+Tabla22[[#This Row],[Ent. en Tienda 2025]]</f>
        <v>3218991.8620689656</v>
      </c>
      <c r="AP172" s="19">
        <f>+Tabla22[[#This Row],[Meli Drop 2025]]+Tabla22[[#This Row],[Meli Full 2025]]+Tabla22[[#This Row],[Amazon Drop 2025]]+Tabla22[[#This Row],[Amazon Full 2025]]+Tabla22[[#This Row],[TikTok 2025]]+Tabla22[[#This Row],[Shein 2025]]</f>
        <v>845751</v>
      </c>
    </row>
    <row r="173" spans="1:42" hidden="1" x14ac:dyDescent="0.3">
      <c r="A173" s="7">
        <v>45827</v>
      </c>
      <c r="B173" s="3">
        <f>+'BD MD'!B172</f>
        <v>36317478</v>
      </c>
      <c r="C173" s="3">
        <f t="shared" si="51"/>
        <v>3468062.9310344825</v>
      </c>
      <c r="D173" s="4">
        <f t="shared" si="56"/>
        <v>2.99533657978222E-2</v>
      </c>
      <c r="E173" s="3"/>
      <c r="F173" s="7">
        <v>46192</v>
      </c>
      <c r="G173" s="3">
        <f>+Tabla22[[#This Row],[Meta Digital]]+Tabla22[[#This Row],[Meta MKPlace]]</f>
        <v>4513976.1035951497</v>
      </c>
      <c r="H173" s="3">
        <f>+Tabla2[[#This Row],[Meta Digital]]</f>
        <v>3416185.2471049661</v>
      </c>
      <c r="I173" s="3">
        <f>+Tabla2[[#This Row],[Meta MKPlace]]</f>
        <v>1097790.8564901836</v>
      </c>
      <c r="J173" s="3">
        <v>2710805</v>
      </c>
      <c r="K173" s="3"/>
      <c r="L173" s="3">
        <v>40587.931034482739</v>
      </c>
      <c r="M173" s="3"/>
      <c r="N173" s="3">
        <v>31678</v>
      </c>
      <c r="O173" s="3"/>
      <c r="P173" s="3">
        <v>8489</v>
      </c>
      <c r="Q173" s="3"/>
      <c r="R173" s="3">
        <v>61076</v>
      </c>
      <c r="S173" s="3"/>
      <c r="T173" s="3">
        <v>455015</v>
      </c>
      <c r="U173" s="3"/>
      <c r="V173" s="3">
        <v>126044</v>
      </c>
      <c r="W173" s="3"/>
      <c r="X173" s="3">
        <v>24483</v>
      </c>
      <c r="Y173" s="3"/>
      <c r="Z173" s="3">
        <v>9885</v>
      </c>
      <c r="AA173" s="3"/>
      <c r="AB173" s="3">
        <v>0</v>
      </c>
      <c r="AC173" s="3"/>
      <c r="AD173" s="3">
        <v>0</v>
      </c>
      <c r="AE173" s="3"/>
      <c r="AF173" s="5">
        <f t="shared" si="48"/>
        <v>0</v>
      </c>
      <c r="AG173" s="4">
        <f t="shared" si="49"/>
        <v>0</v>
      </c>
      <c r="AH173" s="5">
        <f t="shared" si="50"/>
        <v>-4513976.1035951497</v>
      </c>
      <c r="AI173" s="17">
        <f t="shared" si="52"/>
        <v>-1</v>
      </c>
      <c r="AJ173" s="17">
        <f t="shared" si="53"/>
        <v>8.6729764356396413E-2</v>
      </c>
      <c r="AK173" s="14" t="e">
        <f t="shared" si="54"/>
        <v>#DIV/0!</v>
      </c>
      <c r="AL173" s="14">
        <f t="shared" si="55"/>
        <v>-1</v>
      </c>
      <c r="AO173" s="19">
        <f>+Tabla22[[#This Row],[Web + APP 2025]]+Tabla22[[#This Row],[Afiliados 2025]]+Tabla22[[#This Row],[TMK 2025]]+Tabla22[[#This Row],[WA 2025]]+Tabla22[[#This Row],[Ent. en Tienda 2025]]</f>
        <v>2852635.9310344825</v>
      </c>
      <c r="AP173" s="19">
        <f>+Tabla22[[#This Row],[Meli Drop 2025]]+Tabla22[[#This Row],[Meli Full 2025]]+Tabla22[[#This Row],[Amazon Drop 2025]]+Tabla22[[#This Row],[Amazon Full 2025]]+Tabla22[[#This Row],[TikTok 2025]]+Tabla22[[#This Row],[Shein 2025]]</f>
        <v>615427</v>
      </c>
    </row>
    <row r="174" spans="1:42" hidden="1" x14ac:dyDescent="0.3">
      <c r="A174" s="63">
        <v>45828</v>
      </c>
      <c r="B174" s="3">
        <f>+'BD MD'!B173</f>
        <v>38092110</v>
      </c>
      <c r="C174" s="3">
        <f t="shared" si="51"/>
        <v>3303719.7241379311</v>
      </c>
      <c r="D174" s="4">
        <f t="shared" si="56"/>
        <v>2.853394743937528E-2</v>
      </c>
      <c r="E174" s="3"/>
      <c r="F174" s="7">
        <v>46193</v>
      </c>
      <c r="G174" s="3">
        <f>+Tabla22[[#This Row],[Meta Digital]]+Tabla22[[#This Row],[Meta MKPlace]]</f>
        <v>4300069.5732145309</v>
      </c>
      <c r="H174" s="3">
        <f>+Tabla2[[#This Row],[Meta Digital]]</f>
        <v>3254300.3995614266</v>
      </c>
      <c r="I174" s="3">
        <f>+Tabla2[[#This Row],[Meta MKPlace]]</f>
        <v>1045769.173653104</v>
      </c>
      <c r="J174" s="3">
        <v>2155416</v>
      </c>
      <c r="K174" s="3"/>
      <c r="L174" s="3">
        <v>37026.724137931029</v>
      </c>
      <c r="M174" s="3"/>
      <c r="N174" s="3">
        <v>33900</v>
      </c>
      <c r="O174" s="3"/>
      <c r="P174" s="3">
        <v>3527</v>
      </c>
      <c r="Q174" s="3"/>
      <c r="R174" s="3">
        <v>110621</v>
      </c>
      <c r="S174" s="3"/>
      <c r="T174" s="3">
        <v>822254</v>
      </c>
      <c r="U174" s="3"/>
      <c r="V174" s="3">
        <v>98107</v>
      </c>
      <c r="W174" s="3"/>
      <c r="X174" s="3">
        <v>33075</v>
      </c>
      <c r="Y174" s="3"/>
      <c r="Z174" s="3">
        <v>9793</v>
      </c>
      <c r="AA174" s="3"/>
      <c r="AB174" s="3">
        <v>0</v>
      </c>
      <c r="AC174" s="3"/>
      <c r="AD174" s="3">
        <v>0</v>
      </c>
      <c r="AE174" s="3"/>
      <c r="AF174" s="5">
        <f t="shared" si="48"/>
        <v>0</v>
      </c>
      <c r="AG174" s="4">
        <f t="shared" si="49"/>
        <v>0</v>
      </c>
      <c r="AH174" s="5">
        <f t="shared" si="50"/>
        <v>-4300069.5732145309</v>
      </c>
      <c r="AI174" s="17">
        <f t="shared" si="52"/>
        <v>-1</v>
      </c>
      <c r="AJ174" s="17">
        <f t="shared" si="53"/>
        <v>5.6915608355964722E-2</v>
      </c>
      <c r="AK174" s="14" t="e">
        <f t="shared" si="54"/>
        <v>#DIV/0!</v>
      </c>
      <c r="AL174" s="14">
        <f t="shared" si="55"/>
        <v>-1</v>
      </c>
      <c r="AO174" s="19">
        <f>+Tabla22[[#This Row],[Web + APP 2025]]+Tabla22[[#This Row],[Afiliados 2025]]+Tabla22[[#This Row],[TMK 2025]]+Tabla22[[#This Row],[WA 2025]]+Tabla22[[#This Row],[Ent. en Tienda 2025]]</f>
        <v>2340490.7241379311</v>
      </c>
      <c r="AP174" s="19">
        <f>+Tabla22[[#This Row],[Meli Drop 2025]]+Tabla22[[#This Row],[Meli Full 2025]]+Tabla22[[#This Row],[Amazon Drop 2025]]+Tabla22[[#This Row],[Amazon Full 2025]]+Tabla22[[#This Row],[TikTok 2025]]+Tabla22[[#This Row],[Shein 2025]]</f>
        <v>963229</v>
      </c>
    </row>
    <row r="175" spans="1:42" hidden="1" x14ac:dyDescent="0.3">
      <c r="A175" s="7">
        <v>45829</v>
      </c>
      <c r="B175" s="3">
        <f>+'BD MD'!B174</f>
        <v>50963433</v>
      </c>
      <c r="C175" s="3">
        <f t="shared" si="51"/>
        <v>2900614.7931034481</v>
      </c>
      <c r="D175" s="4">
        <f t="shared" si="56"/>
        <v>2.5052364292157094E-2</v>
      </c>
      <c r="E175" s="3"/>
      <c r="F175" s="7">
        <v>46194</v>
      </c>
      <c r="G175" s="3">
        <f>+Tabla22[[#This Row],[Meta Digital]]+Tabla22[[#This Row],[Meta MKPlace]]</f>
        <v>3775394.5421913015</v>
      </c>
      <c r="H175" s="3">
        <f>+Tabla2[[#This Row],[Meta Digital]]</f>
        <v>2857225.3908837442</v>
      </c>
      <c r="I175" s="3">
        <f>+Tabla2[[#This Row],[Meta MKPlace]]</f>
        <v>918169.15130755748</v>
      </c>
      <c r="J175" s="3">
        <v>2319435</v>
      </c>
      <c r="K175" s="3"/>
      <c r="L175" s="3">
        <v>39113.793103448261</v>
      </c>
      <c r="M175" s="3"/>
      <c r="N175" s="3">
        <v>21973</v>
      </c>
      <c r="O175" s="3"/>
      <c r="P175" s="3">
        <v>5556</v>
      </c>
      <c r="Q175" s="3"/>
      <c r="R175" s="3">
        <v>84521</v>
      </c>
      <c r="S175" s="3"/>
      <c r="T175" s="3">
        <v>311488</v>
      </c>
      <c r="U175" s="3"/>
      <c r="V175" s="3">
        <v>82471</v>
      </c>
      <c r="W175" s="3"/>
      <c r="X175" s="3">
        <v>25122</v>
      </c>
      <c r="Y175" s="3"/>
      <c r="Z175" s="3">
        <v>10935</v>
      </c>
      <c r="AA175" s="3"/>
      <c r="AB175" s="3">
        <v>0</v>
      </c>
      <c r="AC175" s="3"/>
      <c r="AD175" s="3">
        <v>0</v>
      </c>
      <c r="AE175" s="3"/>
      <c r="AF175" s="5">
        <f t="shared" si="48"/>
        <v>0</v>
      </c>
      <c r="AG175" s="4">
        <f t="shared" si="49"/>
        <v>0</v>
      </c>
      <c r="AH175" s="5">
        <f t="shared" si="50"/>
        <v>-3775394.5421913015</v>
      </c>
      <c r="AI175" s="17">
        <f t="shared" si="52"/>
        <v>-1</v>
      </c>
      <c r="AJ175" s="17">
        <f t="shared" si="53"/>
        <v>6.8330881279511396E-2</v>
      </c>
      <c r="AK175" s="14" t="e">
        <f t="shared" si="54"/>
        <v>#DIV/0!</v>
      </c>
      <c r="AL175" s="14">
        <f t="shared" si="55"/>
        <v>-1</v>
      </c>
      <c r="AO175" s="19">
        <f>+Tabla22[[#This Row],[Web + APP 2025]]+Tabla22[[#This Row],[Afiliados 2025]]+Tabla22[[#This Row],[TMK 2025]]+Tabla22[[#This Row],[WA 2025]]+Tabla22[[#This Row],[Ent. en Tienda 2025]]</f>
        <v>2470598.7931034481</v>
      </c>
      <c r="AP175" s="19">
        <f>+Tabla22[[#This Row],[Meli Drop 2025]]+Tabla22[[#This Row],[Meli Full 2025]]+Tabla22[[#This Row],[Amazon Drop 2025]]+Tabla22[[#This Row],[Amazon Full 2025]]+Tabla22[[#This Row],[TikTok 2025]]+Tabla22[[#This Row],[Shein 2025]]</f>
        <v>430016</v>
      </c>
    </row>
    <row r="176" spans="1:42" hidden="1" x14ac:dyDescent="0.3">
      <c r="A176" s="63">
        <v>45830</v>
      </c>
      <c r="B176" s="3">
        <f>+'BD MD'!B175</f>
        <v>48992029</v>
      </c>
      <c r="C176" s="3">
        <f t="shared" si="51"/>
        <v>3347668.5172413792</v>
      </c>
      <c r="D176" s="4">
        <f t="shared" si="56"/>
        <v>2.8913529443040858E-2</v>
      </c>
      <c r="E176" s="3"/>
      <c r="F176" s="7">
        <v>46195</v>
      </c>
      <c r="G176" s="3">
        <f>+Tabla22[[#This Row],[Meta Digital]]+Tabla22[[#This Row],[Meta MKPlace]]</f>
        <v>4357272.6303088944</v>
      </c>
      <c r="H176" s="3">
        <f>+Tabla2[[#This Row],[Meta Digital]]</f>
        <v>3297591.7762214467</v>
      </c>
      <c r="I176" s="3">
        <f>+Tabla2[[#This Row],[Meta MKPlace]]</f>
        <v>1059680.8540874475</v>
      </c>
      <c r="J176" s="3">
        <v>2913089</v>
      </c>
      <c r="K176" s="3"/>
      <c r="L176" s="3">
        <v>49765.517241379282</v>
      </c>
      <c r="M176" s="3"/>
      <c r="N176" s="3">
        <v>3999</v>
      </c>
      <c r="O176" s="3"/>
      <c r="P176" s="3">
        <v>5169</v>
      </c>
      <c r="Q176" s="3"/>
      <c r="R176" s="3">
        <v>91234</v>
      </c>
      <c r="S176" s="3"/>
      <c r="T176" s="3">
        <v>100157</v>
      </c>
      <c r="U176" s="3"/>
      <c r="V176" s="3">
        <v>134523</v>
      </c>
      <c r="W176" s="3"/>
      <c r="X176" s="3">
        <v>40627</v>
      </c>
      <c r="Y176" s="3"/>
      <c r="Z176" s="3">
        <v>9105</v>
      </c>
      <c r="AA176" s="3"/>
      <c r="AB176" s="3">
        <v>0</v>
      </c>
      <c r="AC176" s="3"/>
      <c r="AD176" s="3">
        <v>0</v>
      </c>
      <c r="AE176" s="3"/>
      <c r="AF176" s="5">
        <f t="shared" si="48"/>
        <v>0</v>
      </c>
      <c r="AG176" s="4">
        <f t="shared" si="49"/>
        <v>0</v>
      </c>
      <c r="AH176" s="5">
        <f t="shared" si="50"/>
        <v>-4357272.6303088944</v>
      </c>
      <c r="AI176" s="17">
        <f t="shared" si="52"/>
        <v>-1</v>
      </c>
      <c r="AJ176" s="17">
        <f t="shared" si="53"/>
        <v>0.16712744025501983</v>
      </c>
      <c r="AK176" s="14" t="e">
        <f t="shared" si="54"/>
        <v>#DIV/0!</v>
      </c>
      <c r="AL176" s="14">
        <f t="shared" si="55"/>
        <v>-1</v>
      </c>
      <c r="AO176" s="19">
        <f>+Tabla22[[#This Row],[Web + APP 2025]]+Tabla22[[#This Row],[Afiliados 2025]]+Tabla22[[#This Row],[TMK 2025]]+Tabla22[[#This Row],[WA 2025]]+Tabla22[[#This Row],[Ent. en Tienda 2025]]</f>
        <v>3063256.5172413792</v>
      </c>
      <c r="AP176" s="19">
        <f>+Tabla22[[#This Row],[Meli Drop 2025]]+Tabla22[[#This Row],[Meli Full 2025]]+Tabla22[[#This Row],[Amazon Drop 2025]]+Tabla22[[#This Row],[Amazon Full 2025]]+Tabla22[[#This Row],[TikTok 2025]]+Tabla22[[#This Row],[Shein 2025]]</f>
        <v>284412</v>
      </c>
    </row>
    <row r="177" spans="1:42" hidden="1" x14ac:dyDescent="0.3">
      <c r="A177" s="7">
        <v>45831</v>
      </c>
      <c r="B177" s="3">
        <f>+'BD MD'!B176</f>
        <v>31644110</v>
      </c>
      <c r="C177" s="3">
        <f t="shared" si="51"/>
        <v>5288599.1034482755</v>
      </c>
      <c r="D177" s="4">
        <f t="shared" si="56"/>
        <v>4.567718252343491E-2</v>
      </c>
      <c r="E177" s="3"/>
      <c r="F177" s="7">
        <v>46196</v>
      </c>
      <c r="G177" s="3">
        <f>+Tabla22[[#This Row],[Meta Digital]]+Tabla22[[#This Row],[Meta MKPlace]]</f>
        <v>6883557.3198031113</v>
      </c>
      <c r="H177" s="3">
        <f>+Tabla2[[#This Row],[Meta Digital]]</f>
        <v>5209488.5803192221</v>
      </c>
      <c r="I177" s="3">
        <f>+Tabla2[[#This Row],[Meta MKPlace]]</f>
        <v>1674068.7394838894</v>
      </c>
      <c r="J177" s="3">
        <v>3567197</v>
      </c>
      <c r="K177" s="3"/>
      <c r="L177" s="3">
        <v>48518.10344827584</v>
      </c>
      <c r="M177" s="3"/>
      <c r="N177" s="3">
        <v>41503</v>
      </c>
      <c r="O177" s="3"/>
      <c r="P177" s="3">
        <v>11366</v>
      </c>
      <c r="Q177" s="3"/>
      <c r="R177" s="3">
        <v>144879</v>
      </c>
      <c r="S177" s="3"/>
      <c r="T177" s="3">
        <v>1270698</v>
      </c>
      <c r="U177" s="3"/>
      <c r="V177" s="3">
        <v>117470</v>
      </c>
      <c r="W177" s="3"/>
      <c r="X177" s="3">
        <v>71619</v>
      </c>
      <c r="Y177" s="3"/>
      <c r="Z177" s="3">
        <v>15349</v>
      </c>
      <c r="AA177" s="3"/>
      <c r="AB177" s="3">
        <v>0</v>
      </c>
      <c r="AC177" s="3"/>
      <c r="AD177" s="3">
        <v>0</v>
      </c>
      <c r="AE177" s="3"/>
      <c r="AF177" s="5">
        <f t="shared" si="48"/>
        <v>0</v>
      </c>
      <c r="AG177" s="4">
        <f t="shared" si="49"/>
        <v>0</v>
      </c>
      <c r="AH177" s="5">
        <f t="shared" si="50"/>
        <v>-6883557.3198031113</v>
      </c>
      <c r="AI177" s="17">
        <f t="shared" si="52"/>
        <v>-1</v>
      </c>
      <c r="AJ177" s="17">
        <f t="shared" si="53"/>
        <v>0.13451849022760448</v>
      </c>
      <c r="AK177" s="14" t="e">
        <f t="shared" si="54"/>
        <v>#DIV/0!</v>
      </c>
      <c r="AL177" s="14">
        <f t="shared" si="55"/>
        <v>-1</v>
      </c>
      <c r="AO177" s="19">
        <f>+Tabla22[[#This Row],[Web + APP 2025]]+Tabla22[[#This Row],[Afiliados 2025]]+Tabla22[[#This Row],[TMK 2025]]+Tabla22[[#This Row],[WA 2025]]+Tabla22[[#This Row],[Ent. en Tienda 2025]]</f>
        <v>3813463.1034482759</v>
      </c>
      <c r="AP177" s="19">
        <f>+Tabla22[[#This Row],[Meli Drop 2025]]+Tabla22[[#This Row],[Meli Full 2025]]+Tabla22[[#This Row],[Amazon Drop 2025]]+Tabla22[[#This Row],[Amazon Full 2025]]+Tabla22[[#This Row],[TikTok 2025]]+Tabla22[[#This Row],[Shein 2025]]</f>
        <v>1475136</v>
      </c>
    </row>
    <row r="178" spans="1:42" hidden="1" x14ac:dyDescent="0.3">
      <c r="A178" s="63">
        <v>45832</v>
      </c>
      <c r="B178" s="3">
        <f>+'BD MD'!B177</f>
        <v>32757630</v>
      </c>
      <c r="C178" s="3">
        <f t="shared" si="51"/>
        <v>4406506.931034483</v>
      </c>
      <c r="D178" s="4">
        <f t="shared" si="56"/>
        <v>3.805862714161988E-2</v>
      </c>
      <c r="E178" s="3"/>
      <c r="F178" s="7">
        <v>46197</v>
      </c>
      <c r="G178" s="3">
        <f>+Tabla22[[#This Row],[Meta Digital]]+Tabla22[[#This Row],[Meta MKPlace]]</f>
        <v>5735440.0374398176</v>
      </c>
      <c r="H178" s="3">
        <f>+Tabla2[[#This Row],[Meta Digital]]</f>
        <v>4340591.3526994493</v>
      </c>
      <c r="I178" s="3">
        <f>+Tabla2[[#This Row],[Meta MKPlace]]</f>
        <v>1394848.6847403685</v>
      </c>
      <c r="J178" s="3">
        <v>3442550</v>
      </c>
      <c r="K178" s="3"/>
      <c r="L178" s="3">
        <v>48212.931034482724</v>
      </c>
      <c r="M178" s="3"/>
      <c r="N178" s="3">
        <v>85752</v>
      </c>
      <c r="O178" s="3"/>
      <c r="P178" s="3">
        <v>8426</v>
      </c>
      <c r="Q178" s="3"/>
      <c r="R178" s="3">
        <v>104213</v>
      </c>
      <c r="S178" s="3"/>
      <c r="T178" s="3">
        <v>504323</v>
      </c>
      <c r="U178" s="3"/>
      <c r="V178" s="3">
        <v>137554</v>
      </c>
      <c r="W178" s="3"/>
      <c r="X178" s="3">
        <v>60128</v>
      </c>
      <c r="Y178" s="3"/>
      <c r="Z178" s="3">
        <v>15348</v>
      </c>
      <c r="AA178" s="3"/>
      <c r="AB178" s="3">
        <v>0</v>
      </c>
      <c r="AC178" s="3"/>
      <c r="AD178" s="3">
        <v>0</v>
      </c>
      <c r="AE178" s="3"/>
      <c r="AF178" s="5">
        <f t="shared" si="48"/>
        <v>0</v>
      </c>
      <c r="AG178" s="4">
        <f t="shared" si="49"/>
        <v>0</v>
      </c>
      <c r="AH178" s="5">
        <f t="shared" si="50"/>
        <v>-5735440.0374398176</v>
      </c>
      <c r="AI178" s="17">
        <f t="shared" si="52"/>
        <v>-1</v>
      </c>
      <c r="AJ178" s="17">
        <f t="shared" si="53"/>
        <v>0.12040057287559984</v>
      </c>
      <c r="AK178" s="14" t="e">
        <f t="shared" si="54"/>
        <v>#DIV/0!</v>
      </c>
      <c r="AL178" s="14">
        <f t="shared" si="55"/>
        <v>-1</v>
      </c>
      <c r="AO178" s="19">
        <f>+Tabla22[[#This Row],[Web + APP 2025]]+Tabla22[[#This Row],[Afiliados 2025]]+Tabla22[[#This Row],[TMK 2025]]+Tabla22[[#This Row],[WA 2025]]+Tabla22[[#This Row],[Ent. en Tienda 2025]]</f>
        <v>3689153.9310344825</v>
      </c>
      <c r="AP178" s="19">
        <f>+Tabla22[[#This Row],[Meli Drop 2025]]+Tabla22[[#This Row],[Meli Full 2025]]+Tabla22[[#This Row],[Amazon Drop 2025]]+Tabla22[[#This Row],[Amazon Full 2025]]+Tabla22[[#This Row],[TikTok 2025]]+Tabla22[[#This Row],[Shein 2025]]</f>
        <v>717353</v>
      </c>
    </row>
    <row r="179" spans="1:42" hidden="1" x14ac:dyDescent="0.3">
      <c r="A179" s="7">
        <v>45833</v>
      </c>
      <c r="B179" s="3">
        <f>+'BD MD'!B178</f>
        <v>36673425</v>
      </c>
      <c r="C179" s="3">
        <f t="shared" si="51"/>
        <v>4415501.3793103453</v>
      </c>
      <c r="D179" s="4">
        <f t="shared" si="56"/>
        <v>3.8136311429567943E-2</v>
      </c>
      <c r="E179" s="3"/>
      <c r="F179" s="7">
        <v>46198</v>
      </c>
      <c r="G179" s="3">
        <f>+Tabla22[[#This Row],[Meta Digital]]+Tabla22[[#This Row],[Meta MKPlace]]</f>
        <v>5747147.0696908589</v>
      </c>
      <c r="H179" s="3">
        <f>+Tabla2[[#This Row],[Meta Digital]]</f>
        <v>4349451.2557971943</v>
      </c>
      <c r="I179" s="3">
        <f>+Tabla2[[#This Row],[Meta MKPlace]]</f>
        <v>1397695.8138936651</v>
      </c>
      <c r="J179" s="3">
        <v>3181484</v>
      </c>
      <c r="K179" s="3"/>
      <c r="L179" s="3">
        <v>41541.379310344812</v>
      </c>
      <c r="M179" s="3"/>
      <c r="N179" s="3">
        <v>19984</v>
      </c>
      <c r="O179" s="3"/>
      <c r="P179" s="3">
        <v>5166</v>
      </c>
      <c r="Q179" s="3"/>
      <c r="R179" s="3">
        <v>119359</v>
      </c>
      <c r="S179" s="3"/>
      <c r="T179" s="3">
        <v>869828</v>
      </c>
      <c r="U179" s="3"/>
      <c r="V179" s="3">
        <v>125724</v>
      </c>
      <c r="W179" s="3"/>
      <c r="X179" s="3">
        <v>44086</v>
      </c>
      <c r="Y179" s="3"/>
      <c r="Z179" s="3">
        <v>8329</v>
      </c>
      <c r="AA179" s="3"/>
      <c r="AB179" s="3">
        <v>0</v>
      </c>
      <c r="AC179" s="3"/>
      <c r="AD179" s="3">
        <v>0</v>
      </c>
      <c r="AE179" s="3"/>
      <c r="AF179" s="5">
        <f t="shared" si="48"/>
        <v>0</v>
      </c>
      <c r="AG179" s="4">
        <f t="shared" si="49"/>
        <v>0</v>
      </c>
      <c r="AH179" s="5">
        <f t="shared" si="50"/>
        <v>-5747147.0696908589</v>
      </c>
      <c r="AI179" s="17">
        <f t="shared" si="52"/>
        <v>-1</v>
      </c>
      <c r="AJ179" s="17">
        <f t="shared" si="53"/>
        <v>8.7935860334630064E-2</v>
      </c>
      <c r="AK179" s="14" t="e">
        <f t="shared" si="54"/>
        <v>#DIV/0!</v>
      </c>
      <c r="AL179" s="14">
        <f t="shared" si="55"/>
        <v>-1</v>
      </c>
      <c r="AO179" s="19">
        <f>+Tabla22[[#This Row],[Web + APP 2025]]+Tabla22[[#This Row],[Afiliados 2025]]+Tabla22[[#This Row],[TMK 2025]]+Tabla22[[#This Row],[WA 2025]]+Tabla22[[#This Row],[Ent. en Tienda 2025]]</f>
        <v>3367534.3793103448</v>
      </c>
      <c r="AP179" s="19">
        <f>+Tabla22[[#This Row],[Meli Drop 2025]]+Tabla22[[#This Row],[Meli Full 2025]]+Tabla22[[#This Row],[Amazon Drop 2025]]+Tabla22[[#This Row],[Amazon Full 2025]]+Tabla22[[#This Row],[TikTok 2025]]+Tabla22[[#This Row],[Shein 2025]]</f>
        <v>1047967</v>
      </c>
    </row>
    <row r="180" spans="1:42" hidden="1" x14ac:dyDescent="0.3">
      <c r="A180" s="63">
        <v>45834</v>
      </c>
      <c r="B180" s="3">
        <f>+'BD MD'!B179</f>
        <v>40294476</v>
      </c>
      <c r="C180" s="3">
        <f t="shared" si="51"/>
        <v>3543329.4137931033</v>
      </c>
      <c r="D180" s="4">
        <f t="shared" si="56"/>
        <v>3.0603436034498083E-2</v>
      </c>
      <c r="E180" s="3"/>
      <c r="F180" s="7">
        <v>46199</v>
      </c>
      <c r="G180" s="3">
        <f>+Tabla22[[#This Row],[Meta Digital]]+Tabla22[[#This Row],[Meta MKPlace]]</f>
        <v>4611941.7724224813</v>
      </c>
      <c r="H180" s="3">
        <f>+Tabla2[[#This Row],[Meta Digital]]</f>
        <v>3490325.8417581269</v>
      </c>
      <c r="I180" s="3">
        <f>+Tabla2[[#This Row],[Meta MKPlace]]</f>
        <v>1121615.9306643547</v>
      </c>
      <c r="J180" s="3">
        <v>2646749</v>
      </c>
      <c r="K180" s="3"/>
      <c r="L180" s="3">
        <v>43047.413793103435</v>
      </c>
      <c r="M180" s="3"/>
      <c r="N180" s="3">
        <v>27161</v>
      </c>
      <c r="O180" s="3"/>
      <c r="P180" s="3">
        <v>7060</v>
      </c>
      <c r="Q180" s="3"/>
      <c r="R180" s="3">
        <v>96473</v>
      </c>
      <c r="S180" s="3"/>
      <c r="T180" s="3">
        <v>505360</v>
      </c>
      <c r="U180" s="3"/>
      <c r="V180" s="3">
        <v>154811</v>
      </c>
      <c r="W180" s="3"/>
      <c r="X180" s="3">
        <v>46738</v>
      </c>
      <c r="Y180" s="3"/>
      <c r="Z180" s="3">
        <v>15930</v>
      </c>
      <c r="AA180" s="3"/>
      <c r="AB180" s="3">
        <v>0</v>
      </c>
      <c r="AC180" s="3"/>
      <c r="AD180" s="3">
        <v>0</v>
      </c>
      <c r="AE180" s="3"/>
      <c r="AF180" s="5">
        <f t="shared" si="48"/>
        <v>0</v>
      </c>
      <c r="AG180" s="4">
        <f t="shared" si="49"/>
        <v>0</v>
      </c>
      <c r="AH180" s="5">
        <f t="shared" si="50"/>
        <v>-4611941.7724224813</v>
      </c>
      <c r="AI180" s="17">
        <f t="shared" si="52"/>
        <v>-1</v>
      </c>
      <c r="AJ180" s="17">
        <f t="shared" si="53"/>
        <v>6.5932160983780172E-2</v>
      </c>
      <c r="AK180" s="14" t="e">
        <f t="shared" si="54"/>
        <v>#DIV/0!</v>
      </c>
      <c r="AL180" s="14">
        <f t="shared" si="55"/>
        <v>-1</v>
      </c>
      <c r="AO180" s="19">
        <f>+Tabla22[[#This Row],[Web + APP 2025]]+Tabla22[[#This Row],[Afiliados 2025]]+Tabla22[[#This Row],[TMK 2025]]+Tabla22[[#This Row],[WA 2025]]+Tabla22[[#This Row],[Ent. en Tienda 2025]]</f>
        <v>2820490.4137931033</v>
      </c>
      <c r="AP180" s="19">
        <f>+Tabla22[[#This Row],[Meli Drop 2025]]+Tabla22[[#This Row],[Meli Full 2025]]+Tabla22[[#This Row],[Amazon Drop 2025]]+Tabla22[[#This Row],[Amazon Full 2025]]+Tabla22[[#This Row],[TikTok 2025]]+Tabla22[[#This Row],[Shein 2025]]</f>
        <v>722839</v>
      </c>
    </row>
    <row r="181" spans="1:42" hidden="1" x14ac:dyDescent="0.3">
      <c r="A181" s="7">
        <v>45835</v>
      </c>
      <c r="B181" s="3">
        <f>+'BD MD'!B180</f>
        <v>45550137</v>
      </c>
      <c r="C181" s="3">
        <f t="shared" si="51"/>
        <v>3003218.9655172415</v>
      </c>
      <c r="D181" s="4">
        <f t="shared" si="56"/>
        <v>2.5938547838940781E-2</v>
      </c>
      <c r="E181" s="3"/>
      <c r="F181" s="7">
        <v>46200</v>
      </c>
      <c r="G181" s="3">
        <f>+Tabla22[[#This Row],[Meta Digital]]+Tabla22[[#This Row],[Meta MKPlace]]</f>
        <v>3908942.5174199017</v>
      </c>
      <c r="H181" s="3">
        <f>+Tabla2[[#This Row],[Meta Digital]]</f>
        <v>2958294.7391227223</v>
      </c>
      <c r="I181" s="3">
        <f>+Tabla2[[#This Row],[Meta MKPlace]]</f>
        <v>950647.77829717961</v>
      </c>
      <c r="J181" s="3">
        <v>2155899</v>
      </c>
      <c r="K181" s="3"/>
      <c r="L181" s="3">
        <v>39018.965517241362</v>
      </c>
      <c r="M181" s="3"/>
      <c r="N181" s="3">
        <v>39894</v>
      </c>
      <c r="O181" s="3"/>
      <c r="P181" s="3">
        <v>8661</v>
      </c>
      <c r="Q181" s="3"/>
      <c r="R181" s="3">
        <v>57827</v>
      </c>
      <c r="S181" s="3"/>
      <c r="T181" s="3">
        <v>506732</v>
      </c>
      <c r="U181" s="3"/>
      <c r="V181" s="3">
        <v>154811</v>
      </c>
      <c r="W181" s="3"/>
      <c r="X181" s="3">
        <v>29295</v>
      </c>
      <c r="Y181" s="3"/>
      <c r="Z181" s="3">
        <v>11081</v>
      </c>
      <c r="AA181" s="3"/>
      <c r="AB181" s="3">
        <v>0</v>
      </c>
      <c r="AC181" s="3"/>
      <c r="AD181" s="3">
        <v>0</v>
      </c>
      <c r="AE181" s="3"/>
      <c r="AF181" s="5">
        <f t="shared" si="48"/>
        <v>0</v>
      </c>
      <c r="AG181" s="4">
        <f t="shared" si="49"/>
        <v>0</v>
      </c>
      <c r="AH181" s="5">
        <f t="shared" si="50"/>
        <v>-3908942.5174199017</v>
      </c>
      <c r="AI181" s="17">
        <f t="shared" si="52"/>
        <v>-1</v>
      </c>
      <c r="AJ181" s="17">
        <f t="shared" si="53"/>
        <v>4.8486222222701103E-2</v>
      </c>
      <c r="AK181" s="14" t="e">
        <f t="shared" si="54"/>
        <v>#DIV/0!</v>
      </c>
      <c r="AL181" s="14">
        <f t="shared" si="55"/>
        <v>-1</v>
      </c>
      <c r="AO181" s="19">
        <f>+Tabla22[[#This Row],[Web + APP 2025]]+Tabla22[[#This Row],[Afiliados 2025]]+Tabla22[[#This Row],[TMK 2025]]+Tabla22[[#This Row],[WA 2025]]+Tabla22[[#This Row],[Ent. en Tienda 2025]]</f>
        <v>2301299.9655172415</v>
      </c>
      <c r="AP181" s="19">
        <f>+Tabla22[[#This Row],[Meli Drop 2025]]+Tabla22[[#This Row],[Meli Full 2025]]+Tabla22[[#This Row],[Amazon Drop 2025]]+Tabla22[[#This Row],[Amazon Full 2025]]+Tabla22[[#This Row],[TikTok 2025]]+Tabla22[[#This Row],[Shein 2025]]</f>
        <v>701919</v>
      </c>
    </row>
    <row r="182" spans="1:42" hidden="1" x14ac:dyDescent="0.3">
      <c r="A182" s="63">
        <v>45836</v>
      </c>
      <c r="B182" s="3">
        <f>+'BD MD'!B181</f>
        <v>52421787</v>
      </c>
      <c r="C182" s="3">
        <f t="shared" si="51"/>
        <v>2541734.4137931038</v>
      </c>
      <c r="D182" s="4">
        <f t="shared" si="56"/>
        <v>2.1952744852455224E-2</v>
      </c>
      <c r="E182" s="3"/>
      <c r="F182" s="7">
        <v>46201</v>
      </c>
      <c r="G182" s="3">
        <f>+Tabla22[[#This Row],[Meta Digital]]+Tabla22[[#This Row],[Meta MKPlace]]</f>
        <v>3308281.4913410861</v>
      </c>
      <c r="H182" s="3">
        <f>+Tabla2[[#This Row],[Meta Digital]]</f>
        <v>2503713.3924986022</v>
      </c>
      <c r="I182" s="3">
        <f>+Tabla2[[#This Row],[Meta MKPlace]]</f>
        <v>804568.09884248395</v>
      </c>
      <c r="J182" s="3">
        <v>1738073</v>
      </c>
      <c r="K182" s="3"/>
      <c r="L182" s="3">
        <v>45922.413793103435</v>
      </c>
      <c r="M182" s="3"/>
      <c r="N182" s="3">
        <v>20153</v>
      </c>
      <c r="O182" s="3"/>
      <c r="P182" s="3">
        <v>5603</v>
      </c>
      <c r="Q182" s="3"/>
      <c r="R182" s="3">
        <v>54501</v>
      </c>
      <c r="S182" s="3"/>
      <c r="T182" s="3">
        <v>502302</v>
      </c>
      <c r="U182" s="3"/>
      <c r="V182" s="3">
        <v>134913</v>
      </c>
      <c r="W182" s="3"/>
      <c r="X182" s="3">
        <v>29728</v>
      </c>
      <c r="Y182" s="3"/>
      <c r="Z182" s="3">
        <v>10539</v>
      </c>
      <c r="AA182" s="3"/>
      <c r="AB182" s="3">
        <v>0</v>
      </c>
      <c r="AC182" s="3"/>
      <c r="AD182" s="3">
        <v>0</v>
      </c>
      <c r="AE182" s="3"/>
      <c r="AF182" s="5">
        <f t="shared" si="48"/>
        <v>0</v>
      </c>
      <c r="AG182" s="4">
        <f t="shared" si="49"/>
        <v>0</v>
      </c>
      <c r="AH182" s="5">
        <f t="shared" si="50"/>
        <v>-3308281.4913410861</v>
      </c>
      <c r="AI182" s="17">
        <f t="shared" si="52"/>
        <v>-1</v>
      </c>
      <c r="AJ182" s="17">
        <f t="shared" si="53"/>
        <v>5.1618119803201724E-2</v>
      </c>
      <c r="AK182" s="14" t="e">
        <f t="shared" si="54"/>
        <v>#DIV/0!</v>
      </c>
      <c r="AL182" s="14">
        <f t="shared" si="55"/>
        <v>-1</v>
      </c>
      <c r="AO182" s="19">
        <f>+Tabla22[[#This Row],[Web + APP 2025]]+Tabla22[[#This Row],[Afiliados 2025]]+Tabla22[[#This Row],[TMK 2025]]+Tabla22[[#This Row],[WA 2025]]+Tabla22[[#This Row],[Ent. en Tienda 2025]]</f>
        <v>1864252.4137931035</v>
      </c>
      <c r="AP182" s="19">
        <f>+Tabla22[[#This Row],[Meli Drop 2025]]+Tabla22[[#This Row],[Meli Full 2025]]+Tabla22[[#This Row],[Amazon Drop 2025]]+Tabla22[[#This Row],[Amazon Full 2025]]+Tabla22[[#This Row],[TikTok 2025]]+Tabla22[[#This Row],[Shein 2025]]</f>
        <v>677482</v>
      </c>
    </row>
    <row r="183" spans="1:42" hidden="1" x14ac:dyDescent="0.3">
      <c r="A183" s="7">
        <v>45837</v>
      </c>
      <c r="B183" s="3">
        <f>+'BD MD'!B182</f>
        <v>53869935</v>
      </c>
      <c r="C183" s="3">
        <f t="shared" si="51"/>
        <v>2780664.7586206896</v>
      </c>
      <c r="D183" s="4">
        <f t="shared" si="56"/>
        <v>2.401636600384122E-2</v>
      </c>
      <c r="E183" s="3"/>
      <c r="F183" s="7">
        <v>46202</v>
      </c>
      <c r="G183" s="3">
        <f>+Tabla22[[#This Row],[Meta Digital]]+Tabla22[[#This Row],[Meta MKPlace]]</f>
        <v>3619269.4660182809</v>
      </c>
      <c r="H183" s="3">
        <f>+Tabla2[[#This Row],[Meta Digital]]</f>
        <v>2739069.6519775004</v>
      </c>
      <c r="I183" s="3">
        <f>+Tabla2[[#This Row],[Meta MKPlace]]</f>
        <v>880199.81404078065</v>
      </c>
      <c r="J183" s="3">
        <v>2175842</v>
      </c>
      <c r="K183" s="3"/>
      <c r="L183" s="3">
        <v>46807.758620689638</v>
      </c>
      <c r="M183" s="3"/>
      <c r="N183" s="3">
        <v>7774</v>
      </c>
      <c r="O183" s="3"/>
      <c r="P183" s="3">
        <v>4942</v>
      </c>
      <c r="Q183" s="3"/>
      <c r="R183" s="3">
        <v>107553</v>
      </c>
      <c r="S183" s="3"/>
      <c r="T183" s="3">
        <v>253751</v>
      </c>
      <c r="U183" s="3"/>
      <c r="V183" s="3">
        <v>130575</v>
      </c>
      <c r="W183" s="3"/>
      <c r="X183" s="3">
        <v>43414</v>
      </c>
      <c r="Y183" s="3"/>
      <c r="Z183" s="3">
        <v>10006</v>
      </c>
      <c r="AA183" s="3"/>
      <c r="AB183" s="3">
        <v>0</v>
      </c>
      <c r="AC183" s="3"/>
      <c r="AD183" s="3">
        <v>0</v>
      </c>
      <c r="AE183" s="3"/>
      <c r="AF183" s="5">
        <f t="shared" si="48"/>
        <v>0</v>
      </c>
      <c r="AG183" s="4">
        <f t="shared" si="49"/>
        <v>0</v>
      </c>
      <c r="AH183" s="5">
        <f t="shared" si="50"/>
        <v>-3619269.4660182809</v>
      </c>
      <c r="AI183" s="17">
        <f t="shared" si="52"/>
        <v>-1</v>
      </c>
      <c r="AJ183" s="17">
        <f t="shared" si="53"/>
        <v>0.15882788751994989</v>
      </c>
      <c r="AK183" s="14" t="e">
        <f t="shared" si="54"/>
        <v>#DIV/0!</v>
      </c>
      <c r="AL183" s="14">
        <f t="shared" si="55"/>
        <v>-1</v>
      </c>
      <c r="AO183" s="19">
        <f>+Tabla22[[#This Row],[Web + APP 2025]]+Tabla22[[#This Row],[Afiliados 2025]]+Tabla22[[#This Row],[TMK 2025]]+Tabla22[[#This Row],[WA 2025]]+Tabla22[[#This Row],[Ent. en Tienda 2025]]</f>
        <v>2342918.7586206896</v>
      </c>
      <c r="AP183" s="19">
        <f>+Tabla22[[#This Row],[Meli Drop 2025]]+Tabla22[[#This Row],[Meli Full 2025]]+Tabla22[[#This Row],[Amazon Drop 2025]]+Tabla22[[#This Row],[Amazon Full 2025]]+Tabla22[[#This Row],[TikTok 2025]]+Tabla22[[#This Row],[Shein 2025]]</f>
        <v>437746</v>
      </c>
    </row>
    <row r="184" spans="1:42" hidden="1" x14ac:dyDescent="0.3">
      <c r="A184" s="63">
        <v>45838</v>
      </c>
      <c r="B184" s="3">
        <f>+'BD MD'!B183</f>
        <v>31090588</v>
      </c>
      <c r="C184" s="3">
        <f t="shared" si="51"/>
        <v>4938052.4137931038</v>
      </c>
      <c r="D184" s="4">
        <f t="shared" si="56"/>
        <v>4.2649540455439054E-2</v>
      </c>
      <c r="E184" s="3"/>
      <c r="F184" s="7">
        <v>46203</v>
      </c>
      <c r="G184" s="3">
        <f>+Tabla22[[#This Row],[Meta Digital]]+Tabla22[[#This Row],[Meta MKPlace]]</f>
        <v>6427291.2681874242</v>
      </c>
      <c r="H184" s="3">
        <f>+Tabla2[[#This Row],[Meta Digital]]</f>
        <v>4864185.6104955832</v>
      </c>
      <c r="I184" s="3">
        <f>+Tabla2[[#This Row],[Meta MKPlace]]</f>
        <v>1563105.6576918412</v>
      </c>
      <c r="J184" s="3">
        <v>3654183</v>
      </c>
      <c r="K184" s="3"/>
      <c r="L184" s="3">
        <v>47272.41379310342</v>
      </c>
      <c r="M184" s="3"/>
      <c r="N184" s="3">
        <v>48765</v>
      </c>
      <c r="O184" s="3"/>
      <c r="P184" s="3">
        <v>11584</v>
      </c>
      <c r="Q184" s="3"/>
      <c r="R184" s="3">
        <v>80803</v>
      </c>
      <c r="S184" s="3"/>
      <c r="T184" s="3">
        <v>907574</v>
      </c>
      <c r="U184" s="3"/>
      <c r="V184" s="3">
        <v>118765</v>
      </c>
      <c r="W184" s="3"/>
      <c r="X184" s="3">
        <v>58578</v>
      </c>
      <c r="Y184" s="3"/>
      <c r="Z184" s="3">
        <v>10528</v>
      </c>
      <c r="AA184" s="3"/>
      <c r="AB184" s="3">
        <v>0</v>
      </c>
      <c r="AC184" s="3"/>
      <c r="AD184" s="3">
        <v>0</v>
      </c>
      <c r="AE184" s="3"/>
      <c r="AF184" s="5">
        <f t="shared" si="48"/>
        <v>0</v>
      </c>
      <c r="AG184" s="4">
        <f t="shared" si="49"/>
        <v>0</v>
      </c>
      <c r="AH184" s="5">
        <f t="shared" si="50"/>
        <v>-6427291.2681874242</v>
      </c>
      <c r="AI184" s="17">
        <f t="shared" si="52"/>
        <v>-1</v>
      </c>
      <c r="AJ184" s="17">
        <f t="shared" si="53"/>
        <v>0.13175148107191206</v>
      </c>
      <c r="AK184" s="14" t="e">
        <f t="shared" si="54"/>
        <v>#DIV/0!</v>
      </c>
      <c r="AL184" s="14">
        <f t="shared" si="55"/>
        <v>-1</v>
      </c>
      <c r="AO184" s="19">
        <f>+Tabla22[[#This Row],[Web + APP 2025]]+Tabla22[[#This Row],[Afiliados 2025]]+Tabla22[[#This Row],[TMK 2025]]+Tabla22[[#This Row],[WA 2025]]+Tabla22[[#This Row],[Ent. en Tienda 2025]]</f>
        <v>3842607.4137931033</v>
      </c>
      <c r="AP184" s="19">
        <f>+Tabla22[[#This Row],[Meli Drop 2025]]+Tabla22[[#This Row],[Meli Full 2025]]+Tabla22[[#This Row],[Amazon Drop 2025]]+Tabla22[[#This Row],[Amazon Full 2025]]+Tabla22[[#This Row],[TikTok 2025]]+Tabla22[[#This Row],[Shein 2025]]</f>
        <v>1095445</v>
      </c>
    </row>
    <row r="185" spans="1:42" hidden="1" x14ac:dyDescent="0.3">
      <c r="A185" s="7">
        <v>45839</v>
      </c>
      <c r="B185" s="3">
        <f>+'BD MD'!B184</f>
        <v>35520249</v>
      </c>
      <c r="C185" s="3">
        <f t="shared" si="51"/>
        <v>4679845.4137931038</v>
      </c>
      <c r="D185" s="4">
        <f>+C185/(SUM($C$185:$C$215))</f>
        <v>4.0509870767977997E-2</v>
      </c>
      <c r="E185" s="3"/>
      <c r="F185" s="7">
        <v>46204</v>
      </c>
      <c r="G185" s="3">
        <f>+Tabla22[[#This Row],[Meta Digital]]+Tabla22[[#This Row],[Meta MKPlace]]</f>
        <v>6105570.618243413</v>
      </c>
      <c r="H185" s="3">
        <f>+Tabla2[[#This Row],[Meta Digital]]</f>
        <v>4829509.6890521059</v>
      </c>
      <c r="I185" s="3">
        <f>+Tabla2[[#This Row],[Meta MKPlace]]</f>
        <v>1276060.9291913069</v>
      </c>
      <c r="J185" s="3">
        <v>3679795</v>
      </c>
      <c r="K185" s="3"/>
      <c r="L185" s="3">
        <v>42322.41379310342</v>
      </c>
      <c r="M185" s="3"/>
      <c r="N185" s="3">
        <v>86850</v>
      </c>
      <c r="O185" s="3"/>
      <c r="P185" s="3">
        <v>9893</v>
      </c>
      <c r="Q185" s="3"/>
      <c r="R185" s="3">
        <v>74174</v>
      </c>
      <c r="S185" s="3"/>
      <c r="T185" s="3">
        <v>622788</v>
      </c>
      <c r="U185" s="3"/>
      <c r="V185" s="3">
        <v>102657</v>
      </c>
      <c r="W185" s="3"/>
      <c r="X185" s="3">
        <v>47524</v>
      </c>
      <c r="Y185" s="3"/>
      <c r="Z185" s="3">
        <v>13842</v>
      </c>
      <c r="AA185" s="3"/>
      <c r="AB185" s="3">
        <v>0</v>
      </c>
      <c r="AC185" s="3"/>
      <c r="AD185" s="3">
        <v>0</v>
      </c>
      <c r="AE185" s="3"/>
      <c r="AF185" s="5">
        <f t="shared" si="48"/>
        <v>0</v>
      </c>
      <c r="AG185" s="4">
        <f t="shared" si="49"/>
        <v>0</v>
      </c>
      <c r="AH185" s="5">
        <f t="shared" si="50"/>
        <v>-6105570.618243413</v>
      </c>
      <c r="AI185" s="17">
        <f t="shared" si="52"/>
        <v>-1</v>
      </c>
      <c r="AJ185" s="17">
        <f t="shared" si="53"/>
        <v>0.12161802445348896</v>
      </c>
      <c r="AK185" s="14" t="e">
        <f t="shared" si="54"/>
        <v>#DIV/0!</v>
      </c>
      <c r="AL185" s="14">
        <f t="shared" si="55"/>
        <v>-1</v>
      </c>
      <c r="AO185" s="19">
        <f>+Tabla22[[#This Row],[Web + APP 2025]]+Tabla22[[#This Row],[Afiliados 2025]]+Tabla22[[#This Row],[TMK 2025]]+Tabla22[[#This Row],[WA 2025]]+Tabla22[[#This Row],[Ent. en Tienda 2025]]</f>
        <v>3893034.4137931033</v>
      </c>
      <c r="AP185" s="19">
        <f>+Tabla22[[#This Row],[Meli Drop 2025]]+Tabla22[[#This Row],[Meli Full 2025]]+Tabla22[[#This Row],[Amazon Drop 2025]]+Tabla22[[#This Row],[Amazon Full 2025]]+Tabla22[[#This Row],[TikTok 2025]]+Tabla22[[#This Row],[Shein 2025]]</f>
        <v>786811</v>
      </c>
    </row>
    <row r="186" spans="1:42" hidden="1" x14ac:dyDescent="0.3">
      <c r="A186" s="63">
        <v>45840</v>
      </c>
      <c r="B186" s="3">
        <f>+'BD MD'!B185</f>
        <v>37199061</v>
      </c>
      <c r="C186" s="3">
        <f t="shared" si="51"/>
        <v>4524076.3103448274</v>
      </c>
      <c r="D186" s="4">
        <f t="shared" ref="D186:D215" si="57">+C186/(SUM($C$185:$C$215))</f>
        <v>3.916149583411048E-2</v>
      </c>
      <c r="E186" s="3"/>
      <c r="F186" s="7">
        <v>46205</v>
      </c>
      <c r="G186" s="3">
        <f>+Tabla22[[#This Row],[Meta Digital]]+Tabla22[[#This Row],[Meta MKPlace]]</f>
        <v>5902346.1146218153</v>
      </c>
      <c r="H186" s="3">
        <f>+Tabla2[[#This Row],[Meta Digital]]</f>
        <v>4668758.9958473351</v>
      </c>
      <c r="I186" s="3">
        <f>+Tabla2[[#This Row],[Meta MKPlace]]</f>
        <v>1233587.1187744802</v>
      </c>
      <c r="J186" s="3">
        <v>3685044</v>
      </c>
      <c r="K186" s="3"/>
      <c r="L186" s="3">
        <v>36679.310344827565</v>
      </c>
      <c r="M186" s="3"/>
      <c r="N186" s="3">
        <v>54428</v>
      </c>
      <c r="O186" s="3"/>
      <c r="P186" s="3">
        <v>10227</v>
      </c>
      <c r="Q186" s="3"/>
      <c r="R186" s="3">
        <v>69019</v>
      </c>
      <c r="S186" s="3"/>
      <c r="T186" s="3">
        <v>520885</v>
      </c>
      <c r="U186" s="3"/>
      <c r="V186" s="3">
        <v>97656</v>
      </c>
      <c r="W186" s="3"/>
      <c r="X186" s="3">
        <v>41854</v>
      </c>
      <c r="Y186" s="3"/>
      <c r="Z186" s="3">
        <v>8284</v>
      </c>
      <c r="AA186" s="3"/>
      <c r="AB186" s="3">
        <v>0</v>
      </c>
      <c r="AC186" s="3"/>
      <c r="AD186" s="3">
        <v>0</v>
      </c>
      <c r="AE186" s="3"/>
      <c r="AF186" s="5">
        <f t="shared" si="48"/>
        <v>0</v>
      </c>
      <c r="AG186" s="4">
        <f t="shared" si="49"/>
        <v>0</v>
      </c>
      <c r="AH186" s="5">
        <f t="shared" si="50"/>
        <v>-5902346.1146218153</v>
      </c>
      <c r="AI186" s="17">
        <f t="shared" si="52"/>
        <v>-1</v>
      </c>
      <c r="AJ186" s="17">
        <f t="shared" si="53"/>
        <v>8.2072999496515531E-2</v>
      </c>
      <c r="AK186" s="14" t="e">
        <f t="shared" si="54"/>
        <v>#DIV/0!</v>
      </c>
      <c r="AL186" s="14">
        <f t="shared" si="55"/>
        <v>-1</v>
      </c>
      <c r="AO186" s="19">
        <f>+Tabla22[[#This Row],[Web + APP 2025]]+Tabla22[[#This Row],[Afiliados 2025]]+Tabla22[[#This Row],[TMK 2025]]+Tabla22[[#This Row],[WA 2025]]+Tabla22[[#This Row],[Ent. en Tienda 2025]]</f>
        <v>3855397.3103448274</v>
      </c>
      <c r="AP186" s="19">
        <f>+Tabla22[[#This Row],[Meli Drop 2025]]+Tabla22[[#This Row],[Meli Full 2025]]+Tabla22[[#This Row],[Amazon Drop 2025]]+Tabla22[[#This Row],[Amazon Full 2025]]+Tabla22[[#This Row],[TikTok 2025]]+Tabla22[[#This Row],[Shein 2025]]</f>
        <v>668679</v>
      </c>
    </row>
    <row r="187" spans="1:42" hidden="1" x14ac:dyDescent="0.3">
      <c r="A187" s="7">
        <v>45841</v>
      </c>
      <c r="B187" s="3">
        <f>+'BD MD'!B186</f>
        <v>43524406</v>
      </c>
      <c r="C187" s="3">
        <f t="shared" si="51"/>
        <v>3572178.5517241377</v>
      </c>
      <c r="D187" s="4">
        <f t="shared" si="57"/>
        <v>3.0921639219958472E-2</v>
      </c>
      <c r="E187" s="3"/>
      <c r="F187" s="7">
        <v>46206</v>
      </c>
      <c r="G187" s="3">
        <f>+Tabla22[[#This Row],[Meta Digital]]+Tabla22[[#This Row],[Meta MKPlace]]</f>
        <v>4660450.6089547584</v>
      </c>
      <c r="H187" s="3">
        <f>+Tabla2[[#This Row],[Meta Digital]]</f>
        <v>3686418.9735260666</v>
      </c>
      <c r="I187" s="3">
        <f>+Tabla2[[#This Row],[Meta MKPlace]]</f>
        <v>974031.63542869186</v>
      </c>
      <c r="J187" s="3">
        <v>2698039</v>
      </c>
      <c r="K187" s="3"/>
      <c r="L187" s="3">
        <v>35471.55172413792</v>
      </c>
      <c r="M187" s="3"/>
      <c r="N187" s="3">
        <v>41667</v>
      </c>
      <c r="O187" s="3"/>
      <c r="P187" s="3">
        <v>9394</v>
      </c>
      <c r="Q187" s="3"/>
      <c r="R187" s="3">
        <v>92502</v>
      </c>
      <c r="S187" s="3"/>
      <c r="T187" s="3">
        <v>552929</v>
      </c>
      <c r="U187" s="3"/>
      <c r="V187" s="3">
        <v>93404</v>
      </c>
      <c r="W187" s="3"/>
      <c r="X187" s="3">
        <v>39271</v>
      </c>
      <c r="Y187" s="3"/>
      <c r="Z187" s="3">
        <v>9501</v>
      </c>
      <c r="AA187" s="3"/>
      <c r="AB187" s="3">
        <v>0</v>
      </c>
      <c r="AC187" s="3"/>
      <c r="AD187" s="3">
        <v>0</v>
      </c>
      <c r="AE187" s="3"/>
      <c r="AF187" s="5">
        <f t="shared" si="48"/>
        <v>0</v>
      </c>
      <c r="AG187" s="4">
        <f t="shared" si="49"/>
        <v>0</v>
      </c>
      <c r="AH187" s="5">
        <f t="shared" si="50"/>
        <v>-4660450.6089547584</v>
      </c>
      <c r="AI187" s="17">
        <f t="shared" si="52"/>
        <v>-1</v>
      </c>
      <c r="AJ187" s="17">
        <f t="shared" si="53"/>
        <v>6.8703799992819392E-2</v>
      </c>
      <c r="AK187" s="14" t="e">
        <f t="shared" si="54"/>
        <v>#DIV/0!</v>
      </c>
      <c r="AL187" s="14">
        <f t="shared" si="55"/>
        <v>-1</v>
      </c>
      <c r="AO187" s="19">
        <f>+Tabla22[[#This Row],[Web + APP 2025]]+Tabla22[[#This Row],[Afiliados 2025]]+Tabla22[[#This Row],[TMK 2025]]+Tabla22[[#This Row],[WA 2025]]+Tabla22[[#This Row],[Ent. en Tienda 2025]]</f>
        <v>2877073.5517241377</v>
      </c>
      <c r="AP187" s="19">
        <f>+Tabla22[[#This Row],[Meli Drop 2025]]+Tabla22[[#This Row],[Meli Full 2025]]+Tabla22[[#This Row],[Amazon Drop 2025]]+Tabla22[[#This Row],[Amazon Full 2025]]+Tabla22[[#This Row],[TikTok 2025]]+Tabla22[[#This Row],[Shein 2025]]</f>
        <v>695105</v>
      </c>
    </row>
    <row r="188" spans="1:42" hidden="1" x14ac:dyDescent="0.3">
      <c r="A188" s="63">
        <v>45842</v>
      </c>
      <c r="B188" s="3">
        <f>+'BD MD'!B187</f>
        <v>42164351</v>
      </c>
      <c r="C188" s="3">
        <f t="shared" si="51"/>
        <v>2896851.1379310344</v>
      </c>
      <c r="D188" s="4">
        <f t="shared" si="57"/>
        <v>2.5075842224570606E-2</v>
      </c>
      <c r="E188" s="3"/>
      <c r="F188" s="7">
        <v>46207</v>
      </c>
      <c r="G188" s="3">
        <f>+Tabla22[[#This Row],[Meta Digital]]+Tabla22[[#This Row],[Meta MKPlace]]</f>
        <v>3779383.2123273341</v>
      </c>
      <c r="H188" s="3">
        <f>+Tabla2[[#This Row],[Meta Digital]]</f>
        <v>2989494.1822533598</v>
      </c>
      <c r="I188" s="3">
        <f>+Tabla2[[#This Row],[Meta MKPlace]]</f>
        <v>789889.03007397405</v>
      </c>
      <c r="J188" s="3">
        <v>2179555</v>
      </c>
      <c r="K188" s="3"/>
      <c r="L188" s="3">
        <v>32924.137931034464</v>
      </c>
      <c r="M188" s="3"/>
      <c r="N188" s="3">
        <v>12896</v>
      </c>
      <c r="O188" s="3"/>
      <c r="P188" s="3">
        <v>-1764</v>
      </c>
      <c r="Q188" s="3"/>
      <c r="R188" s="3">
        <v>107559</v>
      </c>
      <c r="S188" s="3"/>
      <c r="T188" s="3">
        <v>416715</v>
      </c>
      <c r="U188" s="3"/>
      <c r="V188" s="3">
        <v>115888</v>
      </c>
      <c r="W188" s="3"/>
      <c r="X188" s="3">
        <v>27713</v>
      </c>
      <c r="Y188" s="3"/>
      <c r="Z188" s="3">
        <v>5365</v>
      </c>
      <c r="AA188" s="3"/>
      <c r="AB188" s="3">
        <v>0</v>
      </c>
      <c r="AC188" s="3"/>
      <c r="AD188" s="3">
        <v>0</v>
      </c>
      <c r="AE188" s="3"/>
      <c r="AF188" s="5">
        <f t="shared" si="48"/>
        <v>0</v>
      </c>
      <c r="AG188" s="4">
        <f t="shared" si="49"/>
        <v>0</v>
      </c>
      <c r="AH188" s="5">
        <f t="shared" si="50"/>
        <v>-3779383.2123273341</v>
      </c>
      <c r="AI188" s="17">
        <f t="shared" si="52"/>
        <v>-1</v>
      </c>
      <c r="AJ188" s="17">
        <f t="shared" si="53"/>
        <v>4.5404713838328552E-2</v>
      </c>
      <c r="AK188" s="14" t="e">
        <f t="shared" si="54"/>
        <v>#DIV/0!</v>
      </c>
      <c r="AL188" s="14">
        <f t="shared" si="55"/>
        <v>-1</v>
      </c>
      <c r="AO188" s="19">
        <f>+Tabla22[[#This Row],[Web + APP 2025]]+Tabla22[[#This Row],[Afiliados 2025]]+Tabla22[[#This Row],[TMK 2025]]+Tabla22[[#This Row],[WA 2025]]+Tabla22[[#This Row],[Ent. en Tienda 2025]]</f>
        <v>2331170.1379310344</v>
      </c>
      <c r="AP188" s="19">
        <f>+Tabla22[[#This Row],[Meli Drop 2025]]+Tabla22[[#This Row],[Meli Full 2025]]+Tabla22[[#This Row],[Amazon Drop 2025]]+Tabla22[[#This Row],[Amazon Full 2025]]+Tabla22[[#This Row],[TikTok 2025]]+Tabla22[[#This Row],[Shein 2025]]</f>
        <v>565681</v>
      </c>
    </row>
    <row r="189" spans="1:42" hidden="1" x14ac:dyDescent="0.3">
      <c r="A189" s="7">
        <v>45843</v>
      </c>
      <c r="B189" s="3">
        <f>+'BD MD'!B188</f>
        <v>52117301</v>
      </c>
      <c r="C189" s="3">
        <f t="shared" si="51"/>
        <v>2366371.1379310344</v>
      </c>
      <c r="D189" s="4">
        <f t="shared" si="57"/>
        <v>2.0483879382879395E-2</v>
      </c>
      <c r="E189" s="3"/>
      <c r="F189" s="7">
        <v>46208</v>
      </c>
      <c r="G189" s="3">
        <f>+Tabla22[[#This Row],[Meta Digital]]+Tabla22[[#This Row],[Meta MKPlace]]</f>
        <v>3087291.3128770511</v>
      </c>
      <c r="H189" s="3">
        <f>+Tabla2[[#This Row],[Meta Digital]]</f>
        <v>2442049.11231635</v>
      </c>
      <c r="I189" s="3">
        <f>+Tabla2[[#This Row],[Meta MKPlace]]</f>
        <v>645242.20056070096</v>
      </c>
      <c r="J189" s="3">
        <v>1713969</v>
      </c>
      <c r="K189" s="3"/>
      <c r="L189" s="3">
        <v>35299.137931034464</v>
      </c>
      <c r="M189" s="3"/>
      <c r="N189" s="3">
        <v>11072</v>
      </c>
      <c r="O189" s="3"/>
      <c r="P189" s="3">
        <v>8150</v>
      </c>
      <c r="Q189" s="3"/>
      <c r="R189" s="3">
        <v>64081</v>
      </c>
      <c r="S189" s="3"/>
      <c r="T189" s="3">
        <v>404189</v>
      </c>
      <c r="U189" s="3"/>
      <c r="V189" s="3">
        <v>108332</v>
      </c>
      <c r="W189" s="3"/>
      <c r="X189" s="3">
        <v>16902</v>
      </c>
      <c r="Y189" s="3"/>
      <c r="Z189" s="3">
        <v>4377</v>
      </c>
      <c r="AA189" s="3"/>
      <c r="AB189" s="3">
        <v>0</v>
      </c>
      <c r="AC189" s="3"/>
      <c r="AD189" s="3">
        <v>0</v>
      </c>
      <c r="AE189" s="3"/>
      <c r="AF189" s="5">
        <f t="shared" si="48"/>
        <v>0</v>
      </c>
      <c r="AG189" s="4">
        <f t="shared" si="49"/>
        <v>0</v>
      </c>
      <c r="AH189" s="5">
        <f t="shared" si="50"/>
        <v>-3087291.3128770511</v>
      </c>
      <c r="AI189" s="17">
        <f t="shared" si="52"/>
        <v>-1</v>
      </c>
      <c r="AJ189" s="17">
        <f t="shared" si="53"/>
        <v>5.2464709935642659E-2</v>
      </c>
      <c r="AK189" s="14" t="e">
        <f t="shared" si="54"/>
        <v>#DIV/0!</v>
      </c>
      <c r="AL189" s="14">
        <f t="shared" si="55"/>
        <v>-1</v>
      </c>
      <c r="AO189" s="19">
        <f>+Tabla22[[#This Row],[Web + APP 2025]]+Tabla22[[#This Row],[Afiliados 2025]]+Tabla22[[#This Row],[TMK 2025]]+Tabla22[[#This Row],[WA 2025]]+Tabla22[[#This Row],[Ent. en Tienda 2025]]</f>
        <v>1832571.1379310344</v>
      </c>
      <c r="AP189" s="19">
        <f>+Tabla22[[#This Row],[Meli Drop 2025]]+Tabla22[[#This Row],[Meli Full 2025]]+Tabla22[[#This Row],[Amazon Drop 2025]]+Tabla22[[#This Row],[Amazon Full 2025]]+Tabla22[[#This Row],[TikTok 2025]]+Tabla22[[#This Row],[Shein 2025]]</f>
        <v>533800</v>
      </c>
    </row>
    <row r="190" spans="1:42" hidden="1" x14ac:dyDescent="0.3">
      <c r="A190" s="63">
        <v>45844</v>
      </c>
      <c r="B190" s="3">
        <f>+'BD MD'!B189</f>
        <v>52957760</v>
      </c>
      <c r="C190" s="3">
        <f t="shared" si="51"/>
        <v>2778413.5172413792</v>
      </c>
      <c r="D190" s="4">
        <f t="shared" si="57"/>
        <v>2.4050617610513119E-2</v>
      </c>
      <c r="E190" s="3"/>
      <c r="F190" s="7">
        <v>46209</v>
      </c>
      <c r="G190" s="3">
        <f>+Tabla22[[#This Row],[Meta Digital]]+Tabla22[[#This Row],[Meta MKPlace]]</f>
        <v>3624863.3098437795</v>
      </c>
      <c r="H190" s="3">
        <f>+Tabla2[[#This Row],[Meta Digital]]</f>
        <v>2867268.8551126164</v>
      </c>
      <c r="I190" s="3">
        <f>+Tabla2[[#This Row],[Meta MKPlace]]</f>
        <v>757594.45473116322</v>
      </c>
      <c r="J190" s="3">
        <v>2262588</v>
      </c>
      <c r="K190" s="3"/>
      <c r="L190" s="3">
        <v>39215.51724137929</v>
      </c>
      <c r="M190" s="3"/>
      <c r="N190" s="3">
        <v>24461</v>
      </c>
      <c r="O190" s="3"/>
      <c r="P190" s="3">
        <v>3632</v>
      </c>
      <c r="Q190" s="3"/>
      <c r="R190" s="3">
        <v>74909</v>
      </c>
      <c r="S190" s="3"/>
      <c r="T190" s="3">
        <v>230319</v>
      </c>
      <c r="U190" s="3"/>
      <c r="V190" s="3">
        <v>105857</v>
      </c>
      <c r="W190" s="3"/>
      <c r="X190" s="3">
        <v>29115</v>
      </c>
      <c r="Y190" s="3"/>
      <c r="Z190" s="3">
        <v>8317</v>
      </c>
      <c r="AA190" s="3"/>
      <c r="AB190" s="3">
        <v>0</v>
      </c>
      <c r="AC190" s="3"/>
      <c r="AD190" s="3">
        <v>0</v>
      </c>
      <c r="AE190" s="3"/>
      <c r="AF190" s="5">
        <f t="shared" si="48"/>
        <v>0</v>
      </c>
      <c r="AG190" s="4">
        <f t="shared" si="49"/>
        <v>0</v>
      </c>
      <c r="AH190" s="5">
        <f t="shared" si="50"/>
        <v>-3624863.3098437795</v>
      </c>
      <c r="AI190" s="17">
        <f t="shared" si="52"/>
        <v>-1</v>
      </c>
      <c r="AJ190" s="17">
        <f t="shared" si="53"/>
        <v>0.14927496971815124</v>
      </c>
      <c r="AK190" s="14" t="e">
        <f t="shared" si="54"/>
        <v>#DIV/0!</v>
      </c>
      <c r="AL190" s="14">
        <f t="shared" si="55"/>
        <v>-1</v>
      </c>
      <c r="AO190" s="19">
        <f>+Tabla22[[#This Row],[Web + APP 2025]]+Tabla22[[#This Row],[Afiliados 2025]]+Tabla22[[#This Row],[TMK 2025]]+Tabla22[[#This Row],[WA 2025]]+Tabla22[[#This Row],[Ent. en Tienda 2025]]</f>
        <v>2404805.5172413792</v>
      </c>
      <c r="AP190" s="19">
        <f>+Tabla22[[#This Row],[Meli Drop 2025]]+Tabla22[[#This Row],[Meli Full 2025]]+Tabla22[[#This Row],[Amazon Drop 2025]]+Tabla22[[#This Row],[Amazon Full 2025]]+Tabla22[[#This Row],[TikTok 2025]]+Tabla22[[#This Row],[Shein 2025]]</f>
        <v>373608</v>
      </c>
    </row>
    <row r="191" spans="1:42" hidden="1" x14ac:dyDescent="0.3">
      <c r="A191" s="7">
        <v>45845</v>
      </c>
      <c r="B191" s="3">
        <f>+'BD MD'!B190</f>
        <v>31819363</v>
      </c>
      <c r="C191" s="3">
        <f t="shared" si="51"/>
        <v>4749834.4482758623</v>
      </c>
      <c r="D191" s="4">
        <f t="shared" si="57"/>
        <v>4.1115712733124039E-2</v>
      </c>
      <c r="E191" s="3"/>
      <c r="F191" s="7">
        <v>46210</v>
      </c>
      <c r="G191" s="3">
        <f>+Tabla22[[#This Row],[Meta Digital]]+Tabla22[[#This Row],[Meta MKPlace]]</f>
        <v>6196881.9661092404</v>
      </c>
      <c r="H191" s="3">
        <f>+Tabla2[[#This Row],[Meta Digital]]</f>
        <v>4901737.0150158331</v>
      </c>
      <c r="I191" s="3">
        <f>+Tabla2[[#This Row],[Meta MKPlace]]</f>
        <v>1295144.9510934073</v>
      </c>
      <c r="J191" s="3">
        <v>3483892</v>
      </c>
      <c r="K191" s="3"/>
      <c r="L191" s="3">
        <v>35553.448275862058</v>
      </c>
      <c r="M191" s="3"/>
      <c r="N191" s="3">
        <v>63151</v>
      </c>
      <c r="O191" s="3"/>
      <c r="P191" s="3">
        <v>5117</v>
      </c>
      <c r="Q191" s="3"/>
      <c r="R191" s="3">
        <v>82044</v>
      </c>
      <c r="S191" s="3"/>
      <c r="T191" s="3">
        <v>867493</v>
      </c>
      <c r="U191" s="3"/>
      <c r="V191" s="3">
        <v>163273</v>
      </c>
      <c r="W191" s="3"/>
      <c r="X191" s="3">
        <v>43008</v>
      </c>
      <c r="Y191" s="3"/>
      <c r="Z191" s="3">
        <v>6303</v>
      </c>
      <c r="AA191" s="3"/>
      <c r="AB191" s="3">
        <v>0</v>
      </c>
      <c r="AC191" s="3"/>
      <c r="AD191" s="3">
        <v>0</v>
      </c>
      <c r="AE191" s="3"/>
      <c r="AF191" s="5">
        <f t="shared" si="48"/>
        <v>0</v>
      </c>
      <c r="AG191" s="4">
        <f t="shared" si="49"/>
        <v>0</v>
      </c>
      <c r="AH191" s="5">
        <f t="shared" si="50"/>
        <v>-6196881.9661092404</v>
      </c>
      <c r="AI191" s="17">
        <f t="shared" si="52"/>
        <v>-1</v>
      </c>
      <c r="AJ191" s="17">
        <f t="shared" si="53"/>
        <v>0.12548885430422951</v>
      </c>
      <c r="AK191" s="14" t="e">
        <f t="shared" si="54"/>
        <v>#DIV/0!</v>
      </c>
      <c r="AL191" s="14">
        <f t="shared" si="55"/>
        <v>-1</v>
      </c>
      <c r="AO191" s="19">
        <f>+Tabla22[[#This Row],[Web + APP 2025]]+Tabla22[[#This Row],[Afiliados 2025]]+Tabla22[[#This Row],[TMK 2025]]+Tabla22[[#This Row],[WA 2025]]+Tabla22[[#This Row],[Ent. en Tienda 2025]]</f>
        <v>3669757.4482758623</v>
      </c>
      <c r="AP191" s="19">
        <f>+Tabla22[[#This Row],[Meli Drop 2025]]+Tabla22[[#This Row],[Meli Full 2025]]+Tabla22[[#This Row],[Amazon Drop 2025]]+Tabla22[[#This Row],[Amazon Full 2025]]+Tabla22[[#This Row],[TikTok 2025]]+Tabla22[[#This Row],[Shein 2025]]</f>
        <v>1080077</v>
      </c>
    </row>
    <row r="192" spans="1:42" hidden="1" x14ac:dyDescent="0.3">
      <c r="A192" s="63">
        <v>45846</v>
      </c>
      <c r="B192" s="3">
        <f>+'BD MD'!B191</f>
        <v>36389509</v>
      </c>
      <c r="C192" s="3">
        <f t="shared" si="51"/>
        <v>4566477.7931034481</v>
      </c>
      <c r="D192" s="4">
        <f t="shared" si="57"/>
        <v>3.9528533296899274E-2</v>
      </c>
      <c r="E192" s="3"/>
      <c r="F192" s="7">
        <v>46211</v>
      </c>
      <c r="G192" s="3">
        <f>+Tabla22[[#This Row],[Meta Digital]]+Tabla22[[#This Row],[Meta MKPlace]]</f>
        <v>5957665.3024176275</v>
      </c>
      <c r="H192" s="3">
        <f>+Tabla2[[#This Row],[Meta Digital]]</f>
        <v>4712516.5035653003</v>
      </c>
      <c r="I192" s="3">
        <f>+Tabla2[[#This Row],[Meta MKPlace]]</f>
        <v>1245148.798852327</v>
      </c>
      <c r="J192" s="3">
        <v>3544388</v>
      </c>
      <c r="K192" s="3"/>
      <c r="L192" s="3">
        <v>38138.793103448261</v>
      </c>
      <c r="M192" s="3"/>
      <c r="N192" s="3">
        <v>75946</v>
      </c>
      <c r="O192" s="3"/>
      <c r="P192" s="3">
        <v>5502</v>
      </c>
      <c r="Q192" s="3"/>
      <c r="R192" s="3">
        <v>59539</v>
      </c>
      <c r="S192" s="3"/>
      <c r="T192" s="3">
        <v>634734</v>
      </c>
      <c r="U192" s="3"/>
      <c r="V192" s="3">
        <v>168311</v>
      </c>
      <c r="W192" s="3"/>
      <c r="X192" s="3">
        <v>34428</v>
      </c>
      <c r="Y192" s="3"/>
      <c r="Z192" s="3">
        <v>5491</v>
      </c>
      <c r="AA192" s="3"/>
      <c r="AB192" s="3">
        <v>0</v>
      </c>
      <c r="AC192" s="3"/>
      <c r="AD192" s="3">
        <v>0</v>
      </c>
      <c r="AE192" s="3"/>
      <c r="AF192" s="5">
        <f t="shared" si="48"/>
        <v>0</v>
      </c>
      <c r="AG192" s="4">
        <f t="shared" si="49"/>
        <v>0</v>
      </c>
      <c r="AH192" s="5">
        <f t="shared" si="50"/>
        <v>-5957665.3024176275</v>
      </c>
      <c r="AI192" s="17">
        <f t="shared" si="52"/>
        <v>-1</v>
      </c>
      <c r="AJ192" s="17">
        <f t="shared" si="53"/>
        <v>0.11059995096160857</v>
      </c>
      <c r="AK192" s="14" t="e">
        <f t="shared" si="54"/>
        <v>#DIV/0!</v>
      </c>
      <c r="AL192" s="14">
        <f t="shared" si="55"/>
        <v>-1</v>
      </c>
      <c r="AO192" s="19">
        <f>+Tabla22[[#This Row],[Web + APP 2025]]+Tabla22[[#This Row],[Afiliados 2025]]+Tabla22[[#This Row],[TMK 2025]]+Tabla22[[#This Row],[WA 2025]]+Tabla22[[#This Row],[Ent. en Tienda 2025]]</f>
        <v>3723513.7931034481</v>
      </c>
      <c r="AP192" s="19">
        <f>+Tabla22[[#This Row],[Meli Drop 2025]]+Tabla22[[#This Row],[Meli Full 2025]]+Tabla22[[#This Row],[Amazon Drop 2025]]+Tabla22[[#This Row],[Amazon Full 2025]]+Tabla22[[#This Row],[TikTok 2025]]+Tabla22[[#This Row],[Shein 2025]]</f>
        <v>842964</v>
      </c>
    </row>
    <row r="193" spans="1:42" hidden="1" x14ac:dyDescent="0.3">
      <c r="A193" s="7">
        <v>45847</v>
      </c>
      <c r="B193" s="3">
        <f>+'BD MD'!B192</f>
        <v>38311714</v>
      </c>
      <c r="C193" s="3">
        <f t="shared" si="51"/>
        <v>4237273.6896551726</v>
      </c>
      <c r="D193" s="4">
        <f t="shared" si="57"/>
        <v>3.6678863167268087E-2</v>
      </c>
      <c r="E193" s="3"/>
      <c r="F193" s="7">
        <v>46212</v>
      </c>
      <c r="G193" s="3">
        <f>+Tabla22[[#This Row],[Meta Digital]]+Tabla22[[#This Row],[Meta MKPlace]]</f>
        <v>5528168.4443601239</v>
      </c>
      <c r="H193" s="3">
        <f>+Tabla2[[#This Row],[Meta Digital]]</f>
        <v>4372784.2545911791</v>
      </c>
      <c r="I193" s="3">
        <f>+Tabla2[[#This Row],[Meta MKPlace]]</f>
        <v>1155384.1897689449</v>
      </c>
      <c r="J193" s="3">
        <v>3310758</v>
      </c>
      <c r="K193" s="3"/>
      <c r="L193" s="3">
        <v>33820.689655172413</v>
      </c>
      <c r="M193" s="3"/>
      <c r="N193" s="3">
        <v>39814</v>
      </c>
      <c r="O193" s="3"/>
      <c r="P193" s="3">
        <v>5684</v>
      </c>
      <c r="Q193" s="3"/>
      <c r="R193" s="3">
        <v>93614</v>
      </c>
      <c r="S193" s="3"/>
      <c r="T193" s="3">
        <v>580420</v>
      </c>
      <c r="U193" s="3"/>
      <c r="V193" s="3">
        <v>132668</v>
      </c>
      <c r="W193" s="3"/>
      <c r="X193" s="3">
        <v>37975</v>
      </c>
      <c r="Y193" s="3"/>
      <c r="Z193" s="3">
        <v>2520</v>
      </c>
      <c r="AA193" s="3"/>
      <c r="AB193" s="3">
        <v>0</v>
      </c>
      <c r="AC193" s="3"/>
      <c r="AD193" s="3">
        <v>0</v>
      </c>
      <c r="AE193" s="3"/>
      <c r="AF193" s="5">
        <f t="shared" si="48"/>
        <v>0</v>
      </c>
      <c r="AG193" s="4">
        <f t="shared" si="49"/>
        <v>0</v>
      </c>
      <c r="AH193" s="5">
        <f t="shared" si="50"/>
        <v>-5528168.4443601239</v>
      </c>
      <c r="AI193" s="17">
        <f t="shared" si="52"/>
        <v>-1</v>
      </c>
      <c r="AJ193" s="17">
        <f t="shared" si="53"/>
        <v>8.8934982877154095E-2</v>
      </c>
      <c r="AK193" s="14" t="e">
        <f t="shared" si="54"/>
        <v>#DIV/0!</v>
      </c>
      <c r="AL193" s="14">
        <f t="shared" si="55"/>
        <v>-1</v>
      </c>
      <c r="AO193" s="19">
        <f>+Tabla22[[#This Row],[Web + APP 2025]]+Tabla22[[#This Row],[Afiliados 2025]]+Tabla22[[#This Row],[TMK 2025]]+Tabla22[[#This Row],[WA 2025]]+Tabla22[[#This Row],[Ent. en Tienda 2025]]</f>
        <v>3483690.6896551726</v>
      </c>
      <c r="AP193" s="19">
        <f>+Tabla22[[#This Row],[Meli Drop 2025]]+Tabla22[[#This Row],[Meli Full 2025]]+Tabla22[[#This Row],[Amazon Drop 2025]]+Tabla22[[#This Row],[Amazon Full 2025]]+Tabla22[[#This Row],[TikTok 2025]]+Tabla22[[#This Row],[Shein 2025]]</f>
        <v>753583</v>
      </c>
    </row>
    <row r="194" spans="1:42" hidden="1" x14ac:dyDescent="0.3">
      <c r="A194" s="63">
        <v>45848</v>
      </c>
      <c r="B194" s="3">
        <f>+'BD MD'!B193</f>
        <v>39604287</v>
      </c>
      <c r="C194" s="3">
        <f t="shared" si="51"/>
        <v>3522206.5862068967</v>
      </c>
      <c r="D194" s="4">
        <f t="shared" si="57"/>
        <v>3.0489069832269126E-2</v>
      </c>
      <c r="E194" s="3"/>
      <c r="F194" s="7">
        <v>46213</v>
      </c>
      <c r="G194" s="3">
        <f>+Tabla22[[#This Row],[Meta Digital]]+Tabla22[[#This Row],[Meta MKPlace]]</f>
        <v>4595254.5741672236</v>
      </c>
      <c r="H194" s="3">
        <f>+Tabla2[[#This Row],[Meta Digital]]</f>
        <v>3634848.8744507465</v>
      </c>
      <c r="I194" s="3">
        <f>+Tabla2[[#This Row],[Meta MKPlace]]</f>
        <v>960405.69971647742</v>
      </c>
      <c r="J194" s="3">
        <v>2584721</v>
      </c>
      <c r="K194" s="3"/>
      <c r="L194" s="3">
        <v>34077.586206896543</v>
      </c>
      <c r="M194" s="3"/>
      <c r="N194" s="3">
        <v>28434</v>
      </c>
      <c r="O194" s="3"/>
      <c r="P194" s="3">
        <v>4376</v>
      </c>
      <c r="Q194" s="3"/>
      <c r="R194" s="3">
        <v>129021</v>
      </c>
      <c r="S194" s="3"/>
      <c r="T194" s="3">
        <v>532963</v>
      </c>
      <c r="U194" s="3"/>
      <c r="V194" s="3">
        <v>167845</v>
      </c>
      <c r="W194" s="3"/>
      <c r="X194" s="3">
        <v>35189</v>
      </c>
      <c r="Y194" s="3"/>
      <c r="Z194" s="3">
        <v>5580</v>
      </c>
      <c r="AA194" s="3"/>
      <c r="AB194" s="3">
        <v>0</v>
      </c>
      <c r="AC194" s="3"/>
      <c r="AD194" s="3">
        <v>0</v>
      </c>
      <c r="AE194" s="3"/>
      <c r="AF194" s="5">
        <f t="shared" si="48"/>
        <v>0</v>
      </c>
      <c r="AG194" s="4">
        <f t="shared" si="49"/>
        <v>0</v>
      </c>
      <c r="AH194" s="5">
        <f t="shared" si="50"/>
        <v>-4595254.5741672236</v>
      </c>
      <c r="AI194" s="17">
        <f t="shared" si="52"/>
        <v>-1</v>
      </c>
      <c r="AJ194" s="17">
        <f t="shared" si="53"/>
        <v>7.0731738749229098E-2</v>
      </c>
      <c r="AK194" s="14" t="e">
        <f t="shared" si="54"/>
        <v>#DIV/0!</v>
      </c>
      <c r="AL194" s="14">
        <f t="shared" si="55"/>
        <v>-1</v>
      </c>
      <c r="AO194" s="19">
        <f>+Tabla22[[#This Row],[Web + APP 2025]]+Tabla22[[#This Row],[Afiliados 2025]]+Tabla22[[#This Row],[TMK 2025]]+Tabla22[[#This Row],[WA 2025]]+Tabla22[[#This Row],[Ent. en Tienda 2025]]</f>
        <v>2780629.5862068967</v>
      </c>
      <c r="AP194" s="19">
        <f>+Tabla22[[#This Row],[Meli Drop 2025]]+Tabla22[[#This Row],[Meli Full 2025]]+Tabla22[[#This Row],[Amazon Drop 2025]]+Tabla22[[#This Row],[Amazon Full 2025]]+Tabla22[[#This Row],[TikTok 2025]]+Tabla22[[#This Row],[Shein 2025]]</f>
        <v>741577</v>
      </c>
    </row>
    <row r="195" spans="1:42" hidden="1" x14ac:dyDescent="0.3">
      <c r="A195" s="7">
        <v>45849</v>
      </c>
      <c r="B195" s="3">
        <f>+'BD MD'!B194</f>
        <v>39558146</v>
      </c>
      <c r="C195" s="3">
        <f t="shared" si="51"/>
        <v>2798016.4482758623</v>
      </c>
      <c r="D195" s="4">
        <f t="shared" si="57"/>
        <v>2.4220305310140969E-2</v>
      </c>
      <c r="E195" s="3"/>
      <c r="F195" s="7">
        <v>46214</v>
      </c>
      <c r="G195" s="3">
        <f>+Tabla22[[#This Row],[Meta Digital]]+Tabla22[[#This Row],[Meta MKPlace]]</f>
        <v>3650438.3169589364</v>
      </c>
      <c r="H195" s="3">
        <f>+Tabla2[[#This Row],[Meta Digital]]</f>
        <v>2887498.6996894958</v>
      </c>
      <c r="I195" s="3">
        <f>+Tabla2[[#This Row],[Meta MKPlace]]</f>
        <v>762939.61726944055</v>
      </c>
      <c r="J195" s="3">
        <v>1939583</v>
      </c>
      <c r="K195" s="3"/>
      <c r="L195" s="3">
        <v>35028.448275862058</v>
      </c>
      <c r="M195" s="3"/>
      <c r="N195" s="3">
        <v>26271</v>
      </c>
      <c r="O195" s="3"/>
      <c r="P195" s="3">
        <v>5444</v>
      </c>
      <c r="Q195" s="3"/>
      <c r="R195" s="3">
        <v>85348</v>
      </c>
      <c r="S195" s="3"/>
      <c r="T195" s="3">
        <v>527863</v>
      </c>
      <c r="U195" s="3"/>
      <c r="V195" s="3">
        <v>153400</v>
      </c>
      <c r="W195" s="3"/>
      <c r="X195" s="3">
        <v>20782</v>
      </c>
      <c r="Y195" s="3"/>
      <c r="Z195" s="3">
        <v>4297</v>
      </c>
      <c r="AA195" s="3"/>
      <c r="AB195" s="3">
        <v>0</v>
      </c>
      <c r="AC195" s="3"/>
      <c r="AD195" s="3">
        <v>0</v>
      </c>
      <c r="AE195" s="3"/>
      <c r="AF195" s="5">
        <f t="shared" si="48"/>
        <v>0</v>
      </c>
      <c r="AG195" s="4">
        <f t="shared" si="49"/>
        <v>0</v>
      </c>
      <c r="AH195" s="5">
        <f t="shared" si="50"/>
        <v>-3650438.3169589364</v>
      </c>
      <c r="AI195" s="17">
        <f t="shared" si="52"/>
        <v>-1</v>
      </c>
      <c r="AJ195" s="17">
        <f t="shared" si="53"/>
        <v>5.1281934302046236E-2</v>
      </c>
      <c r="AK195" s="14" t="e">
        <f t="shared" si="54"/>
        <v>#DIV/0!</v>
      </c>
      <c r="AL195" s="14">
        <f t="shared" si="55"/>
        <v>-1</v>
      </c>
      <c r="AO195" s="19">
        <f>+Tabla22[[#This Row],[Web + APP 2025]]+Tabla22[[#This Row],[Afiliados 2025]]+Tabla22[[#This Row],[TMK 2025]]+Tabla22[[#This Row],[WA 2025]]+Tabla22[[#This Row],[Ent. en Tienda 2025]]</f>
        <v>2091674.448275862</v>
      </c>
      <c r="AP195" s="19">
        <f>+Tabla22[[#This Row],[Meli Drop 2025]]+Tabla22[[#This Row],[Meli Full 2025]]+Tabla22[[#This Row],[Amazon Drop 2025]]+Tabla22[[#This Row],[Amazon Full 2025]]+Tabla22[[#This Row],[TikTok 2025]]+Tabla22[[#This Row],[Shein 2025]]</f>
        <v>706342</v>
      </c>
    </row>
    <row r="196" spans="1:42" hidden="1" x14ac:dyDescent="0.3">
      <c r="A196" s="63">
        <v>45850</v>
      </c>
      <c r="B196" s="3">
        <f>+'BD MD'!B195</f>
        <v>50882667</v>
      </c>
      <c r="C196" s="3">
        <f t="shared" si="51"/>
        <v>2609361.5862068962</v>
      </c>
      <c r="D196" s="4">
        <f t="shared" si="57"/>
        <v>2.2587263316993116E-2</v>
      </c>
      <c r="E196" s="3"/>
      <c r="F196" s="7">
        <v>46215</v>
      </c>
      <c r="G196" s="3">
        <f>+Tabla22[[#This Row],[Meta Digital]]+Tabla22[[#This Row],[Meta MKPlace]]</f>
        <v>3404309.3359797443</v>
      </c>
      <c r="H196" s="3">
        <f>+Tabla2[[#This Row],[Meta Digital]]</f>
        <v>2692810.5414944612</v>
      </c>
      <c r="I196" s="3">
        <f>+Tabla2[[#This Row],[Meta MKPlace]]</f>
        <v>711498.79448528308</v>
      </c>
      <c r="J196" s="3">
        <v>1839299</v>
      </c>
      <c r="K196" s="3"/>
      <c r="L196" s="3">
        <v>37977.586206896543</v>
      </c>
      <c r="M196" s="3"/>
      <c r="N196" s="3">
        <v>10430</v>
      </c>
      <c r="O196" s="3"/>
      <c r="P196" s="3">
        <v>6547</v>
      </c>
      <c r="Q196" s="3"/>
      <c r="R196" s="3">
        <v>71218</v>
      </c>
      <c r="S196" s="3"/>
      <c r="T196" s="3">
        <v>483286</v>
      </c>
      <c r="U196" s="3"/>
      <c r="V196" s="3">
        <v>135225</v>
      </c>
      <c r="W196" s="3"/>
      <c r="X196" s="3">
        <v>12782</v>
      </c>
      <c r="Y196" s="3"/>
      <c r="Z196" s="3">
        <v>12597</v>
      </c>
      <c r="AA196" s="3"/>
      <c r="AB196" s="3">
        <v>0</v>
      </c>
      <c r="AC196" s="3"/>
      <c r="AD196" s="3">
        <v>0</v>
      </c>
      <c r="AE196" s="3"/>
      <c r="AF196" s="5">
        <f t="shared" ref="AF196:AF259" si="58">+AE196+AC196+AA196+Y196+W196+U196+S196+Q196+O196+M196+K196</f>
        <v>0</v>
      </c>
      <c r="AG196" s="4">
        <f t="shared" ref="AG196:AG259" si="59">+AF196/G196</f>
        <v>0</v>
      </c>
      <c r="AH196" s="5">
        <f t="shared" ref="AH196:AH259" si="60">+AF196-G196</f>
        <v>-3404309.3359797443</v>
      </c>
      <c r="AI196" s="17">
        <f t="shared" si="52"/>
        <v>-1</v>
      </c>
      <c r="AJ196" s="17">
        <f t="shared" si="53"/>
        <v>4.9432865625291811E-2</v>
      </c>
      <c r="AK196" s="14" t="e">
        <f t="shared" si="54"/>
        <v>#DIV/0!</v>
      </c>
      <c r="AL196" s="14">
        <f t="shared" si="55"/>
        <v>-1</v>
      </c>
      <c r="AO196" s="19">
        <f>+Tabla22[[#This Row],[Web + APP 2025]]+Tabla22[[#This Row],[Afiliados 2025]]+Tabla22[[#This Row],[TMK 2025]]+Tabla22[[#This Row],[WA 2025]]+Tabla22[[#This Row],[Ent. en Tienda 2025]]</f>
        <v>1965471.5862068965</v>
      </c>
      <c r="AP196" s="19">
        <f>+Tabla22[[#This Row],[Meli Drop 2025]]+Tabla22[[#This Row],[Meli Full 2025]]+Tabla22[[#This Row],[Amazon Drop 2025]]+Tabla22[[#This Row],[Amazon Full 2025]]+Tabla22[[#This Row],[TikTok 2025]]+Tabla22[[#This Row],[Shein 2025]]</f>
        <v>643890</v>
      </c>
    </row>
    <row r="197" spans="1:42" hidden="1" x14ac:dyDescent="0.3">
      <c r="A197" s="7">
        <v>45851</v>
      </c>
      <c r="B197" s="3">
        <f>+'BD MD'!B196</f>
        <v>53364930</v>
      </c>
      <c r="C197" s="3">
        <f t="shared" ref="C197:C260" si="61">+J197+L197+N197+P197+R197+T197+V197+X197+Z197+AB197+AD197</f>
        <v>2637981.4137931038</v>
      </c>
      <c r="D197" s="4">
        <f t="shared" si="57"/>
        <v>2.2835003448216675E-2</v>
      </c>
      <c r="E197" s="3"/>
      <c r="F197" s="7">
        <v>46216</v>
      </c>
      <c r="G197" s="3">
        <f>+Tabla22[[#This Row],[Meta Digital]]+Tabla22[[#This Row],[Meta MKPlace]]</f>
        <v>3441648.2570249825</v>
      </c>
      <c r="H197" s="3">
        <f>+Tabla2[[#This Row],[Meta Digital]]</f>
        <v>2722345.6484061573</v>
      </c>
      <c r="I197" s="3">
        <f>+Tabla2[[#This Row],[Meta MKPlace]]</f>
        <v>719302.60861882532</v>
      </c>
      <c r="J197" s="3">
        <v>1908062</v>
      </c>
      <c r="K197" s="3"/>
      <c r="L197" s="3">
        <v>38972.413793103435</v>
      </c>
      <c r="M197" s="3"/>
      <c r="N197" s="3">
        <v>978</v>
      </c>
      <c r="O197" s="3"/>
      <c r="P197" s="3">
        <v>654</v>
      </c>
      <c r="Q197" s="3"/>
      <c r="R197" s="3">
        <v>51478</v>
      </c>
      <c r="S197" s="3"/>
      <c r="T197" s="3">
        <v>452704</v>
      </c>
      <c r="U197" s="3"/>
      <c r="V197" s="3">
        <v>140269</v>
      </c>
      <c r="W197" s="3"/>
      <c r="X197" s="3">
        <v>31653</v>
      </c>
      <c r="Y197" s="3"/>
      <c r="Z197" s="3">
        <v>13211</v>
      </c>
      <c r="AA197" s="3"/>
      <c r="AB197" s="3">
        <v>0</v>
      </c>
      <c r="AC197" s="3"/>
      <c r="AD197" s="3">
        <v>0</v>
      </c>
      <c r="AE197" s="3"/>
      <c r="AF197" s="5">
        <f t="shared" si="58"/>
        <v>0</v>
      </c>
      <c r="AG197" s="4">
        <f t="shared" si="59"/>
        <v>0</v>
      </c>
      <c r="AH197" s="5">
        <f t="shared" si="60"/>
        <v>-3441648.2570249825</v>
      </c>
      <c r="AI197" s="17">
        <f t="shared" si="52"/>
        <v>-1</v>
      </c>
      <c r="AJ197" s="17">
        <f t="shared" si="53"/>
        <v>0.1241515058294153</v>
      </c>
      <c r="AK197" s="14" t="e">
        <f t="shared" si="54"/>
        <v>#DIV/0!</v>
      </c>
      <c r="AL197" s="14">
        <f t="shared" si="55"/>
        <v>-1</v>
      </c>
      <c r="AO197" s="19">
        <f>+Tabla22[[#This Row],[Web + APP 2025]]+Tabla22[[#This Row],[Afiliados 2025]]+Tabla22[[#This Row],[TMK 2025]]+Tabla22[[#This Row],[WA 2025]]+Tabla22[[#This Row],[Ent. en Tienda 2025]]</f>
        <v>2000144.4137931035</v>
      </c>
      <c r="AP197" s="19">
        <f>+Tabla22[[#This Row],[Meli Drop 2025]]+Tabla22[[#This Row],[Meli Full 2025]]+Tabla22[[#This Row],[Amazon Drop 2025]]+Tabla22[[#This Row],[Amazon Full 2025]]+Tabla22[[#This Row],[TikTok 2025]]+Tabla22[[#This Row],[Shein 2025]]</f>
        <v>637837</v>
      </c>
    </row>
    <row r="198" spans="1:42" hidden="1" x14ac:dyDescent="0.3">
      <c r="A198" s="63">
        <v>45852</v>
      </c>
      <c r="B198" s="3">
        <f>+'BD MD'!B197</f>
        <v>31077373</v>
      </c>
      <c r="C198" s="3">
        <f t="shared" si="61"/>
        <v>3858302.6551724137</v>
      </c>
      <c r="D198" s="4">
        <f t="shared" si="57"/>
        <v>3.3398398477888454E-2</v>
      </c>
      <c r="E198" s="3"/>
      <c r="F198" s="7">
        <v>46217</v>
      </c>
      <c r="G198" s="3">
        <f>+Tabla22[[#This Row],[Meta Digital]]+Tabla22[[#This Row],[Meta MKPlace]]</f>
        <v>5033743.0502042435</v>
      </c>
      <c r="H198" s="3">
        <f>+Tabla2[[#This Row],[Meta Digital]]</f>
        <v>3981693.498150757</v>
      </c>
      <c r="I198" s="3">
        <f>+Tabla2[[#This Row],[Meta MKPlace]]</f>
        <v>1052049.5520534862</v>
      </c>
      <c r="J198" s="3">
        <v>2840112</v>
      </c>
      <c r="K198" s="3"/>
      <c r="L198" s="3">
        <v>38589.655172413783</v>
      </c>
      <c r="M198" s="3"/>
      <c r="N198" s="3">
        <v>41758</v>
      </c>
      <c r="O198" s="3"/>
      <c r="P198" s="3">
        <v>3383</v>
      </c>
      <c r="Q198" s="3"/>
      <c r="R198" s="3">
        <v>79566</v>
      </c>
      <c r="S198" s="3"/>
      <c r="T198" s="3">
        <v>679280</v>
      </c>
      <c r="U198" s="3"/>
      <c r="V198" s="3">
        <v>124738</v>
      </c>
      <c r="W198" s="3"/>
      <c r="X198" s="3">
        <v>35820</v>
      </c>
      <c r="Y198" s="3"/>
      <c r="Z198" s="3">
        <v>15056</v>
      </c>
      <c r="AA198" s="3"/>
      <c r="AB198" s="3">
        <v>0</v>
      </c>
      <c r="AC198" s="3"/>
      <c r="AD198" s="3">
        <v>0</v>
      </c>
      <c r="AE198" s="3"/>
      <c r="AF198" s="5">
        <f t="shared" si="58"/>
        <v>0</v>
      </c>
      <c r="AG198" s="4">
        <f t="shared" si="59"/>
        <v>0</v>
      </c>
      <c r="AH198" s="5">
        <f t="shared" si="60"/>
        <v>-5033743.0502042435</v>
      </c>
      <c r="AI198" s="17">
        <f t="shared" si="52"/>
        <v>-1</v>
      </c>
      <c r="AJ198" s="17">
        <f t="shared" si="53"/>
        <v>0.12572486800585456</v>
      </c>
      <c r="AK198" s="14" t="e">
        <f t="shared" si="54"/>
        <v>#DIV/0!</v>
      </c>
      <c r="AL198" s="14">
        <f t="shared" si="55"/>
        <v>-1</v>
      </c>
      <c r="AO198" s="19">
        <f>+Tabla22[[#This Row],[Web + APP 2025]]+Tabla22[[#This Row],[Afiliados 2025]]+Tabla22[[#This Row],[TMK 2025]]+Tabla22[[#This Row],[WA 2025]]+Tabla22[[#This Row],[Ent. en Tienda 2025]]</f>
        <v>3003408.6551724137</v>
      </c>
      <c r="AP198" s="19">
        <f>+Tabla22[[#This Row],[Meli Drop 2025]]+Tabla22[[#This Row],[Meli Full 2025]]+Tabla22[[#This Row],[Amazon Drop 2025]]+Tabla22[[#This Row],[Amazon Full 2025]]+Tabla22[[#This Row],[TikTok 2025]]+Tabla22[[#This Row],[Shein 2025]]</f>
        <v>854894</v>
      </c>
    </row>
    <row r="199" spans="1:42" hidden="1" x14ac:dyDescent="0.3">
      <c r="A199" s="7">
        <v>45853</v>
      </c>
      <c r="B199" s="3">
        <f>+'BD MD'!B198</f>
        <v>32826678</v>
      </c>
      <c r="C199" s="3">
        <f t="shared" si="61"/>
        <v>4127129.7586206896</v>
      </c>
      <c r="D199" s="4">
        <f t="shared" si="57"/>
        <v>3.5725430731458736E-2</v>
      </c>
      <c r="E199" s="3"/>
      <c r="F199" s="7">
        <v>46218</v>
      </c>
      <c r="G199" s="3">
        <f>+Tabla22[[#This Row],[Meta Digital]]+Tabla22[[#This Row],[Meta MKPlace]]</f>
        <v>5384468.9223374724</v>
      </c>
      <c r="H199" s="3">
        <f>+Tabla2[[#This Row],[Meta Digital]]</f>
        <v>4259117.8542965222</v>
      </c>
      <c r="I199" s="3">
        <f>+Tabla2[[#This Row],[Meta MKPlace]]</f>
        <v>1125351.0680409502</v>
      </c>
      <c r="J199" s="3">
        <v>3030753</v>
      </c>
      <c r="K199" s="3"/>
      <c r="L199" s="3">
        <v>41557.758620689645</v>
      </c>
      <c r="M199" s="3"/>
      <c r="N199" s="3">
        <v>41277</v>
      </c>
      <c r="O199" s="3"/>
      <c r="P199" s="3">
        <v>10445</v>
      </c>
      <c r="Q199" s="3"/>
      <c r="R199" s="3">
        <v>72001</v>
      </c>
      <c r="S199" s="3"/>
      <c r="T199" s="3">
        <v>731523</v>
      </c>
      <c r="U199" s="3"/>
      <c r="V199" s="3">
        <v>137392</v>
      </c>
      <c r="W199" s="3"/>
      <c r="X199" s="3">
        <v>41913</v>
      </c>
      <c r="Y199" s="3"/>
      <c r="Z199" s="3">
        <v>20268</v>
      </c>
      <c r="AA199" s="3"/>
      <c r="AB199" s="3">
        <v>0</v>
      </c>
      <c r="AC199" s="3"/>
      <c r="AD199" s="3">
        <v>0</v>
      </c>
      <c r="AE199" s="3"/>
      <c r="AF199" s="5">
        <f t="shared" si="58"/>
        <v>0</v>
      </c>
      <c r="AG199" s="4">
        <f t="shared" si="59"/>
        <v>0</v>
      </c>
      <c r="AH199" s="5">
        <f t="shared" si="60"/>
        <v>-5384468.9223374724</v>
      </c>
      <c r="AI199" s="17">
        <f t="shared" si="52"/>
        <v>-1</v>
      </c>
      <c r="AJ199" s="17">
        <f t="shared" si="53"/>
        <v>0.13400352913466343</v>
      </c>
      <c r="AK199" s="14" t="e">
        <f t="shared" si="54"/>
        <v>#DIV/0!</v>
      </c>
      <c r="AL199" s="14">
        <f t="shared" si="55"/>
        <v>-1</v>
      </c>
      <c r="AO199" s="19">
        <f>+Tabla22[[#This Row],[Web + APP 2025]]+Tabla22[[#This Row],[Afiliados 2025]]+Tabla22[[#This Row],[TMK 2025]]+Tabla22[[#This Row],[WA 2025]]+Tabla22[[#This Row],[Ent. en Tienda 2025]]</f>
        <v>3196033.7586206896</v>
      </c>
      <c r="AP199" s="19">
        <f>+Tabla22[[#This Row],[Meli Drop 2025]]+Tabla22[[#This Row],[Meli Full 2025]]+Tabla22[[#This Row],[Amazon Drop 2025]]+Tabla22[[#This Row],[Amazon Full 2025]]+Tabla22[[#This Row],[TikTok 2025]]+Tabla22[[#This Row],[Shein 2025]]</f>
        <v>931096</v>
      </c>
    </row>
    <row r="200" spans="1:42" hidden="1" x14ac:dyDescent="0.3">
      <c r="A200" s="63">
        <v>45854</v>
      </c>
      <c r="B200" s="3">
        <f>+'BD MD'!B199</f>
        <v>31130597</v>
      </c>
      <c r="C200" s="3">
        <f t="shared" si="61"/>
        <v>4171609.8620689656</v>
      </c>
      <c r="D200" s="4">
        <f t="shared" si="57"/>
        <v>3.611046123633934E-2</v>
      </c>
      <c r="E200" s="3"/>
      <c r="F200" s="7">
        <v>46219</v>
      </c>
      <c r="G200" s="3">
        <f>+Tabla22[[#This Row],[Meta Digital]]+Tabla22[[#This Row],[Meta MKPlace]]</f>
        <v>5442499.9871905521</v>
      </c>
      <c r="H200" s="3">
        <f>+Tabla2[[#This Row],[Meta Digital]]</f>
        <v>4305020.4582458632</v>
      </c>
      <c r="I200" s="3">
        <f>+Tabla2[[#This Row],[Meta MKPlace]]</f>
        <v>1137479.5289446893</v>
      </c>
      <c r="J200" s="3">
        <v>3000776</v>
      </c>
      <c r="K200" s="3"/>
      <c r="L200" s="3">
        <v>43500.862068965507</v>
      </c>
      <c r="M200" s="3"/>
      <c r="N200" s="3">
        <v>50474</v>
      </c>
      <c r="O200" s="3"/>
      <c r="P200" s="3">
        <v>7851</v>
      </c>
      <c r="Q200" s="3"/>
      <c r="R200" s="3">
        <v>87553</v>
      </c>
      <c r="S200" s="3"/>
      <c r="T200" s="3">
        <v>786889</v>
      </c>
      <c r="U200" s="3"/>
      <c r="V200" s="3">
        <v>104771</v>
      </c>
      <c r="W200" s="3"/>
      <c r="X200" s="3">
        <v>62833</v>
      </c>
      <c r="Y200" s="3"/>
      <c r="Z200" s="3">
        <v>26962</v>
      </c>
      <c r="AA200" s="3"/>
      <c r="AB200" s="3">
        <v>0</v>
      </c>
      <c r="AC200" s="3"/>
      <c r="AD200" s="3">
        <v>0</v>
      </c>
      <c r="AE200" s="3"/>
      <c r="AF200" s="5">
        <f t="shared" si="58"/>
        <v>0</v>
      </c>
      <c r="AG200" s="4">
        <f t="shared" si="59"/>
        <v>0</v>
      </c>
      <c r="AH200" s="5">
        <f t="shared" si="60"/>
        <v>-5442499.9871905521</v>
      </c>
      <c r="AI200" s="17">
        <f t="shared" si="52"/>
        <v>-1</v>
      </c>
      <c r="AJ200" s="17">
        <f t="shared" si="53"/>
        <v>9.5506447193651256E-2</v>
      </c>
      <c r="AK200" s="14" t="e">
        <f t="shared" si="54"/>
        <v>#DIV/0!</v>
      </c>
      <c r="AL200" s="14">
        <f t="shared" si="55"/>
        <v>-1</v>
      </c>
      <c r="AO200" s="19">
        <f>+Tabla22[[#This Row],[Web + APP 2025]]+Tabla22[[#This Row],[Afiliados 2025]]+Tabla22[[#This Row],[TMK 2025]]+Tabla22[[#This Row],[WA 2025]]+Tabla22[[#This Row],[Ent. en Tienda 2025]]</f>
        <v>3190154.8620689656</v>
      </c>
      <c r="AP200" s="19">
        <f>+Tabla22[[#This Row],[Meli Drop 2025]]+Tabla22[[#This Row],[Meli Full 2025]]+Tabla22[[#This Row],[Amazon Drop 2025]]+Tabla22[[#This Row],[Amazon Full 2025]]+Tabla22[[#This Row],[TikTok 2025]]+Tabla22[[#This Row],[Shein 2025]]</f>
        <v>981455</v>
      </c>
    </row>
    <row r="201" spans="1:42" hidden="1" x14ac:dyDescent="0.3">
      <c r="A201" s="7">
        <v>45855</v>
      </c>
      <c r="B201" s="3">
        <f>+'BD MD'!B200</f>
        <v>39024266</v>
      </c>
      <c r="C201" s="3">
        <f t="shared" si="61"/>
        <v>3727069</v>
      </c>
      <c r="D201" s="4">
        <f t="shared" si="57"/>
        <v>3.226240830270552E-2</v>
      </c>
      <c r="E201" s="3"/>
      <c r="F201" s="7">
        <v>46220</v>
      </c>
      <c r="G201" s="3">
        <f>+Tabla22[[#This Row],[Meta Digital]]+Tabla22[[#This Row],[Meta MKPlace]]</f>
        <v>4862528.7731719716</v>
      </c>
      <c r="H201" s="3">
        <f>+Tabla2[[#This Row],[Meta Digital]]</f>
        <v>3846262.9116367479</v>
      </c>
      <c r="I201" s="3">
        <f>+Tabla2[[#This Row],[Meta MKPlace]]</f>
        <v>1016265.8615352239</v>
      </c>
      <c r="J201" s="3">
        <v>2683648</v>
      </c>
      <c r="K201" s="3"/>
      <c r="L201" s="3">
        <v>39649.999999999993</v>
      </c>
      <c r="M201" s="3"/>
      <c r="N201" s="3">
        <v>18997</v>
      </c>
      <c r="O201" s="3"/>
      <c r="P201" s="3">
        <v>6904</v>
      </c>
      <c r="Q201" s="3"/>
      <c r="R201" s="3">
        <v>157886</v>
      </c>
      <c r="S201" s="3"/>
      <c r="T201" s="3">
        <v>648054</v>
      </c>
      <c r="U201" s="3"/>
      <c r="V201" s="3">
        <v>111421</v>
      </c>
      <c r="W201" s="3"/>
      <c r="X201" s="3">
        <v>44791</v>
      </c>
      <c r="Y201" s="3"/>
      <c r="Z201" s="3">
        <v>15718</v>
      </c>
      <c r="AA201" s="3"/>
      <c r="AB201" s="3">
        <v>0</v>
      </c>
      <c r="AC201" s="3"/>
      <c r="AD201" s="3">
        <v>0</v>
      </c>
      <c r="AE201" s="3"/>
      <c r="AF201" s="5">
        <f t="shared" si="58"/>
        <v>0</v>
      </c>
      <c r="AG201" s="4">
        <f t="shared" si="59"/>
        <v>0</v>
      </c>
      <c r="AH201" s="5">
        <f t="shared" si="60"/>
        <v>-4862528.7731719716</v>
      </c>
      <c r="AI201" s="17">
        <f t="shared" si="52"/>
        <v>-1</v>
      </c>
      <c r="AJ201" s="17">
        <f t="shared" si="53"/>
        <v>7.459774890927065E-2</v>
      </c>
      <c r="AK201" s="14" t="e">
        <f t="shared" si="54"/>
        <v>#DIV/0!</v>
      </c>
      <c r="AL201" s="14">
        <f t="shared" si="55"/>
        <v>-1</v>
      </c>
      <c r="AO201" s="19">
        <f>+Tabla22[[#This Row],[Web + APP 2025]]+Tabla22[[#This Row],[Afiliados 2025]]+Tabla22[[#This Row],[TMK 2025]]+Tabla22[[#This Row],[WA 2025]]+Tabla22[[#This Row],[Ent. en Tienda 2025]]</f>
        <v>2907085</v>
      </c>
      <c r="AP201" s="19">
        <f>+Tabla22[[#This Row],[Meli Drop 2025]]+Tabla22[[#This Row],[Meli Full 2025]]+Tabla22[[#This Row],[Amazon Drop 2025]]+Tabla22[[#This Row],[Amazon Full 2025]]+Tabla22[[#This Row],[TikTok 2025]]+Tabla22[[#This Row],[Shein 2025]]</f>
        <v>819984</v>
      </c>
    </row>
    <row r="202" spans="1:42" hidden="1" x14ac:dyDescent="0.3">
      <c r="A202" s="63">
        <v>45856</v>
      </c>
      <c r="B202" s="3">
        <f>+'BD MD'!B201</f>
        <v>42222744</v>
      </c>
      <c r="C202" s="3">
        <f t="shared" si="61"/>
        <v>3149721.6551724137</v>
      </c>
      <c r="D202" s="4">
        <f t="shared" si="57"/>
        <v>2.7264750418907149E-2</v>
      </c>
      <c r="E202" s="3"/>
      <c r="F202" s="7">
        <v>46221</v>
      </c>
      <c r="G202" s="3">
        <f>+Tabla22[[#This Row],[Meta Digital]]+Tabla22[[#This Row],[Meta MKPlace]]</f>
        <v>4109291.2891493849</v>
      </c>
      <c r="H202" s="3">
        <f>+Tabla2[[#This Row],[Meta Digital]]</f>
        <v>3250451.6509538097</v>
      </c>
      <c r="I202" s="3">
        <f>+Tabla2[[#This Row],[Meta MKPlace]]</f>
        <v>858839.63819557521</v>
      </c>
      <c r="J202" s="3">
        <v>2251369</v>
      </c>
      <c r="K202" s="3"/>
      <c r="L202" s="3">
        <v>44689.655172413783</v>
      </c>
      <c r="M202" s="3"/>
      <c r="N202" s="3">
        <v>10825</v>
      </c>
      <c r="O202" s="3"/>
      <c r="P202" s="3">
        <v>8554</v>
      </c>
      <c r="Q202" s="3"/>
      <c r="R202" s="3">
        <v>102621</v>
      </c>
      <c r="S202" s="3"/>
      <c r="T202" s="3">
        <v>610477</v>
      </c>
      <c r="U202" s="3"/>
      <c r="V202" s="3">
        <v>69555</v>
      </c>
      <c r="W202" s="3"/>
      <c r="X202" s="3">
        <v>31664</v>
      </c>
      <c r="Y202" s="3"/>
      <c r="Z202" s="3">
        <v>19967</v>
      </c>
      <c r="AA202" s="3"/>
      <c r="AB202" s="3">
        <v>0</v>
      </c>
      <c r="AC202" s="3"/>
      <c r="AD202" s="3">
        <v>0</v>
      </c>
      <c r="AE202" s="3"/>
      <c r="AF202" s="5">
        <f t="shared" si="58"/>
        <v>0</v>
      </c>
      <c r="AG202" s="4">
        <f t="shared" si="59"/>
        <v>0</v>
      </c>
      <c r="AH202" s="5">
        <f t="shared" si="60"/>
        <v>-4109291.2891493849</v>
      </c>
      <c r="AI202" s="17">
        <f t="shared" si="52"/>
        <v>-1</v>
      </c>
      <c r="AJ202" s="17">
        <f t="shared" si="53"/>
        <v>5.8381523259163591E-2</v>
      </c>
      <c r="AK202" s="14" t="e">
        <f t="shared" si="54"/>
        <v>#DIV/0!</v>
      </c>
      <c r="AL202" s="14">
        <f t="shared" si="55"/>
        <v>-1</v>
      </c>
      <c r="AO202" s="19">
        <f>+Tabla22[[#This Row],[Web + APP 2025]]+Tabla22[[#This Row],[Afiliados 2025]]+Tabla22[[#This Row],[TMK 2025]]+Tabla22[[#This Row],[WA 2025]]+Tabla22[[#This Row],[Ent. en Tienda 2025]]</f>
        <v>2418058.6551724137</v>
      </c>
      <c r="AP202" s="19">
        <f>+Tabla22[[#This Row],[Meli Drop 2025]]+Tabla22[[#This Row],[Meli Full 2025]]+Tabla22[[#This Row],[Amazon Drop 2025]]+Tabla22[[#This Row],[Amazon Full 2025]]+Tabla22[[#This Row],[TikTok 2025]]+Tabla22[[#This Row],[Shein 2025]]</f>
        <v>731663</v>
      </c>
    </row>
    <row r="203" spans="1:42" hidden="1" x14ac:dyDescent="0.3">
      <c r="A203" s="7">
        <v>45857</v>
      </c>
      <c r="B203" s="3">
        <f>+'BD MD'!B202</f>
        <v>48194941</v>
      </c>
      <c r="C203" s="3">
        <f t="shared" si="61"/>
        <v>2813694.068965517</v>
      </c>
      <c r="D203" s="4">
        <f t="shared" si="57"/>
        <v>2.4356014576565763E-2</v>
      </c>
      <c r="E203" s="3"/>
      <c r="F203" s="7">
        <v>46222</v>
      </c>
      <c r="G203" s="3">
        <f>+Tabla22[[#This Row],[Meta Digital]]+Tabla22[[#This Row],[Meta MKPlace]]</f>
        <v>3670892.1592941126</v>
      </c>
      <c r="H203" s="3">
        <f>+Tabla2[[#This Row],[Meta Digital]]</f>
        <v>2903677.7001322913</v>
      </c>
      <c r="I203" s="3">
        <f>+Tabla2[[#This Row],[Meta MKPlace]]</f>
        <v>767214.45916182152</v>
      </c>
      <c r="J203" s="3">
        <v>1984365</v>
      </c>
      <c r="K203" s="3"/>
      <c r="L203" s="3">
        <v>43837.068965517232</v>
      </c>
      <c r="M203" s="3"/>
      <c r="N203" s="3">
        <v>7363</v>
      </c>
      <c r="O203" s="3"/>
      <c r="P203" s="3">
        <v>4630</v>
      </c>
      <c r="Q203" s="3"/>
      <c r="R203" s="3">
        <v>162628</v>
      </c>
      <c r="S203" s="3"/>
      <c r="T203" s="3">
        <v>508767</v>
      </c>
      <c r="U203" s="3"/>
      <c r="V203" s="3">
        <v>55690</v>
      </c>
      <c r="W203" s="3"/>
      <c r="X203" s="3">
        <v>34679</v>
      </c>
      <c r="Y203" s="3"/>
      <c r="Z203" s="3">
        <v>11735</v>
      </c>
      <c r="AA203" s="3"/>
      <c r="AB203" s="3">
        <v>0</v>
      </c>
      <c r="AC203" s="3"/>
      <c r="AD203" s="3">
        <v>0</v>
      </c>
      <c r="AE203" s="3"/>
      <c r="AF203" s="5">
        <f t="shared" si="58"/>
        <v>0</v>
      </c>
      <c r="AG203" s="4">
        <f t="shared" si="59"/>
        <v>0</v>
      </c>
      <c r="AH203" s="5">
        <f t="shared" si="60"/>
        <v>-3670892.1592941126</v>
      </c>
      <c r="AI203" s="17">
        <f t="shared" si="52"/>
        <v>-1</v>
      </c>
      <c r="AJ203" s="17">
        <f t="shared" si="53"/>
        <v>5.8213661084564189E-2</v>
      </c>
      <c r="AK203" s="14" t="e">
        <f t="shared" si="54"/>
        <v>#DIV/0!</v>
      </c>
      <c r="AL203" s="14">
        <f t="shared" si="55"/>
        <v>-1</v>
      </c>
      <c r="AO203" s="19">
        <f>+Tabla22[[#This Row],[Web + APP 2025]]+Tabla22[[#This Row],[Afiliados 2025]]+Tabla22[[#This Row],[TMK 2025]]+Tabla22[[#This Row],[WA 2025]]+Tabla22[[#This Row],[Ent. en Tienda 2025]]</f>
        <v>2202823.068965517</v>
      </c>
      <c r="AP203" s="19">
        <f>+Tabla22[[#This Row],[Meli Drop 2025]]+Tabla22[[#This Row],[Meli Full 2025]]+Tabla22[[#This Row],[Amazon Drop 2025]]+Tabla22[[#This Row],[Amazon Full 2025]]+Tabla22[[#This Row],[TikTok 2025]]+Tabla22[[#This Row],[Shein 2025]]</f>
        <v>610871</v>
      </c>
    </row>
    <row r="204" spans="1:42" hidden="1" x14ac:dyDescent="0.3">
      <c r="A204" s="63">
        <v>45858</v>
      </c>
      <c r="B204" s="3">
        <f>+'BD MD'!B203</f>
        <v>49418322</v>
      </c>
      <c r="C204" s="3">
        <f t="shared" si="61"/>
        <v>2876821.4482758623</v>
      </c>
      <c r="D204" s="4">
        <f t="shared" si="57"/>
        <v>2.4902460399379916E-2</v>
      </c>
      <c r="E204" s="3"/>
      <c r="F204" s="7">
        <v>46223</v>
      </c>
      <c r="G204" s="3">
        <f>+Tabla22[[#This Row],[Meta Digital]]+Tabla22[[#This Row],[Meta MKPlace]]</f>
        <v>3753251.4336385094</v>
      </c>
      <c r="H204" s="3">
        <f>+Tabla2[[#This Row],[Meta Digital]]</f>
        <v>2968823.9310580418</v>
      </c>
      <c r="I204" s="3">
        <f>+Tabla2[[#This Row],[Meta MKPlace]]</f>
        <v>784427.50258046738</v>
      </c>
      <c r="J204" s="3">
        <v>2341728</v>
      </c>
      <c r="K204" s="3"/>
      <c r="L204" s="3">
        <v>48778.448275862058</v>
      </c>
      <c r="M204" s="3"/>
      <c r="N204" s="3">
        <v>7001</v>
      </c>
      <c r="O204" s="3"/>
      <c r="P204" s="3">
        <v>5776</v>
      </c>
      <c r="Q204" s="3"/>
      <c r="R204" s="3">
        <v>121377</v>
      </c>
      <c r="S204" s="3"/>
      <c r="T204" s="3">
        <v>238970</v>
      </c>
      <c r="U204" s="3"/>
      <c r="V204" s="3">
        <v>55955</v>
      </c>
      <c r="W204" s="3"/>
      <c r="X204" s="3">
        <v>41650</v>
      </c>
      <c r="Y204" s="3"/>
      <c r="Z204" s="3">
        <v>15586</v>
      </c>
      <c r="AA204" s="3"/>
      <c r="AB204" s="3">
        <v>0</v>
      </c>
      <c r="AC204" s="3"/>
      <c r="AD204" s="3">
        <v>0</v>
      </c>
      <c r="AE204" s="3"/>
      <c r="AF204" s="5">
        <f t="shared" si="58"/>
        <v>0</v>
      </c>
      <c r="AG204" s="4">
        <f t="shared" si="59"/>
        <v>0</v>
      </c>
      <c r="AH204" s="5">
        <f t="shared" si="60"/>
        <v>-3753251.4336385094</v>
      </c>
      <c r="AI204" s="17">
        <f t="shared" si="52"/>
        <v>-1</v>
      </c>
      <c r="AJ204" s="17">
        <f t="shared" si="53"/>
        <v>0.14908975063249572</v>
      </c>
      <c r="AK204" s="14" t="e">
        <f t="shared" si="54"/>
        <v>#DIV/0!</v>
      </c>
      <c r="AL204" s="14">
        <f t="shared" si="55"/>
        <v>-1</v>
      </c>
      <c r="AO204" s="19">
        <f>+Tabla22[[#This Row],[Web + APP 2025]]+Tabla22[[#This Row],[Afiliados 2025]]+Tabla22[[#This Row],[TMK 2025]]+Tabla22[[#This Row],[WA 2025]]+Tabla22[[#This Row],[Ent. en Tienda 2025]]</f>
        <v>2524660.4482758623</v>
      </c>
      <c r="AP204" s="19">
        <f>+Tabla22[[#This Row],[Meli Drop 2025]]+Tabla22[[#This Row],[Meli Full 2025]]+Tabla22[[#This Row],[Amazon Drop 2025]]+Tabla22[[#This Row],[Amazon Full 2025]]+Tabla22[[#This Row],[TikTok 2025]]+Tabla22[[#This Row],[Shein 2025]]</f>
        <v>352161</v>
      </c>
    </row>
    <row r="205" spans="1:42" hidden="1" x14ac:dyDescent="0.3">
      <c r="A205" s="7">
        <v>45859</v>
      </c>
      <c r="B205" s="3">
        <f>+'BD MD'!B204</f>
        <v>33737301</v>
      </c>
      <c r="C205" s="3">
        <f t="shared" si="61"/>
        <v>5029885.7931034481</v>
      </c>
      <c r="D205" s="4">
        <f t="shared" si="57"/>
        <v>4.3539904727570439E-2</v>
      </c>
      <c r="E205" s="3"/>
      <c r="F205" s="7">
        <v>46224</v>
      </c>
      <c r="G205" s="3">
        <f>+Tabla22[[#This Row],[Meta Digital]]+Tabla22[[#This Row],[Meta MKPlace]]</f>
        <v>6562251.569459659</v>
      </c>
      <c r="H205" s="3">
        <f>+Tabla2[[#This Row],[Meta Digital]]</f>
        <v>5190744.57054119</v>
      </c>
      <c r="I205" s="3">
        <f>+Tabla2[[#This Row],[Meta MKPlace]]</f>
        <v>1371506.9989184688</v>
      </c>
      <c r="J205" s="3">
        <v>3558327</v>
      </c>
      <c r="K205" s="3"/>
      <c r="L205" s="3">
        <v>45088.793103448261</v>
      </c>
      <c r="M205" s="3"/>
      <c r="N205" s="3">
        <v>41407</v>
      </c>
      <c r="O205" s="3"/>
      <c r="P205" s="3">
        <v>3984</v>
      </c>
      <c r="Q205" s="3"/>
      <c r="R205" s="3">
        <v>148938</v>
      </c>
      <c r="S205" s="3"/>
      <c r="T205" s="3">
        <v>1077744</v>
      </c>
      <c r="U205" s="3"/>
      <c r="V205" s="3">
        <v>70738</v>
      </c>
      <c r="W205" s="3"/>
      <c r="X205" s="3">
        <v>68483</v>
      </c>
      <c r="Y205" s="3"/>
      <c r="Z205" s="3">
        <v>15176</v>
      </c>
      <c r="AA205" s="3"/>
      <c r="AB205" s="3">
        <v>0</v>
      </c>
      <c r="AC205" s="3"/>
      <c r="AD205" s="3">
        <v>0</v>
      </c>
      <c r="AE205" s="3"/>
      <c r="AF205" s="5">
        <f t="shared" si="58"/>
        <v>0</v>
      </c>
      <c r="AG205" s="4">
        <f t="shared" si="59"/>
        <v>0</v>
      </c>
      <c r="AH205" s="5">
        <f t="shared" si="60"/>
        <v>-6562251.569459659</v>
      </c>
      <c r="AI205" s="17">
        <f t="shared" si="52"/>
        <v>-1</v>
      </c>
      <c r="AJ205" s="17">
        <f t="shared" si="53"/>
        <v>0.12625097893666129</v>
      </c>
      <c r="AK205" s="14" t="e">
        <f t="shared" si="54"/>
        <v>#DIV/0!</v>
      </c>
      <c r="AL205" s="14">
        <f t="shared" si="55"/>
        <v>-1</v>
      </c>
      <c r="AO205" s="19">
        <f>+Tabla22[[#This Row],[Web + APP 2025]]+Tabla22[[#This Row],[Afiliados 2025]]+Tabla22[[#This Row],[TMK 2025]]+Tabla22[[#This Row],[WA 2025]]+Tabla22[[#This Row],[Ent. en Tienda 2025]]</f>
        <v>3797744.7931034481</v>
      </c>
      <c r="AP205" s="19">
        <f>+Tabla22[[#This Row],[Meli Drop 2025]]+Tabla22[[#This Row],[Meli Full 2025]]+Tabla22[[#This Row],[Amazon Drop 2025]]+Tabla22[[#This Row],[Amazon Full 2025]]+Tabla22[[#This Row],[TikTok 2025]]+Tabla22[[#This Row],[Shein 2025]]</f>
        <v>1232141</v>
      </c>
    </row>
    <row r="206" spans="1:42" hidden="1" x14ac:dyDescent="0.3">
      <c r="A206" s="63">
        <v>45860</v>
      </c>
      <c r="B206" s="3">
        <f>+'BD MD'!B205</f>
        <v>35193931</v>
      </c>
      <c r="C206" s="3">
        <f t="shared" si="61"/>
        <v>4443268.2413793104</v>
      </c>
      <c r="D206" s="4">
        <f t="shared" si="57"/>
        <v>3.8462001696728344E-2</v>
      </c>
      <c r="E206" s="3"/>
      <c r="F206" s="7">
        <v>46225</v>
      </c>
      <c r="G206" s="3">
        <f>+Tabla22[[#This Row],[Meta Digital]]+Tabla22[[#This Row],[Meta MKPlace]]</f>
        <v>5796919.6896081399</v>
      </c>
      <c r="H206" s="3">
        <f>+Tabla2[[#This Row],[Meta Digital]]</f>
        <v>4585366.636161197</v>
      </c>
      <c r="I206" s="3">
        <f>+Tabla2[[#This Row],[Meta MKPlace]]</f>
        <v>1211553.0534469429</v>
      </c>
      <c r="J206" s="3">
        <v>3287363</v>
      </c>
      <c r="K206" s="3"/>
      <c r="L206" s="3">
        <v>43017.241379310326</v>
      </c>
      <c r="M206" s="3"/>
      <c r="N206" s="3">
        <v>45721</v>
      </c>
      <c r="O206" s="3"/>
      <c r="P206" s="3">
        <v>7885</v>
      </c>
      <c r="Q206" s="3"/>
      <c r="R206" s="3">
        <v>127866</v>
      </c>
      <c r="S206" s="3"/>
      <c r="T206" s="3">
        <v>797541</v>
      </c>
      <c r="U206" s="3"/>
      <c r="V206" s="3">
        <v>74451</v>
      </c>
      <c r="W206" s="3"/>
      <c r="X206" s="3">
        <v>41790</v>
      </c>
      <c r="Y206" s="3"/>
      <c r="Z206" s="3">
        <v>17634</v>
      </c>
      <c r="AA206" s="3"/>
      <c r="AB206" s="3">
        <v>0</v>
      </c>
      <c r="AC206" s="3"/>
      <c r="AD206" s="3">
        <v>0</v>
      </c>
      <c r="AE206" s="3"/>
      <c r="AF206" s="5">
        <f t="shared" si="58"/>
        <v>0</v>
      </c>
      <c r="AG206" s="4">
        <f t="shared" si="59"/>
        <v>0</v>
      </c>
      <c r="AH206" s="5">
        <f t="shared" si="60"/>
        <v>-5796919.6896081399</v>
      </c>
      <c r="AI206" s="17">
        <f t="shared" si="52"/>
        <v>-1</v>
      </c>
      <c r="AJ206" s="17">
        <f t="shared" si="53"/>
        <v>0.11379613401342702</v>
      </c>
      <c r="AK206" s="14" t="e">
        <f t="shared" si="54"/>
        <v>#DIV/0!</v>
      </c>
      <c r="AL206" s="14">
        <f t="shared" si="55"/>
        <v>-1</v>
      </c>
      <c r="AO206" s="19">
        <f>+Tabla22[[#This Row],[Web + APP 2025]]+Tabla22[[#This Row],[Afiliados 2025]]+Tabla22[[#This Row],[TMK 2025]]+Tabla22[[#This Row],[WA 2025]]+Tabla22[[#This Row],[Ent. en Tienda 2025]]</f>
        <v>3511852.2413793104</v>
      </c>
      <c r="AP206" s="19">
        <f>+Tabla22[[#This Row],[Meli Drop 2025]]+Tabla22[[#This Row],[Meli Full 2025]]+Tabla22[[#This Row],[Amazon Drop 2025]]+Tabla22[[#This Row],[Amazon Full 2025]]+Tabla22[[#This Row],[TikTok 2025]]+Tabla22[[#This Row],[Shein 2025]]</f>
        <v>931416</v>
      </c>
    </row>
    <row r="207" spans="1:42" hidden="1" x14ac:dyDescent="0.3">
      <c r="A207" s="7">
        <v>45861</v>
      </c>
      <c r="B207" s="3">
        <f>+'BD MD'!B206</f>
        <v>37862518</v>
      </c>
      <c r="C207" s="3">
        <f t="shared" si="61"/>
        <v>4308608.1724137925</v>
      </c>
      <c r="D207" s="4">
        <f t="shared" si="57"/>
        <v>3.7296351657237256E-2</v>
      </c>
      <c r="E207" s="3"/>
      <c r="F207" s="7">
        <v>46226</v>
      </c>
      <c r="G207" s="3">
        <f>+Tabla22[[#This Row],[Meta Digital]]+Tabla22[[#This Row],[Meta MKPlace]]</f>
        <v>5621235.134280039</v>
      </c>
      <c r="H207" s="3">
        <f>+Tabla2[[#This Row],[Meta Digital]]</f>
        <v>4446400.0570770651</v>
      </c>
      <c r="I207" s="3">
        <f>+Tabla2[[#This Row],[Meta MKPlace]]</f>
        <v>1174835.0772029737</v>
      </c>
      <c r="J207" s="3">
        <v>3324693</v>
      </c>
      <c r="K207" s="3"/>
      <c r="L207" s="3">
        <v>47655.172413793087</v>
      </c>
      <c r="M207" s="3"/>
      <c r="N207" s="3">
        <v>29991</v>
      </c>
      <c r="O207" s="3"/>
      <c r="P207" s="3">
        <v>3101</v>
      </c>
      <c r="Q207" s="3"/>
      <c r="R207" s="3">
        <v>106991</v>
      </c>
      <c r="S207" s="3"/>
      <c r="T207" s="3">
        <v>677329</v>
      </c>
      <c r="U207" s="3"/>
      <c r="V207" s="3">
        <v>77441</v>
      </c>
      <c r="W207" s="3"/>
      <c r="X207" s="3">
        <v>28165</v>
      </c>
      <c r="Y207" s="3"/>
      <c r="Z207" s="3">
        <v>13242</v>
      </c>
      <c r="AA207" s="3"/>
      <c r="AB207" s="3">
        <v>0</v>
      </c>
      <c r="AC207" s="3"/>
      <c r="AD207" s="3">
        <v>0</v>
      </c>
      <c r="AE207" s="3"/>
      <c r="AF207" s="5">
        <f t="shared" si="58"/>
        <v>0</v>
      </c>
      <c r="AG207" s="4">
        <f t="shared" si="59"/>
        <v>0</v>
      </c>
      <c r="AH207" s="5">
        <f t="shared" si="60"/>
        <v>-5621235.134280039</v>
      </c>
      <c r="AI207" s="17">
        <f t="shared" si="52"/>
        <v>-1</v>
      </c>
      <c r="AJ207" s="17">
        <f t="shared" si="53"/>
        <v>8.9659448512505069E-2</v>
      </c>
      <c r="AK207" s="14" t="e">
        <f t="shared" si="54"/>
        <v>#DIV/0!</v>
      </c>
      <c r="AL207" s="14">
        <f t="shared" si="55"/>
        <v>-1</v>
      </c>
      <c r="AO207" s="19">
        <f>+Tabla22[[#This Row],[Web + APP 2025]]+Tabla22[[#This Row],[Afiliados 2025]]+Tabla22[[#This Row],[TMK 2025]]+Tabla22[[#This Row],[WA 2025]]+Tabla22[[#This Row],[Ent. en Tienda 2025]]</f>
        <v>3512431.1724137929</v>
      </c>
      <c r="AP207" s="19">
        <f>+Tabla22[[#This Row],[Meli Drop 2025]]+Tabla22[[#This Row],[Meli Full 2025]]+Tabla22[[#This Row],[Amazon Drop 2025]]+Tabla22[[#This Row],[Amazon Full 2025]]+Tabla22[[#This Row],[TikTok 2025]]+Tabla22[[#This Row],[Shein 2025]]</f>
        <v>796177</v>
      </c>
    </row>
    <row r="208" spans="1:42" hidden="1" x14ac:dyDescent="0.3">
      <c r="A208" s="63">
        <v>45862</v>
      </c>
      <c r="B208" s="3">
        <f>+'BD MD'!B207</f>
        <v>40833224</v>
      </c>
      <c r="C208" s="3">
        <f t="shared" si="61"/>
        <v>3661084.3448275863</v>
      </c>
      <c r="D208" s="4">
        <f t="shared" si="57"/>
        <v>3.1691229210800961E-2</v>
      </c>
      <c r="E208" s="3"/>
      <c r="F208" s="7">
        <v>46227</v>
      </c>
      <c r="G208" s="3">
        <f>+Tabla22[[#This Row],[Meta Digital]]+Tabla22[[#This Row],[Meta MKPlace]]</f>
        <v>4776441.747585997</v>
      </c>
      <c r="H208" s="3">
        <f>+Tabla2[[#This Row],[Meta Digital]]</f>
        <v>3778168.0274457671</v>
      </c>
      <c r="I208" s="3">
        <f>+Tabla2[[#This Row],[Meta MKPlace]]</f>
        <v>998273.72014023026</v>
      </c>
      <c r="J208" s="3">
        <v>2646867</v>
      </c>
      <c r="K208" s="3"/>
      <c r="L208" s="3">
        <v>44960.344827586188</v>
      </c>
      <c r="M208" s="3"/>
      <c r="N208" s="3">
        <v>35095</v>
      </c>
      <c r="O208" s="3"/>
      <c r="P208" s="3">
        <v>7885</v>
      </c>
      <c r="Q208" s="3"/>
      <c r="R208" s="3">
        <v>163118</v>
      </c>
      <c r="S208" s="3"/>
      <c r="T208" s="3">
        <v>660447</v>
      </c>
      <c r="U208" s="3"/>
      <c r="V208" s="3">
        <v>62295</v>
      </c>
      <c r="W208" s="3"/>
      <c r="X208" s="3">
        <v>26946</v>
      </c>
      <c r="Y208" s="3"/>
      <c r="Z208" s="3">
        <v>13471</v>
      </c>
      <c r="AA208" s="3"/>
      <c r="AB208" s="3">
        <v>0</v>
      </c>
      <c r="AC208" s="3"/>
      <c r="AD208" s="3">
        <v>0</v>
      </c>
      <c r="AE208" s="3"/>
      <c r="AF208" s="5">
        <f t="shared" si="58"/>
        <v>0</v>
      </c>
      <c r="AG208" s="4">
        <f t="shared" si="59"/>
        <v>0</v>
      </c>
      <c r="AH208" s="5">
        <f t="shared" si="60"/>
        <v>-4776441.747585997</v>
      </c>
      <c r="AI208" s="17">
        <f t="shared" si="52"/>
        <v>-1</v>
      </c>
      <c r="AJ208" s="17">
        <f t="shared" si="53"/>
        <v>7.4697056623310581E-2</v>
      </c>
      <c r="AK208" s="14" t="e">
        <f t="shared" si="54"/>
        <v>#DIV/0!</v>
      </c>
      <c r="AL208" s="14">
        <f t="shared" si="55"/>
        <v>-1</v>
      </c>
      <c r="AO208" s="19">
        <f>+Tabla22[[#This Row],[Web + APP 2025]]+Tabla22[[#This Row],[Afiliados 2025]]+Tabla22[[#This Row],[TMK 2025]]+Tabla22[[#This Row],[WA 2025]]+Tabla22[[#This Row],[Ent. en Tienda 2025]]</f>
        <v>2897925.3448275863</v>
      </c>
      <c r="AP208" s="19">
        <f>+Tabla22[[#This Row],[Meli Drop 2025]]+Tabla22[[#This Row],[Meli Full 2025]]+Tabla22[[#This Row],[Amazon Drop 2025]]+Tabla22[[#This Row],[Amazon Full 2025]]+Tabla22[[#This Row],[TikTok 2025]]+Tabla22[[#This Row],[Shein 2025]]</f>
        <v>763159</v>
      </c>
    </row>
    <row r="209" spans="1:42" hidden="1" x14ac:dyDescent="0.3">
      <c r="A209" s="7">
        <v>45863</v>
      </c>
      <c r="B209" s="3">
        <f>+'BD MD'!B208</f>
        <v>41355051</v>
      </c>
      <c r="C209" s="3">
        <f t="shared" si="61"/>
        <v>3089100.5862068967</v>
      </c>
      <c r="D209" s="4">
        <f t="shared" si="57"/>
        <v>2.6739999823006733E-2</v>
      </c>
      <c r="E209" s="3"/>
      <c r="F209" s="7">
        <v>46228</v>
      </c>
      <c r="G209" s="3">
        <f>+Tabla22[[#This Row],[Meta Digital]]+Tabla22[[#This Row],[Meta MKPlace]]</f>
        <v>4030201.8781121145</v>
      </c>
      <c r="H209" s="3">
        <f>+Tabla2[[#This Row],[Meta Digital]]</f>
        <v>3187891.8836874026</v>
      </c>
      <c r="I209" s="3">
        <f>+Tabla2[[#This Row],[Meta MKPlace]]</f>
        <v>842309.99442471203</v>
      </c>
      <c r="J209" s="3">
        <v>2242610</v>
      </c>
      <c r="K209" s="3"/>
      <c r="L209" s="3">
        <v>44752.586206896522</v>
      </c>
      <c r="M209" s="3"/>
      <c r="N209" s="3">
        <v>-1659</v>
      </c>
      <c r="O209" s="3"/>
      <c r="P209" s="3">
        <v>4160</v>
      </c>
      <c r="Q209" s="3"/>
      <c r="R209" s="3">
        <v>125791</v>
      </c>
      <c r="S209" s="3"/>
      <c r="T209" s="3">
        <v>585838</v>
      </c>
      <c r="U209" s="3"/>
      <c r="V209" s="3">
        <v>65896</v>
      </c>
      <c r="W209" s="3"/>
      <c r="X209" s="3">
        <v>16520</v>
      </c>
      <c r="Y209" s="3"/>
      <c r="Z209" s="3">
        <v>5192</v>
      </c>
      <c r="AA209" s="3"/>
      <c r="AB209" s="3">
        <v>0</v>
      </c>
      <c r="AC209" s="3"/>
      <c r="AD209" s="3">
        <v>0</v>
      </c>
      <c r="AE209" s="3"/>
      <c r="AF209" s="5">
        <f t="shared" si="58"/>
        <v>0</v>
      </c>
      <c r="AG209" s="4">
        <f t="shared" si="59"/>
        <v>0</v>
      </c>
      <c r="AH209" s="5">
        <f t="shared" si="60"/>
        <v>-4030201.8781121145</v>
      </c>
      <c r="AI209" s="17">
        <f t="shared" ref="AI209:AI272" si="62">+AF209/C210-1</f>
        <v>-1</v>
      </c>
      <c r="AJ209" s="17">
        <f t="shared" ref="AJ209:AJ272" si="63">+C210/B210</f>
        <v>5.4414454656181284E-2</v>
      </c>
      <c r="AK209" s="14" t="e">
        <f t="shared" ref="AK209:AK272" si="64">+AF209/E209</f>
        <v>#DIV/0!</v>
      </c>
      <c r="AL209" s="14">
        <f t="shared" ref="AL209:AL272" si="65">+E209/B210-1</f>
        <v>-1</v>
      </c>
      <c r="AO209" s="19">
        <f>+Tabla22[[#This Row],[Web + APP 2025]]+Tabla22[[#This Row],[Afiliados 2025]]+Tabla22[[#This Row],[TMK 2025]]+Tabla22[[#This Row],[WA 2025]]+Tabla22[[#This Row],[Ent. en Tienda 2025]]</f>
        <v>2415654.5862068967</v>
      </c>
      <c r="AP209" s="19">
        <f>+Tabla22[[#This Row],[Meli Drop 2025]]+Tabla22[[#This Row],[Meli Full 2025]]+Tabla22[[#This Row],[Amazon Drop 2025]]+Tabla22[[#This Row],[Amazon Full 2025]]+Tabla22[[#This Row],[TikTok 2025]]+Tabla22[[#This Row],[Shein 2025]]</f>
        <v>673446</v>
      </c>
    </row>
    <row r="210" spans="1:42" hidden="1" x14ac:dyDescent="0.3">
      <c r="A210" s="63">
        <v>45864</v>
      </c>
      <c r="B210" s="3">
        <f>+'BD MD'!B209</f>
        <v>46933783</v>
      </c>
      <c r="C210" s="3">
        <f t="shared" si="61"/>
        <v>2553876.2068965519</v>
      </c>
      <c r="D210" s="4">
        <f t="shared" si="57"/>
        <v>2.2106968489572207E-2</v>
      </c>
      <c r="E210" s="3"/>
      <c r="F210" s="7">
        <v>46229</v>
      </c>
      <c r="G210" s="3">
        <f>+Tabla22[[#This Row],[Meta Digital]]+Tabla22[[#This Row],[Meta MKPlace]]</f>
        <v>3331920.2137534292</v>
      </c>
      <c r="H210" s="3">
        <f>+Tabla2[[#This Row],[Meta Digital]]</f>
        <v>2635550.7063319045</v>
      </c>
      <c r="I210" s="3">
        <f>+Tabla2[[#This Row],[Meta MKPlace]]</f>
        <v>696369.5074215245</v>
      </c>
      <c r="J210" s="3">
        <v>1814470</v>
      </c>
      <c r="K210" s="3"/>
      <c r="L210" s="3">
        <v>48636.206896551696</v>
      </c>
      <c r="M210" s="3"/>
      <c r="N210" s="3">
        <v>22502</v>
      </c>
      <c r="O210" s="3"/>
      <c r="P210" s="3">
        <v>8441</v>
      </c>
      <c r="Q210" s="3"/>
      <c r="R210" s="3">
        <v>137101</v>
      </c>
      <c r="S210" s="3"/>
      <c r="T210" s="3">
        <v>418048</v>
      </c>
      <c r="U210" s="3"/>
      <c r="V210" s="3">
        <v>74083</v>
      </c>
      <c r="W210" s="3"/>
      <c r="X210" s="3">
        <v>22565</v>
      </c>
      <c r="Y210" s="3"/>
      <c r="Z210" s="3">
        <v>8030</v>
      </c>
      <c r="AA210" s="3"/>
      <c r="AB210" s="3">
        <v>0</v>
      </c>
      <c r="AC210" s="3"/>
      <c r="AD210" s="3">
        <v>0</v>
      </c>
      <c r="AE210" s="3"/>
      <c r="AF210" s="5">
        <f t="shared" si="58"/>
        <v>0</v>
      </c>
      <c r="AG210" s="4">
        <f t="shared" si="59"/>
        <v>0</v>
      </c>
      <c r="AH210" s="5">
        <f t="shared" si="60"/>
        <v>-3331920.2137534292</v>
      </c>
      <c r="AI210" s="17">
        <f t="shared" si="62"/>
        <v>-1</v>
      </c>
      <c r="AJ210" s="17">
        <f t="shared" si="63"/>
        <v>6.87108068723465E-2</v>
      </c>
      <c r="AK210" s="14" t="e">
        <f t="shared" si="64"/>
        <v>#DIV/0!</v>
      </c>
      <c r="AL210" s="14">
        <f t="shared" si="65"/>
        <v>-1</v>
      </c>
      <c r="AO210" s="19">
        <f>+Tabla22[[#This Row],[Web + APP 2025]]+Tabla22[[#This Row],[Afiliados 2025]]+Tabla22[[#This Row],[TMK 2025]]+Tabla22[[#This Row],[WA 2025]]+Tabla22[[#This Row],[Ent. en Tienda 2025]]</f>
        <v>2031150.2068965517</v>
      </c>
      <c r="AP210" s="19">
        <f>+Tabla22[[#This Row],[Meli Drop 2025]]+Tabla22[[#This Row],[Meli Full 2025]]+Tabla22[[#This Row],[Amazon Drop 2025]]+Tabla22[[#This Row],[Amazon Full 2025]]+Tabla22[[#This Row],[TikTok 2025]]+Tabla22[[#This Row],[Shein 2025]]</f>
        <v>522726</v>
      </c>
    </row>
    <row r="211" spans="1:42" hidden="1" x14ac:dyDescent="0.3">
      <c r="A211" s="7">
        <v>45865</v>
      </c>
      <c r="B211" s="3">
        <f>+'BD MD'!B210</f>
        <v>47081332</v>
      </c>
      <c r="C211" s="3">
        <f t="shared" si="61"/>
        <v>3234996.3103448274</v>
      </c>
      <c r="D211" s="4">
        <f t="shared" si="57"/>
        <v>2.8002908403920262E-2</v>
      </c>
      <c r="E211" s="3"/>
      <c r="F211" s="7">
        <v>46230</v>
      </c>
      <c r="G211" s="3">
        <f>+Tabla22[[#This Row],[Meta Digital]]+Tabla22[[#This Row],[Meta MKPlace]]</f>
        <v>4220545.0556876976</v>
      </c>
      <c r="H211" s="3">
        <f>+Tabla2[[#This Row],[Meta Digital]]</f>
        <v>3338453.4409642089</v>
      </c>
      <c r="I211" s="3">
        <f>+Tabla2[[#This Row],[Meta MKPlace]]</f>
        <v>882091.61472348822</v>
      </c>
      <c r="J211" s="3">
        <v>2492742</v>
      </c>
      <c r="K211" s="3"/>
      <c r="L211" s="3">
        <v>46004.310344827565</v>
      </c>
      <c r="M211" s="3"/>
      <c r="N211" s="3">
        <v>188</v>
      </c>
      <c r="O211" s="3"/>
      <c r="P211" s="3">
        <v>5260</v>
      </c>
      <c r="Q211" s="3"/>
      <c r="R211" s="3">
        <v>96913</v>
      </c>
      <c r="S211" s="3"/>
      <c r="T211" s="3">
        <v>456920</v>
      </c>
      <c r="U211" s="3"/>
      <c r="V211" s="3">
        <v>102581</v>
      </c>
      <c r="W211" s="3"/>
      <c r="X211" s="3">
        <v>25564</v>
      </c>
      <c r="Y211" s="3"/>
      <c r="Z211" s="3">
        <v>8824</v>
      </c>
      <c r="AA211" s="3"/>
      <c r="AB211" s="3">
        <v>0</v>
      </c>
      <c r="AC211" s="3"/>
      <c r="AD211" s="3">
        <v>0</v>
      </c>
      <c r="AE211" s="3"/>
      <c r="AF211" s="5">
        <f t="shared" si="58"/>
        <v>0</v>
      </c>
      <c r="AG211" s="4">
        <f t="shared" si="59"/>
        <v>0</v>
      </c>
      <c r="AH211" s="5">
        <f t="shared" si="60"/>
        <v>-4220545.0556876976</v>
      </c>
      <c r="AI211" s="17">
        <f t="shared" si="62"/>
        <v>-1</v>
      </c>
      <c r="AJ211" s="17">
        <f t="shared" si="63"/>
        <v>0.14756652797888589</v>
      </c>
      <c r="AK211" s="14" t="e">
        <f t="shared" si="64"/>
        <v>#DIV/0!</v>
      </c>
      <c r="AL211" s="14">
        <f t="shared" si="65"/>
        <v>-1</v>
      </c>
      <c r="AO211" s="19">
        <f>+Tabla22[[#This Row],[Web + APP 2025]]+Tabla22[[#This Row],[Afiliados 2025]]+Tabla22[[#This Row],[TMK 2025]]+Tabla22[[#This Row],[WA 2025]]+Tabla22[[#This Row],[Ent. en Tienda 2025]]</f>
        <v>2641107.3103448274</v>
      </c>
      <c r="AP211" s="19">
        <f>+Tabla22[[#This Row],[Meli Drop 2025]]+Tabla22[[#This Row],[Meli Full 2025]]+Tabla22[[#This Row],[Amazon Drop 2025]]+Tabla22[[#This Row],[Amazon Full 2025]]+Tabla22[[#This Row],[TikTok 2025]]+Tabla22[[#This Row],[Shein 2025]]</f>
        <v>593889</v>
      </c>
    </row>
    <row r="212" spans="1:42" hidden="1" x14ac:dyDescent="0.3">
      <c r="A212" s="63">
        <v>45866</v>
      </c>
      <c r="B212" s="3">
        <f>+'BD MD'!B211</f>
        <v>31605607</v>
      </c>
      <c r="C212" s="3">
        <f t="shared" si="61"/>
        <v>4663929.6896551717</v>
      </c>
      <c r="D212" s="4">
        <f t="shared" si="57"/>
        <v>4.0372100420669917E-2</v>
      </c>
      <c r="E212" s="3"/>
      <c r="F212" s="7">
        <v>46231</v>
      </c>
      <c r="G212" s="3">
        <f>+Tabla22[[#This Row],[Meta Digital]]+Tabla22[[#This Row],[Meta MKPlace]]</f>
        <v>6084806.1337204389</v>
      </c>
      <c r="H212" s="3">
        <f>+Tabla2[[#This Row],[Meta Digital]]</f>
        <v>4813084.970469336</v>
      </c>
      <c r="I212" s="3">
        <f>+Tabla2[[#This Row],[Meta MKPlace]]</f>
        <v>1271721.1632511024</v>
      </c>
      <c r="J212" s="3">
        <v>3484387</v>
      </c>
      <c r="K212" s="3"/>
      <c r="L212" s="3">
        <v>44995.689655172384</v>
      </c>
      <c r="M212" s="3"/>
      <c r="N212" s="3">
        <v>50334</v>
      </c>
      <c r="O212" s="3"/>
      <c r="P212" s="3">
        <v>7472</v>
      </c>
      <c r="Q212" s="3"/>
      <c r="R212" s="3">
        <v>92406</v>
      </c>
      <c r="S212" s="3"/>
      <c r="T212" s="3">
        <v>769591</v>
      </c>
      <c r="U212" s="3"/>
      <c r="V212" s="3">
        <v>185943</v>
      </c>
      <c r="W212" s="3"/>
      <c r="X212" s="3">
        <v>24718</v>
      </c>
      <c r="Y212" s="3"/>
      <c r="Z212" s="3">
        <v>4083</v>
      </c>
      <c r="AA212" s="3"/>
      <c r="AB212" s="3">
        <v>0</v>
      </c>
      <c r="AC212" s="3"/>
      <c r="AD212" s="3">
        <v>0</v>
      </c>
      <c r="AE212" s="3"/>
      <c r="AF212" s="5">
        <f t="shared" si="58"/>
        <v>0</v>
      </c>
      <c r="AG212" s="4">
        <f t="shared" si="59"/>
        <v>0</v>
      </c>
      <c r="AH212" s="5">
        <f t="shared" si="60"/>
        <v>-6084806.1337204389</v>
      </c>
      <c r="AI212" s="17">
        <f t="shared" si="62"/>
        <v>-1</v>
      </c>
      <c r="AJ212" s="17">
        <f t="shared" si="63"/>
        <v>0.14039380085167399</v>
      </c>
      <c r="AK212" s="14" t="e">
        <f t="shared" si="64"/>
        <v>#DIV/0!</v>
      </c>
      <c r="AL212" s="14">
        <f t="shared" si="65"/>
        <v>-1</v>
      </c>
      <c r="AO212" s="19">
        <f>+Tabla22[[#This Row],[Web + APP 2025]]+Tabla22[[#This Row],[Afiliados 2025]]+Tabla22[[#This Row],[TMK 2025]]+Tabla22[[#This Row],[WA 2025]]+Tabla22[[#This Row],[Ent. en Tienda 2025]]</f>
        <v>3679594.6896551722</v>
      </c>
      <c r="AP212" s="19">
        <f>+Tabla22[[#This Row],[Meli Drop 2025]]+Tabla22[[#This Row],[Meli Full 2025]]+Tabla22[[#This Row],[Amazon Drop 2025]]+Tabla22[[#This Row],[Amazon Full 2025]]+Tabla22[[#This Row],[TikTok 2025]]+Tabla22[[#This Row],[Shein 2025]]</f>
        <v>984335</v>
      </c>
    </row>
    <row r="213" spans="1:42" hidden="1" x14ac:dyDescent="0.3">
      <c r="A213" s="7">
        <v>45867</v>
      </c>
      <c r="B213" s="3">
        <f>+'BD MD'!B212</f>
        <v>34983760</v>
      </c>
      <c r="C213" s="3">
        <f t="shared" si="61"/>
        <v>4911503.0344827585</v>
      </c>
      <c r="D213" s="4">
        <f t="shared" si="57"/>
        <v>4.2515155012815678E-2</v>
      </c>
      <c r="E213" s="3"/>
      <c r="F213" s="7">
        <v>46232</v>
      </c>
      <c r="G213" s="3">
        <f>+Tabla22[[#This Row],[Meta Digital]]+Tabla22[[#This Row],[Meta MKPlace]]</f>
        <v>6407803.2428951189</v>
      </c>
      <c r="H213" s="3">
        <f>+Tabla2[[#This Row],[Meta Digital]]</f>
        <v>5068575.8599914247</v>
      </c>
      <c r="I213" s="3">
        <f>+Tabla2[[#This Row],[Meta MKPlace]]</f>
        <v>1339227.3829036939</v>
      </c>
      <c r="J213" s="3">
        <v>3757033</v>
      </c>
      <c r="K213" s="3"/>
      <c r="L213" s="3">
        <v>48606.034482758601</v>
      </c>
      <c r="M213" s="3"/>
      <c r="N213" s="3">
        <v>41706</v>
      </c>
      <c r="O213" s="3"/>
      <c r="P213" s="3">
        <v>2828</v>
      </c>
      <c r="Q213" s="3"/>
      <c r="R213" s="3">
        <v>125933</v>
      </c>
      <c r="S213" s="3"/>
      <c r="T213" s="3">
        <v>723558</v>
      </c>
      <c r="U213" s="3"/>
      <c r="V213" s="3">
        <v>178272</v>
      </c>
      <c r="W213" s="3"/>
      <c r="X213" s="3">
        <v>20718</v>
      </c>
      <c r="Y213" s="3"/>
      <c r="Z213" s="3">
        <v>12849</v>
      </c>
      <c r="AA213" s="3"/>
      <c r="AB213" s="3">
        <v>0</v>
      </c>
      <c r="AC213" s="3"/>
      <c r="AD213" s="3">
        <v>0</v>
      </c>
      <c r="AE213" s="3"/>
      <c r="AF213" s="5">
        <f t="shared" si="58"/>
        <v>0</v>
      </c>
      <c r="AG213" s="4">
        <f t="shared" si="59"/>
        <v>0</v>
      </c>
      <c r="AH213" s="5">
        <f t="shared" si="60"/>
        <v>-6407803.2428951189</v>
      </c>
      <c r="AI213" s="17">
        <f t="shared" si="62"/>
        <v>-1</v>
      </c>
      <c r="AJ213" s="17">
        <f t="shared" si="63"/>
        <v>0.11902965545548119</v>
      </c>
      <c r="AK213" s="14" t="e">
        <f t="shared" si="64"/>
        <v>#DIV/0!</v>
      </c>
      <c r="AL213" s="14">
        <f t="shared" si="65"/>
        <v>-1</v>
      </c>
      <c r="AO213" s="19">
        <f>+Tabla22[[#This Row],[Web + APP 2025]]+Tabla22[[#This Row],[Afiliados 2025]]+Tabla22[[#This Row],[TMK 2025]]+Tabla22[[#This Row],[WA 2025]]+Tabla22[[#This Row],[Ent. en Tienda 2025]]</f>
        <v>3976106.0344827585</v>
      </c>
      <c r="AP213" s="19">
        <f>+Tabla22[[#This Row],[Meli Drop 2025]]+Tabla22[[#This Row],[Meli Full 2025]]+Tabla22[[#This Row],[Amazon Drop 2025]]+Tabla22[[#This Row],[Amazon Full 2025]]+Tabla22[[#This Row],[TikTok 2025]]+Tabla22[[#This Row],[Shein 2025]]</f>
        <v>935397</v>
      </c>
    </row>
    <row r="214" spans="1:42" hidden="1" x14ac:dyDescent="0.3">
      <c r="A214" s="63">
        <v>45868</v>
      </c>
      <c r="B214" s="3">
        <f>+'BD MD'!B213</f>
        <v>38292331</v>
      </c>
      <c r="C214" s="3">
        <f t="shared" si="61"/>
        <v>4557922.9655172415</v>
      </c>
      <c r="D214" s="4">
        <f t="shared" si="57"/>
        <v>3.9454480645728755E-2</v>
      </c>
      <c r="E214" s="3"/>
      <c r="F214" s="7">
        <v>46233</v>
      </c>
      <c r="G214" s="3">
        <f>+Tabla22[[#This Row],[Meta Digital]]+Tabla22[[#This Row],[Meta MKPlace]]</f>
        <v>5946504.2277803039</v>
      </c>
      <c r="H214" s="3">
        <f>+Tabla2[[#This Row],[Meta Digital]]</f>
        <v>4703688.0874398481</v>
      </c>
      <c r="I214" s="3">
        <f>+Tabla2[[#This Row],[Meta MKPlace]]</f>
        <v>1242816.1403404558</v>
      </c>
      <c r="J214" s="3">
        <v>3422418</v>
      </c>
      <c r="K214" s="3"/>
      <c r="L214" s="3">
        <v>44943.965517241355</v>
      </c>
      <c r="M214" s="3"/>
      <c r="N214" s="3">
        <v>35371</v>
      </c>
      <c r="O214" s="3"/>
      <c r="P214" s="3">
        <v>6861</v>
      </c>
      <c r="Q214" s="3"/>
      <c r="R214" s="3">
        <v>146730</v>
      </c>
      <c r="S214" s="3"/>
      <c r="T214" s="3">
        <v>716501</v>
      </c>
      <c r="U214" s="3"/>
      <c r="V214" s="3">
        <v>157888</v>
      </c>
      <c r="W214" s="3"/>
      <c r="X214" s="3">
        <v>21031</v>
      </c>
      <c r="Y214" s="3"/>
      <c r="Z214" s="3">
        <v>6179</v>
      </c>
      <c r="AA214" s="3"/>
      <c r="AB214" s="3">
        <v>0</v>
      </c>
      <c r="AC214" s="3"/>
      <c r="AD214" s="3">
        <v>0</v>
      </c>
      <c r="AE214" s="3"/>
      <c r="AF214" s="5">
        <f t="shared" si="58"/>
        <v>0</v>
      </c>
      <c r="AG214" s="4">
        <f t="shared" si="59"/>
        <v>0</v>
      </c>
      <c r="AH214" s="5">
        <f t="shared" si="60"/>
        <v>-5946504.2277803039</v>
      </c>
      <c r="AI214" s="17">
        <f t="shared" si="62"/>
        <v>-1</v>
      </c>
      <c r="AJ214" s="17">
        <f t="shared" si="63"/>
        <v>0.10427042440616778</v>
      </c>
      <c r="AK214" s="14" t="e">
        <f t="shared" si="64"/>
        <v>#DIV/0!</v>
      </c>
      <c r="AL214" s="14">
        <f t="shared" si="65"/>
        <v>-1</v>
      </c>
      <c r="AO214" s="19">
        <f>+Tabla22[[#This Row],[Web + APP 2025]]+Tabla22[[#This Row],[Afiliados 2025]]+Tabla22[[#This Row],[TMK 2025]]+Tabla22[[#This Row],[WA 2025]]+Tabla22[[#This Row],[Ent. en Tienda 2025]]</f>
        <v>3656323.9655172415</v>
      </c>
      <c r="AP214" s="19">
        <f>+Tabla22[[#This Row],[Meli Drop 2025]]+Tabla22[[#This Row],[Meli Full 2025]]+Tabla22[[#This Row],[Amazon Drop 2025]]+Tabla22[[#This Row],[Amazon Full 2025]]+Tabla22[[#This Row],[TikTok 2025]]+Tabla22[[#This Row],[Shein 2025]]</f>
        <v>901599</v>
      </c>
    </row>
    <row r="215" spans="1:42" hidden="1" x14ac:dyDescent="0.3">
      <c r="A215" s="7">
        <v>45869</v>
      </c>
      <c r="B215" s="3">
        <f>+'BD MD'!B214</f>
        <v>42257151</v>
      </c>
      <c r="C215" s="3">
        <f t="shared" si="61"/>
        <v>4406171.068965517</v>
      </c>
      <c r="D215" s="4">
        <f t="shared" si="57"/>
        <v>3.814087962378318E-2</v>
      </c>
      <c r="E215" s="3"/>
      <c r="F215" s="7">
        <v>46234</v>
      </c>
      <c r="G215" s="3">
        <f>+Tabla22[[#This Row],[Meta Digital]]+Tabla22[[#This Row],[Meta MKPlace]]</f>
        <v>5748520.7819771329</v>
      </c>
      <c r="H215" s="3">
        <f>+Tabla2[[#This Row],[Meta Digital]]</f>
        <v>4547083.0738279624</v>
      </c>
      <c r="I215" s="3">
        <f>+Tabla2[[#This Row],[Meta MKPlace]]</f>
        <v>1201437.7081491703</v>
      </c>
      <c r="J215" s="3">
        <v>3229434</v>
      </c>
      <c r="K215" s="3"/>
      <c r="L215" s="3">
        <v>53487.068965517217</v>
      </c>
      <c r="M215" s="3"/>
      <c r="N215" s="3">
        <v>38487</v>
      </c>
      <c r="O215" s="3"/>
      <c r="P215" s="3">
        <v>4745</v>
      </c>
      <c r="Q215" s="3"/>
      <c r="R215" s="3">
        <v>157866</v>
      </c>
      <c r="S215" s="3"/>
      <c r="T215" s="3">
        <v>760045</v>
      </c>
      <c r="U215" s="3"/>
      <c r="V215" s="3">
        <v>130193</v>
      </c>
      <c r="W215" s="3"/>
      <c r="X215" s="3">
        <v>26548</v>
      </c>
      <c r="Y215" s="3"/>
      <c r="Z215" s="3">
        <v>5366</v>
      </c>
      <c r="AA215" s="3"/>
      <c r="AB215" s="3">
        <v>0</v>
      </c>
      <c r="AC215" s="3"/>
      <c r="AD215" s="3">
        <v>0</v>
      </c>
      <c r="AE215" s="3"/>
      <c r="AF215" s="5">
        <f t="shared" si="58"/>
        <v>0</v>
      </c>
      <c r="AG215" s="4">
        <f t="shared" si="59"/>
        <v>0</v>
      </c>
      <c r="AH215" s="5">
        <f t="shared" si="60"/>
        <v>-5748520.7819771329</v>
      </c>
      <c r="AI215" s="17">
        <f t="shared" si="62"/>
        <v>-1</v>
      </c>
      <c r="AJ215" s="17">
        <f t="shared" si="63"/>
        <v>8.8205863895906289E-2</v>
      </c>
      <c r="AK215" s="14" t="e">
        <f t="shared" si="64"/>
        <v>#DIV/0!</v>
      </c>
      <c r="AL215" s="14">
        <f t="shared" si="65"/>
        <v>-1</v>
      </c>
      <c r="AO215" s="19">
        <f>+Tabla22[[#This Row],[Web + APP 2025]]+Tabla22[[#This Row],[Afiliados 2025]]+Tabla22[[#This Row],[TMK 2025]]+Tabla22[[#This Row],[WA 2025]]+Tabla22[[#This Row],[Ent. en Tienda 2025]]</f>
        <v>3484019.068965517</v>
      </c>
      <c r="AP215" s="19">
        <f>+Tabla22[[#This Row],[Meli Drop 2025]]+Tabla22[[#This Row],[Meli Full 2025]]+Tabla22[[#This Row],[Amazon Drop 2025]]+Tabla22[[#This Row],[Amazon Full 2025]]+Tabla22[[#This Row],[TikTok 2025]]+Tabla22[[#This Row],[Shein 2025]]</f>
        <v>922152</v>
      </c>
    </row>
    <row r="216" spans="1:42" hidden="1" x14ac:dyDescent="0.3">
      <c r="A216" s="63">
        <v>45870</v>
      </c>
      <c r="B216" s="3">
        <f>+'BD MD'!B215</f>
        <v>42166401</v>
      </c>
      <c r="C216" s="3">
        <f t="shared" si="61"/>
        <v>3719323.8275862071</v>
      </c>
      <c r="D216" s="4">
        <f>+C216/(SUM($C$216:$C$246))</f>
        <v>2.5616827201012268E-2</v>
      </c>
      <c r="E216" s="3"/>
      <c r="F216" s="7">
        <v>46235</v>
      </c>
      <c r="G216" s="3">
        <f>+Tabla22[[#This Row],[Meta Digital]]+Tabla22[[#This Row],[Meta MKPlace]]</f>
        <v>4919675.6128390655</v>
      </c>
      <c r="H216" s="3">
        <f>+Tabla2[[#This Row],[Meta Digital]]</f>
        <v>3856577.2839970561</v>
      </c>
      <c r="I216" s="3">
        <f>+Tabla2[[#This Row],[Meta MKPlace]]</f>
        <v>1063098.3288420092</v>
      </c>
      <c r="J216" s="3">
        <v>2745483</v>
      </c>
      <c r="K216" s="3"/>
      <c r="L216" s="3">
        <v>43694.827586206884</v>
      </c>
      <c r="M216" s="3"/>
      <c r="N216" s="3">
        <v>12201</v>
      </c>
      <c r="O216" s="3"/>
      <c r="P216" s="3">
        <v>2825</v>
      </c>
      <c r="Q216" s="3"/>
      <c r="R216" s="3">
        <v>168709</v>
      </c>
      <c r="S216" s="3"/>
      <c r="T216" s="3">
        <v>619607</v>
      </c>
      <c r="U216" s="3"/>
      <c r="V216" s="3">
        <v>90655</v>
      </c>
      <c r="W216" s="3"/>
      <c r="X216" s="3">
        <v>24972</v>
      </c>
      <c r="Y216" s="3"/>
      <c r="Z216" s="3">
        <v>11177</v>
      </c>
      <c r="AA216" s="3"/>
      <c r="AB216" s="3">
        <v>0</v>
      </c>
      <c r="AC216" s="3"/>
      <c r="AD216" s="3">
        <v>0</v>
      </c>
      <c r="AE216" s="3"/>
      <c r="AF216" s="5">
        <f t="shared" si="58"/>
        <v>0</v>
      </c>
      <c r="AG216" s="4">
        <f t="shared" si="59"/>
        <v>0</v>
      </c>
      <c r="AH216" s="5">
        <f t="shared" si="60"/>
        <v>-4919675.6128390655</v>
      </c>
      <c r="AI216" s="17">
        <f t="shared" si="62"/>
        <v>-1</v>
      </c>
      <c r="AJ216" s="17">
        <f t="shared" si="63"/>
        <v>5.7847091245027286E-2</v>
      </c>
      <c r="AK216" s="14" t="e">
        <f t="shared" si="64"/>
        <v>#DIV/0!</v>
      </c>
      <c r="AL216" s="14">
        <f t="shared" si="65"/>
        <v>-1</v>
      </c>
      <c r="AO216" s="19">
        <f>+Tabla22[[#This Row],[Web + APP 2025]]+Tabla22[[#This Row],[Afiliados 2025]]+Tabla22[[#This Row],[TMK 2025]]+Tabla22[[#This Row],[WA 2025]]+Tabla22[[#This Row],[Ent. en Tienda 2025]]</f>
        <v>2972912.8275862071</v>
      </c>
      <c r="AP216" s="19">
        <f>+Tabla22[[#This Row],[Meli Drop 2025]]+Tabla22[[#This Row],[Meli Full 2025]]+Tabla22[[#This Row],[Amazon Drop 2025]]+Tabla22[[#This Row],[Amazon Full 2025]]+Tabla22[[#This Row],[TikTok 2025]]+Tabla22[[#This Row],[Shein 2025]]</f>
        <v>746411</v>
      </c>
    </row>
    <row r="217" spans="1:42" hidden="1" x14ac:dyDescent="0.3">
      <c r="A217" s="7">
        <v>45871</v>
      </c>
      <c r="B217" s="3">
        <f>+'BD MD'!B216</f>
        <v>52987530</v>
      </c>
      <c r="C217" s="3">
        <f t="shared" si="61"/>
        <v>3065174.4827586208</v>
      </c>
      <c r="D217" s="4">
        <f t="shared" ref="D217:D246" si="66">+C217/(SUM($C$216:$C$246))</f>
        <v>2.1111376343032284E-2</v>
      </c>
      <c r="E217" s="3"/>
      <c r="F217" s="7">
        <v>46236</v>
      </c>
      <c r="G217" s="3">
        <f>+Tabla22[[#This Row],[Meta Digital]]+Tabla22[[#This Row],[Meta MKPlace]]</f>
        <v>4054410.1161825126</v>
      </c>
      <c r="H217" s="3">
        <f>+Tabla2[[#This Row],[Meta Digital]]</f>
        <v>3178287.9979466726</v>
      </c>
      <c r="I217" s="3">
        <f>+Tabla2[[#This Row],[Meta MKPlace]]</f>
        <v>876122.11823583976</v>
      </c>
      <c r="J217" s="3">
        <v>2144459</v>
      </c>
      <c r="K217" s="3"/>
      <c r="L217" s="3">
        <v>42634.482758620674</v>
      </c>
      <c r="M217" s="3"/>
      <c r="N217" s="3">
        <v>10464</v>
      </c>
      <c r="O217" s="3"/>
      <c r="P217" s="3">
        <v>4246</v>
      </c>
      <c r="Q217" s="3"/>
      <c r="R217" s="3">
        <v>87668</v>
      </c>
      <c r="S217" s="3"/>
      <c r="T217" s="3">
        <v>684341</v>
      </c>
      <c r="U217" s="3"/>
      <c r="V217" s="3">
        <v>63880</v>
      </c>
      <c r="W217" s="3"/>
      <c r="X217" s="3">
        <v>21198</v>
      </c>
      <c r="Y217" s="3"/>
      <c r="Z217" s="3">
        <v>6284</v>
      </c>
      <c r="AA217" s="3"/>
      <c r="AB217" s="3">
        <v>0</v>
      </c>
      <c r="AC217" s="3"/>
      <c r="AD217" s="3">
        <v>0</v>
      </c>
      <c r="AE217" s="3"/>
      <c r="AF217" s="5">
        <f t="shared" si="58"/>
        <v>0</v>
      </c>
      <c r="AG217" s="4">
        <f t="shared" si="59"/>
        <v>0</v>
      </c>
      <c r="AH217" s="5">
        <f t="shared" si="60"/>
        <v>-4054410.1161825126</v>
      </c>
      <c r="AI217" s="17">
        <f t="shared" si="62"/>
        <v>-1</v>
      </c>
      <c r="AJ217" s="17">
        <f t="shared" si="63"/>
        <v>6.6016287665956533E-2</v>
      </c>
      <c r="AK217" s="14" t="e">
        <f t="shared" si="64"/>
        <v>#DIV/0!</v>
      </c>
      <c r="AL217" s="14">
        <f t="shared" si="65"/>
        <v>-1</v>
      </c>
      <c r="AO217" s="19">
        <f>+Tabla22[[#This Row],[Web + APP 2025]]+Tabla22[[#This Row],[Afiliados 2025]]+Tabla22[[#This Row],[TMK 2025]]+Tabla22[[#This Row],[WA 2025]]+Tabla22[[#This Row],[Ent. en Tienda 2025]]</f>
        <v>2289471.4827586208</v>
      </c>
      <c r="AP217" s="19">
        <f>+Tabla22[[#This Row],[Meli Drop 2025]]+Tabla22[[#This Row],[Meli Full 2025]]+Tabla22[[#This Row],[Amazon Drop 2025]]+Tabla22[[#This Row],[Amazon Full 2025]]+Tabla22[[#This Row],[TikTok 2025]]+Tabla22[[#This Row],[Shein 2025]]</f>
        <v>775703</v>
      </c>
    </row>
    <row r="218" spans="1:42" hidden="1" x14ac:dyDescent="0.3">
      <c r="A218" s="63">
        <v>45872</v>
      </c>
      <c r="B218" s="3">
        <f>+'BD MD'!B217</f>
        <v>54307415</v>
      </c>
      <c r="C218" s="3">
        <f t="shared" si="61"/>
        <v>3585173.9310344825</v>
      </c>
      <c r="D218" s="4">
        <f t="shared" si="66"/>
        <v>2.4692870353396384E-2</v>
      </c>
      <c r="E218" s="3"/>
      <c r="F218" s="7">
        <v>46237</v>
      </c>
      <c r="G218" s="3">
        <f>+Tabla22[[#This Row],[Meta Digital]]+Tabla22[[#This Row],[Meta MKPlace]]</f>
        <v>4742231.0005589034</v>
      </c>
      <c r="H218" s="3">
        <f>+Tabla2[[#This Row],[Meta Digital]]</f>
        <v>3717476.8808929534</v>
      </c>
      <c r="I218" s="3">
        <f>+Tabla2[[#This Row],[Meta MKPlace]]</f>
        <v>1024754.11966595</v>
      </c>
      <c r="J218" s="3">
        <v>2587395</v>
      </c>
      <c r="K218" s="3"/>
      <c r="L218" s="3">
        <v>45812.931034482739</v>
      </c>
      <c r="M218" s="3"/>
      <c r="N218" s="3">
        <v>9328</v>
      </c>
      <c r="O218" s="3"/>
      <c r="P218" s="3">
        <v>2300</v>
      </c>
      <c r="Q218" s="3"/>
      <c r="R218" s="3">
        <v>132317</v>
      </c>
      <c r="S218" s="3"/>
      <c r="T218" s="3">
        <v>692254</v>
      </c>
      <c r="U218" s="3"/>
      <c r="V218" s="3">
        <v>69290</v>
      </c>
      <c r="W218" s="3"/>
      <c r="X218" s="3">
        <v>36198</v>
      </c>
      <c r="Y218" s="3"/>
      <c r="Z218" s="3">
        <v>10279</v>
      </c>
      <c r="AA218" s="3"/>
      <c r="AB218" s="3">
        <v>0</v>
      </c>
      <c r="AC218" s="3"/>
      <c r="AD218" s="3">
        <v>0</v>
      </c>
      <c r="AE218" s="3"/>
      <c r="AF218" s="5">
        <f t="shared" si="58"/>
        <v>0</v>
      </c>
      <c r="AG218" s="4">
        <f t="shared" si="59"/>
        <v>0</v>
      </c>
      <c r="AH218" s="5">
        <f t="shared" si="60"/>
        <v>-4742231.0005589034</v>
      </c>
      <c r="AI218" s="17">
        <f t="shared" si="62"/>
        <v>-1</v>
      </c>
      <c r="AJ218" s="17">
        <f t="shared" si="63"/>
        <v>0.14289962755166058</v>
      </c>
      <c r="AK218" s="14" t="e">
        <f t="shared" si="64"/>
        <v>#DIV/0!</v>
      </c>
      <c r="AL218" s="14">
        <f t="shared" si="65"/>
        <v>-1</v>
      </c>
      <c r="AO218" s="19">
        <f>+Tabla22[[#This Row],[Web + APP 2025]]+Tabla22[[#This Row],[Afiliados 2025]]+Tabla22[[#This Row],[TMK 2025]]+Tabla22[[#This Row],[WA 2025]]+Tabla22[[#This Row],[Ent. en Tienda 2025]]</f>
        <v>2777152.9310344825</v>
      </c>
      <c r="AP218" s="19">
        <f>+Tabla22[[#This Row],[Meli Drop 2025]]+Tabla22[[#This Row],[Meli Full 2025]]+Tabla22[[#This Row],[Amazon Drop 2025]]+Tabla22[[#This Row],[Amazon Full 2025]]+Tabla22[[#This Row],[TikTok 2025]]+Tabla22[[#This Row],[Shein 2025]]</f>
        <v>808021</v>
      </c>
    </row>
    <row r="219" spans="1:42" hidden="1" x14ac:dyDescent="0.3">
      <c r="A219" s="7">
        <v>45873</v>
      </c>
      <c r="B219" s="3">
        <f>+'BD MD'!B218</f>
        <v>34014104</v>
      </c>
      <c r="C219" s="3">
        <f t="shared" si="61"/>
        <v>4860602.7931034481</v>
      </c>
      <c r="D219" s="4">
        <f t="shared" si="66"/>
        <v>3.3477381270266018E-2</v>
      </c>
      <c r="E219" s="3"/>
      <c r="F219" s="7">
        <v>46238</v>
      </c>
      <c r="G219" s="3">
        <f>+Tabla22[[#This Row],[Meta Digital]]+Tabla22[[#This Row],[Meta MKPlace]]</f>
        <v>6429283.9595113816</v>
      </c>
      <c r="H219" s="3">
        <f>+Tabla2[[#This Row],[Meta Digital]]</f>
        <v>5039972.636795342</v>
      </c>
      <c r="I219" s="3">
        <f>+Tabla2[[#This Row],[Meta MKPlace]]</f>
        <v>1389311.3227160398</v>
      </c>
      <c r="J219" s="3">
        <v>3838217</v>
      </c>
      <c r="K219" s="3"/>
      <c r="L219" s="3">
        <v>45938.793103448254</v>
      </c>
      <c r="M219" s="3"/>
      <c r="N219" s="3">
        <v>56057</v>
      </c>
      <c r="O219" s="3"/>
      <c r="P219" s="3">
        <v>1839</v>
      </c>
      <c r="Q219" s="3"/>
      <c r="R219" s="3">
        <v>73598</v>
      </c>
      <c r="S219" s="3"/>
      <c r="T219" s="3">
        <v>691486</v>
      </c>
      <c r="U219" s="3"/>
      <c r="V219" s="3">
        <v>97155</v>
      </c>
      <c r="W219" s="3"/>
      <c r="X219" s="3">
        <v>44478</v>
      </c>
      <c r="Y219" s="3"/>
      <c r="Z219" s="3">
        <v>11834</v>
      </c>
      <c r="AA219" s="3"/>
      <c r="AB219" s="3">
        <v>0</v>
      </c>
      <c r="AC219" s="3"/>
      <c r="AD219" s="3">
        <v>0</v>
      </c>
      <c r="AE219" s="3"/>
      <c r="AF219" s="5">
        <f t="shared" si="58"/>
        <v>0</v>
      </c>
      <c r="AG219" s="4">
        <f t="shared" si="59"/>
        <v>0</v>
      </c>
      <c r="AH219" s="5">
        <f t="shared" si="60"/>
        <v>-6429283.9595113816</v>
      </c>
      <c r="AI219" s="17">
        <f t="shared" si="62"/>
        <v>-1</v>
      </c>
      <c r="AJ219" s="17">
        <f t="shared" si="63"/>
        <v>0.13301143125805226</v>
      </c>
      <c r="AK219" s="14" t="e">
        <f t="shared" si="64"/>
        <v>#DIV/0!</v>
      </c>
      <c r="AL219" s="14">
        <f t="shared" si="65"/>
        <v>-1</v>
      </c>
      <c r="AO219" s="19">
        <f>+Tabla22[[#This Row],[Web + APP 2025]]+Tabla22[[#This Row],[Afiliados 2025]]+Tabla22[[#This Row],[TMK 2025]]+Tabla22[[#This Row],[WA 2025]]+Tabla22[[#This Row],[Ent. en Tienda 2025]]</f>
        <v>4015649.7931034481</v>
      </c>
      <c r="AP219" s="19">
        <f>+Tabla22[[#This Row],[Meli Drop 2025]]+Tabla22[[#This Row],[Meli Full 2025]]+Tabla22[[#This Row],[Amazon Drop 2025]]+Tabla22[[#This Row],[Amazon Full 2025]]+Tabla22[[#This Row],[TikTok 2025]]+Tabla22[[#This Row],[Shein 2025]]</f>
        <v>844953</v>
      </c>
    </row>
    <row r="220" spans="1:42" hidden="1" x14ac:dyDescent="0.3">
      <c r="A220" s="63">
        <v>45874</v>
      </c>
      <c r="B220" s="3">
        <f>+'BD MD'!B219</f>
        <v>36175205</v>
      </c>
      <c r="C220" s="3">
        <f t="shared" si="61"/>
        <v>4811715.7931034481</v>
      </c>
      <c r="D220" s="4">
        <f t="shared" si="66"/>
        <v>3.3140672263621489E-2</v>
      </c>
      <c r="E220" s="3"/>
      <c r="F220" s="7">
        <v>46239</v>
      </c>
      <c r="G220" s="3">
        <f>+Tabla22[[#This Row],[Meta Digital]]+Tabla22[[#This Row],[Meta MKPlace]]</f>
        <v>6364619.4686431717</v>
      </c>
      <c r="H220" s="3">
        <f>+Tabla2[[#This Row],[Meta Digital]]</f>
        <v>4989281.5697028805</v>
      </c>
      <c r="I220" s="3">
        <f>+Tabla2[[#This Row],[Meta MKPlace]]</f>
        <v>1375337.8989402917</v>
      </c>
      <c r="J220" s="3">
        <v>3763555</v>
      </c>
      <c r="K220" s="3"/>
      <c r="L220" s="3">
        <v>44913.793103448246</v>
      </c>
      <c r="M220" s="3"/>
      <c r="N220" s="3">
        <v>51008</v>
      </c>
      <c r="O220" s="3"/>
      <c r="P220" s="3">
        <v>6626</v>
      </c>
      <c r="Q220" s="3"/>
      <c r="R220" s="3">
        <v>103650</v>
      </c>
      <c r="S220" s="3"/>
      <c r="T220" s="3">
        <v>708997</v>
      </c>
      <c r="U220" s="3"/>
      <c r="V220" s="3">
        <v>83531</v>
      </c>
      <c r="W220" s="3"/>
      <c r="X220" s="3">
        <v>38553</v>
      </c>
      <c r="Y220" s="3"/>
      <c r="Z220" s="3">
        <v>10882</v>
      </c>
      <c r="AA220" s="3"/>
      <c r="AB220" s="3">
        <v>0</v>
      </c>
      <c r="AC220" s="3"/>
      <c r="AD220" s="3">
        <v>0</v>
      </c>
      <c r="AE220" s="3"/>
      <c r="AF220" s="5">
        <f t="shared" si="58"/>
        <v>0</v>
      </c>
      <c r="AG220" s="4">
        <f t="shared" si="59"/>
        <v>0</v>
      </c>
      <c r="AH220" s="5">
        <f t="shared" si="60"/>
        <v>-6364619.4686431717</v>
      </c>
      <c r="AI220" s="17">
        <f t="shared" si="62"/>
        <v>-1</v>
      </c>
      <c r="AJ220" s="17">
        <f t="shared" si="63"/>
        <v>0.12829368470147623</v>
      </c>
      <c r="AK220" s="14" t="e">
        <f t="shared" si="64"/>
        <v>#DIV/0!</v>
      </c>
      <c r="AL220" s="14">
        <f t="shared" si="65"/>
        <v>-1</v>
      </c>
      <c r="AO220" s="19">
        <f>+Tabla22[[#This Row],[Web + APP 2025]]+Tabla22[[#This Row],[Afiliados 2025]]+Tabla22[[#This Row],[TMK 2025]]+Tabla22[[#This Row],[WA 2025]]+Tabla22[[#This Row],[Ent. en Tienda 2025]]</f>
        <v>3969752.7931034481</v>
      </c>
      <c r="AP220" s="19">
        <f>+Tabla22[[#This Row],[Meli Drop 2025]]+Tabla22[[#This Row],[Meli Full 2025]]+Tabla22[[#This Row],[Amazon Drop 2025]]+Tabla22[[#This Row],[Amazon Full 2025]]+Tabla22[[#This Row],[TikTok 2025]]+Tabla22[[#This Row],[Shein 2025]]</f>
        <v>841963</v>
      </c>
    </row>
    <row r="221" spans="1:42" hidden="1" x14ac:dyDescent="0.3">
      <c r="A221" s="7">
        <v>45875</v>
      </c>
      <c r="B221" s="3">
        <f>+'BD MD'!B220</f>
        <v>37816388</v>
      </c>
      <c r="C221" s="3">
        <f t="shared" si="61"/>
        <v>4851603.7586206896</v>
      </c>
      <c r="D221" s="4">
        <f t="shared" si="66"/>
        <v>3.3415400458159536E-2</v>
      </c>
      <c r="E221" s="3"/>
      <c r="F221" s="7">
        <v>46240</v>
      </c>
      <c r="G221" s="3">
        <f>+Tabla22[[#This Row],[Meta Digital]]+Tabla22[[#This Row],[Meta MKPlace]]</f>
        <v>6417380.6317732697</v>
      </c>
      <c r="H221" s="3">
        <f>+Tabla2[[#This Row],[Meta Digital]]</f>
        <v>5030641.5127596492</v>
      </c>
      <c r="I221" s="3">
        <f>+Tabla2[[#This Row],[Meta MKPlace]]</f>
        <v>1386739.1190136208</v>
      </c>
      <c r="J221" s="3">
        <v>3783964</v>
      </c>
      <c r="K221" s="3"/>
      <c r="L221" s="3">
        <v>41382.758620689638</v>
      </c>
      <c r="M221" s="3"/>
      <c r="N221" s="3">
        <v>54972</v>
      </c>
      <c r="O221" s="3"/>
      <c r="P221" s="3">
        <v>5869</v>
      </c>
      <c r="Q221" s="3"/>
      <c r="R221" s="3">
        <v>93840</v>
      </c>
      <c r="S221" s="3"/>
      <c r="T221" s="3">
        <v>761176</v>
      </c>
      <c r="U221" s="3"/>
      <c r="V221" s="3">
        <v>70344</v>
      </c>
      <c r="W221" s="3"/>
      <c r="X221" s="3">
        <v>37254</v>
      </c>
      <c r="Y221" s="3"/>
      <c r="Z221" s="3">
        <v>2802</v>
      </c>
      <c r="AA221" s="3"/>
      <c r="AB221" s="3">
        <v>0</v>
      </c>
      <c r="AC221" s="3"/>
      <c r="AD221" s="3">
        <v>0</v>
      </c>
      <c r="AE221" s="3"/>
      <c r="AF221" s="5">
        <f t="shared" si="58"/>
        <v>0</v>
      </c>
      <c r="AG221" s="4">
        <f t="shared" si="59"/>
        <v>0</v>
      </c>
      <c r="AH221" s="5">
        <f t="shared" si="60"/>
        <v>-6417380.6317732697</v>
      </c>
      <c r="AI221" s="17">
        <f t="shared" si="62"/>
        <v>-1</v>
      </c>
      <c r="AJ221" s="17">
        <f t="shared" si="63"/>
        <v>9.9665740213246132E-2</v>
      </c>
      <c r="AK221" s="14" t="e">
        <f t="shared" si="64"/>
        <v>#DIV/0!</v>
      </c>
      <c r="AL221" s="14">
        <f t="shared" si="65"/>
        <v>-1</v>
      </c>
      <c r="AO221" s="19">
        <f>+Tabla22[[#This Row],[Web + APP 2025]]+Tabla22[[#This Row],[Afiliados 2025]]+Tabla22[[#This Row],[TMK 2025]]+Tabla22[[#This Row],[WA 2025]]+Tabla22[[#This Row],[Ent. en Tienda 2025]]</f>
        <v>3980027.7586206896</v>
      </c>
      <c r="AP221" s="19">
        <f>+Tabla22[[#This Row],[Meli Drop 2025]]+Tabla22[[#This Row],[Meli Full 2025]]+Tabla22[[#This Row],[Amazon Drop 2025]]+Tabla22[[#This Row],[Amazon Full 2025]]+Tabla22[[#This Row],[TikTok 2025]]+Tabla22[[#This Row],[Shein 2025]]</f>
        <v>871576</v>
      </c>
    </row>
    <row r="222" spans="1:42" hidden="1" x14ac:dyDescent="0.3">
      <c r="A222" s="63">
        <v>45876</v>
      </c>
      <c r="B222" s="3">
        <f>+'BD MD'!B221</f>
        <v>42821886</v>
      </c>
      <c r="C222" s="3">
        <f t="shared" si="61"/>
        <v>4267874.9655172415</v>
      </c>
      <c r="D222" s="4">
        <f t="shared" si="66"/>
        <v>2.9394970853649689E-2</v>
      </c>
      <c r="E222" s="3"/>
      <c r="F222" s="7">
        <v>46241</v>
      </c>
      <c r="G222" s="3">
        <f>+Tabla22[[#This Row],[Meta Digital]]+Tabla22[[#This Row],[Meta MKPlace]]</f>
        <v>5645262.7842647498</v>
      </c>
      <c r="H222" s="3">
        <f>+Tabla2[[#This Row],[Meta Digital]]</f>
        <v>4425371.4938382879</v>
      </c>
      <c r="I222" s="3">
        <f>+Tabla2[[#This Row],[Meta MKPlace]]</f>
        <v>1219891.2904264622</v>
      </c>
      <c r="J222" s="3">
        <v>3146416</v>
      </c>
      <c r="K222" s="3"/>
      <c r="L222" s="3">
        <v>39518.965517241362</v>
      </c>
      <c r="M222" s="3"/>
      <c r="N222" s="3">
        <v>64553</v>
      </c>
      <c r="O222" s="3"/>
      <c r="P222" s="3">
        <v>11511</v>
      </c>
      <c r="Q222" s="3"/>
      <c r="R222" s="3">
        <v>133747</v>
      </c>
      <c r="S222" s="3"/>
      <c r="T222" s="3">
        <v>769223</v>
      </c>
      <c r="U222" s="3"/>
      <c r="V222" s="3">
        <v>62096</v>
      </c>
      <c r="W222" s="3"/>
      <c r="X222" s="3">
        <v>32591</v>
      </c>
      <c r="Y222" s="3"/>
      <c r="Z222" s="3">
        <v>8219</v>
      </c>
      <c r="AA222" s="3"/>
      <c r="AB222" s="3">
        <v>0</v>
      </c>
      <c r="AC222" s="3"/>
      <c r="AD222" s="3">
        <v>0</v>
      </c>
      <c r="AE222" s="3"/>
      <c r="AF222" s="5">
        <f t="shared" si="58"/>
        <v>0</v>
      </c>
      <c r="AG222" s="4">
        <f t="shared" si="59"/>
        <v>0</v>
      </c>
      <c r="AH222" s="5">
        <f t="shared" si="60"/>
        <v>-5645262.7842647498</v>
      </c>
      <c r="AI222" s="17">
        <f t="shared" si="62"/>
        <v>-1</v>
      </c>
      <c r="AJ222" s="17">
        <f t="shared" si="63"/>
        <v>8.5221204062357725E-2</v>
      </c>
      <c r="AK222" s="14" t="e">
        <f t="shared" si="64"/>
        <v>#DIV/0!</v>
      </c>
      <c r="AL222" s="14">
        <f t="shared" si="65"/>
        <v>-1</v>
      </c>
      <c r="AO222" s="19">
        <f>+Tabla22[[#This Row],[Web + APP 2025]]+Tabla22[[#This Row],[Afiliados 2025]]+Tabla22[[#This Row],[TMK 2025]]+Tabla22[[#This Row],[WA 2025]]+Tabla22[[#This Row],[Ent. en Tienda 2025]]</f>
        <v>3395745.9655172415</v>
      </c>
      <c r="AP222" s="19">
        <f>+Tabla22[[#This Row],[Meli Drop 2025]]+Tabla22[[#This Row],[Meli Full 2025]]+Tabla22[[#This Row],[Amazon Drop 2025]]+Tabla22[[#This Row],[Amazon Full 2025]]+Tabla22[[#This Row],[TikTok 2025]]+Tabla22[[#This Row],[Shein 2025]]</f>
        <v>872129</v>
      </c>
    </row>
    <row r="223" spans="1:42" hidden="1" x14ac:dyDescent="0.3">
      <c r="A223" s="7">
        <v>45877</v>
      </c>
      <c r="B223" s="3">
        <f>+'BD MD'!B222</f>
        <v>44195500</v>
      </c>
      <c r="C223" s="3">
        <f t="shared" si="61"/>
        <v>3766393.7241379311</v>
      </c>
      <c r="D223" s="4">
        <f t="shared" si="66"/>
        <v>2.5941020915308335E-2</v>
      </c>
      <c r="E223" s="3"/>
      <c r="F223" s="7">
        <v>46242</v>
      </c>
      <c r="G223" s="3">
        <f>+Tabla22[[#This Row],[Meta Digital]]+Tabla22[[#This Row],[Meta MKPlace]]</f>
        <v>4981936.5594247943</v>
      </c>
      <c r="H223" s="3">
        <f>+Tabla2[[#This Row],[Meta Digital]]</f>
        <v>3905384.1914394982</v>
      </c>
      <c r="I223" s="3">
        <f>+Tabla2[[#This Row],[Meta MKPlace]]</f>
        <v>1076552.3679852958</v>
      </c>
      <c r="J223" s="3">
        <v>2760929</v>
      </c>
      <c r="K223" s="3"/>
      <c r="L223" s="3">
        <v>36501.724137931014</v>
      </c>
      <c r="M223" s="3"/>
      <c r="N223" s="3">
        <v>22813</v>
      </c>
      <c r="O223" s="3"/>
      <c r="P223" s="3">
        <v>1010</v>
      </c>
      <c r="Q223" s="3"/>
      <c r="R223" s="3">
        <v>84465</v>
      </c>
      <c r="S223" s="3"/>
      <c r="T223" s="3">
        <v>765638</v>
      </c>
      <c r="U223" s="3"/>
      <c r="V223" s="3">
        <v>51057</v>
      </c>
      <c r="W223" s="3"/>
      <c r="X223" s="3">
        <v>38417</v>
      </c>
      <c r="Y223" s="3"/>
      <c r="Z223" s="3">
        <v>5563</v>
      </c>
      <c r="AA223" s="3"/>
      <c r="AB223" s="3">
        <v>0</v>
      </c>
      <c r="AC223" s="3"/>
      <c r="AD223" s="3">
        <v>0</v>
      </c>
      <c r="AE223" s="3"/>
      <c r="AF223" s="5">
        <f t="shared" si="58"/>
        <v>0</v>
      </c>
      <c r="AG223" s="4">
        <f t="shared" si="59"/>
        <v>0</v>
      </c>
      <c r="AH223" s="5">
        <f t="shared" si="60"/>
        <v>-4981936.5594247943</v>
      </c>
      <c r="AI223" s="17">
        <f t="shared" si="62"/>
        <v>-1</v>
      </c>
      <c r="AJ223" s="17">
        <f t="shared" si="63"/>
        <v>5.6301615735539393E-2</v>
      </c>
      <c r="AK223" s="14" t="e">
        <f t="shared" si="64"/>
        <v>#DIV/0!</v>
      </c>
      <c r="AL223" s="14">
        <f t="shared" si="65"/>
        <v>-1</v>
      </c>
      <c r="AO223" s="19">
        <f>+Tabla22[[#This Row],[Web + APP 2025]]+Tabla22[[#This Row],[Afiliados 2025]]+Tabla22[[#This Row],[TMK 2025]]+Tabla22[[#This Row],[WA 2025]]+Tabla22[[#This Row],[Ent. en Tienda 2025]]</f>
        <v>2905718.7241379311</v>
      </c>
      <c r="AP223" s="19">
        <f>+Tabla22[[#This Row],[Meli Drop 2025]]+Tabla22[[#This Row],[Meli Full 2025]]+Tabla22[[#This Row],[Amazon Drop 2025]]+Tabla22[[#This Row],[Amazon Full 2025]]+Tabla22[[#This Row],[TikTok 2025]]+Tabla22[[#This Row],[Shein 2025]]</f>
        <v>860675</v>
      </c>
    </row>
    <row r="224" spans="1:42" hidden="1" x14ac:dyDescent="0.3">
      <c r="A224" s="63">
        <v>45878</v>
      </c>
      <c r="B224" s="3">
        <f>+'BD MD'!B223</f>
        <v>52547670</v>
      </c>
      <c r="C224" s="3">
        <f t="shared" si="61"/>
        <v>2958518.7241379311</v>
      </c>
      <c r="D224" s="4">
        <f t="shared" si="66"/>
        <v>2.0376785254642912E-2</v>
      </c>
      <c r="E224" s="3"/>
      <c r="F224" s="7">
        <v>46243</v>
      </c>
      <c r="G224" s="3">
        <f>+Tabla22[[#This Row],[Meta Digital]]+Tabla22[[#This Row],[Meta MKPlace]]</f>
        <v>3913332.9314632704</v>
      </c>
      <c r="H224" s="3">
        <f>+Tabla2[[#This Row],[Meta Digital]]</f>
        <v>3067696.3433955899</v>
      </c>
      <c r="I224" s="3">
        <f>+Tabla2[[#This Row],[Meta MKPlace]]</f>
        <v>845636.58806768083</v>
      </c>
      <c r="J224" s="3">
        <v>2172261</v>
      </c>
      <c r="K224" s="3"/>
      <c r="L224" s="3">
        <v>36326.724137931014</v>
      </c>
      <c r="M224" s="3"/>
      <c r="N224" s="3">
        <v>7009</v>
      </c>
      <c r="O224" s="3"/>
      <c r="P224" s="3">
        <v>11103</v>
      </c>
      <c r="Q224" s="3"/>
      <c r="R224" s="3">
        <v>91684</v>
      </c>
      <c r="S224" s="3"/>
      <c r="T224" s="3">
        <v>517547</v>
      </c>
      <c r="U224" s="3"/>
      <c r="V224" s="3">
        <v>91885</v>
      </c>
      <c r="W224" s="3"/>
      <c r="X224" s="3">
        <v>25396</v>
      </c>
      <c r="Y224" s="3"/>
      <c r="Z224" s="3">
        <v>5307</v>
      </c>
      <c r="AA224" s="3"/>
      <c r="AB224" s="3">
        <v>0</v>
      </c>
      <c r="AC224" s="3"/>
      <c r="AD224" s="3">
        <v>0</v>
      </c>
      <c r="AE224" s="3"/>
      <c r="AF224" s="5">
        <f t="shared" si="58"/>
        <v>0</v>
      </c>
      <c r="AG224" s="4">
        <f t="shared" si="59"/>
        <v>0</v>
      </c>
      <c r="AH224" s="5">
        <f t="shared" si="60"/>
        <v>-3913332.9314632704</v>
      </c>
      <c r="AI224" s="17">
        <f t="shared" si="62"/>
        <v>-1</v>
      </c>
      <c r="AJ224" s="17">
        <f t="shared" si="63"/>
        <v>6.5421150986422968E-2</v>
      </c>
      <c r="AK224" s="14" t="e">
        <f t="shared" si="64"/>
        <v>#DIV/0!</v>
      </c>
      <c r="AL224" s="14">
        <f t="shared" si="65"/>
        <v>-1</v>
      </c>
      <c r="AO224" s="19">
        <f>+Tabla22[[#This Row],[Web + APP 2025]]+Tabla22[[#This Row],[Afiliados 2025]]+Tabla22[[#This Row],[TMK 2025]]+Tabla22[[#This Row],[WA 2025]]+Tabla22[[#This Row],[Ent. en Tienda 2025]]</f>
        <v>2318383.7241379311</v>
      </c>
      <c r="AP224" s="19">
        <f>+Tabla22[[#This Row],[Meli Drop 2025]]+Tabla22[[#This Row],[Meli Full 2025]]+Tabla22[[#This Row],[Amazon Drop 2025]]+Tabla22[[#This Row],[Amazon Full 2025]]+Tabla22[[#This Row],[TikTok 2025]]+Tabla22[[#This Row],[Shein 2025]]</f>
        <v>640135</v>
      </c>
    </row>
    <row r="225" spans="1:42" hidden="1" x14ac:dyDescent="0.3">
      <c r="A225" s="7">
        <v>45879</v>
      </c>
      <c r="B225" s="3">
        <f>+'BD MD'!B224</f>
        <v>53492448</v>
      </c>
      <c r="C225" s="3">
        <f t="shared" si="61"/>
        <v>3499537.5172413792</v>
      </c>
      <c r="D225" s="4">
        <f t="shared" si="66"/>
        <v>2.4103049913997854E-2</v>
      </c>
      <c r="E225" s="3"/>
      <c r="F225" s="7">
        <v>46244</v>
      </c>
      <c r="G225" s="3">
        <f>+Tabla22[[#This Row],[Meta Digital]]+Tabla22[[#This Row],[Meta MKPlace]]</f>
        <v>4628956.8152394854</v>
      </c>
      <c r="H225" s="3">
        <f>+Tabla2[[#This Row],[Meta Digital]]</f>
        <v>3628680.2438085745</v>
      </c>
      <c r="I225" s="3">
        <f>+Tabla2[[#This Row],[Meta MKPlace]]</f>
        <v>1000276.571430911</v>
      </c>
      <c r="J225" s="3">
        <v>2525352</v>
      </c>
      <c r="K225" s="3"/>
      <c r="L225" s="3">
        <v>36340.51724137929</v>
      </c>
      <c r="M225" s="3"/>
      <c r="N225" s="3">
        <v>7272</v>
      </c>
      <c r="O225" s="3"/>
      <c r="P225" s="3">
        <v>5023</v>
      </c>
      <c r="Q225" s="3"/>
      <c r="R225" s="3">
        <v>153753</v>
      </c>
      <c r="S225" s="3"/>
      <c r="T225" s="3">
        <v>597616</v>
      </c>
      <c r="U225" s="3"/>
      <c r="V225" s="3">
        <v>139394</v>
      </c>
      <c r="W225" s="3"/>
      <c r="X225" s="3">
        <v>29128</v>
      </c>
      <c r="Y225" s="3"/>
      <c r="Z225" s="3">
        <v>5659</v>
      </c>
      <c r="AA225" s="3"/>
      <c r="AB225" s="3">
        <v>0</v>
      </c>
      <c r="AC225" s="3"/>
      <c r="AD225" s="3">
        <v>0</v>
      </c>
      <c r="AE225" s="3"/>
      <c r="AF225" s="5">
        <f t="shared" si="58"/>
        <v>0</v>
      </c>
      <c r="AG225" s="4">
        <f t="shared" si="59"/>
        <v>0</v>
      </c>
      <c r="AH225" s="5">
        <f t="shared" si="60"/>
        <v>-4628956.8152394854</v>
      </c>
      <c r="AI225" s="17">
        <f t="shared" si="62"/>
        <v>-1</v>
      </c>
      <c r="AJ225" s="17">
        <f t="shared" si="63"/>
        <v>0.160189569803774</v>
      </c>
      <c r="AK225" s="14" t="e">
        <f t="shared" si="64"/>
        <v>#DIV/0!</v>
      </c>
      <c r="AL225" s="14">
        <f t="shared" si="65"/>
        <v>-1</v>
      </c>
      <c r="AO225" s="19">
        <f>+Tabla22[[#This Row],[Web + APP 2025]]+Tabla22[[#This Row],[Afiliados 2025]]+Tabla22[[#This Row],[TMK 2025]]+Tabla22[[#This Row],[WA 2025]]+Tabla22[[#This Row],[Ent. en Tienda 2025]]</f>
        <v>2727740.5172413792</v>
      </c>
      <c r="AP225" s="19">
        <f>+Tabla22[[#This Row],[Meli Drop 2025]]+Tabla22[[#This Row],[Meli Full 2025]]+Tabla22[[#This Row],[Amazon Drop 2025]]+Tabla22[[#This Row],[Amazon Full 2025]]+Tabla22[[#This Row],[TikTok 2025]]+Tabla22[[#This Row],[Shein 2025]]</f>
        <v>771797</v>
      </c>
    </row>
    <row r="226" spans="1:42" hidden="1" x14ac:dyDescent="0.3">
      <c r="A226" s="63">
        <v>45880</v>
      </c>
      <c r="B226" s="3">
        <f>+'BD MD'!B225</f>
        <v>33293539</v>
      </c>
      <c r="C226" s="3">
        <f t="shared" si="61"/>
        <v>5333277.6896551717</v>
      </c>
      <c r="D226" s="4">
        <f t="shared" si="66"/>
        <v>3.6732927629906362E-2</v>
      </c>
      <c r="E226" s="3"/>
      <c r="F226" s="7">
        <v>46245</v>
      </c>
      <c r="G226" s="3">
        <f>+Tabla22[[#This Row],[Meta Digital]]+Tabla22[[#This Row],[Meta MKPlace]]</f>
        <v>7054507.0562794581</v>
      </c>
      <c r="H226" s="3">
        <f>+Tabla2[[#This Row],[Meta Digital]]</f>
        <v>5530090.5596383438</v>
      </c>
      <c r="I226" s="3">
        <f>+Tabla2[[#This Row],[Meta MKPlace]]</f>
        <v>1524416.4966411141</v>
      </c>
      <c r="J226" s="3">
        <v>3999839</v>
      </c>
      <c r="K226" s="3"/>
      <c r="L226" s="3">
        <v>32970.689655172391</v>
      </c>
      <c r="M226" s="3"/>
      <c r="N226" s="3">
        <v>56378</v>
      </c>
      <c r="O226" s="3"/>
      <c r="P226" s="3">
        <v>5019</v>
      </c>
      <c r="Q226" s="3"/>
      <c r="R226" s="3">
        <v>135073</v>
      </c>
      <c r="S226" s="3"/>
      <c r="T226" s="3">
        <v>700812</v>
      </c>
      <c r="U226" s="3"/>
      <c r="V226" s="3">
        <v>356162</v>
      </c>
      <c r="W226" s="3"/>
      <c r="X226" s="3">
        <v>39654</v>
      </c>
      <c r="Y226" s="3"/>
      <c r="Z226" s="3">
        <v>7370</v>
      </c>
      <c r="AA226" s="3"/>
      <c r="AB226" s="3">
        <v>0</v>
      </c>
      <c r="AC226" s="3"/>
      <c r="AD226" s="3">
        <v>0</v>
      </c>
      <c r="AE226" s="3"/>
      <c r="AF226" s="5">
        <f t="shared" si="58"/>
        <v>0</v>
      </c>
      <c r="AG226" s="4">
        <f t="shared" si="59"/>
        <v>0</v>
      </c>
      <c r="AH226" s="5">
        <f t="shared" si="60"/>
        <v>-7054507.0562794581</v>
      </c>
      <c r="AI226" s="17">
        <f t="shared" si="62"/>
        <v>-1</v>
      </c>
      <c r="AJ226" s="17">
        <f t="shared" si="63"/>
        <v>0.15570204974273497</v>
      </c>
      <c r="AK226" s="14" t="e">
        <f t="shared" si="64"/>
        <v>#DIV/0!</v>
      </c>
      <c r="AL226" s="14">
        <f t="shared" si="65"/>
        <v>-1</v>
      </c>
      <c r="AO226" s="19">
        <f>+Tabla22[[#This Row],[Web + APP 2025]]+Tabla22[[#This Row],[Afiliados 2025]]+Tabla22[[#This Row],[TMK 2025]]+Tabla22[[#This Row],[WA 2025]]+Tabla22[[#This Row],[Ent. en Tienda 2025]]</f>
        <v>4229279.6896551717</v>
      </c>
      <c r="AP226" s="19">
        <f>+Tabla22[[#This Row],[Meli Drop 2025]]+Tabla22[[#This Row],[Meli Full 2025]]+Tabla22[[#This Row],[Amazon Drop 2025]]+Tabla22[[#This Row],[Amazon Full 2025]]+Tabla22[[#This Row],[TikTok 2025]]+Tabla22[[#This Row],[Shein 2025]]</f>
        <v>1103998</v>
      </c>
    </row>
    <row r="227" spans="1:42" hidden="1" x14ac:dyDescent="0.3">
      <c r="A227" s="7">
        <v>45881</v>
      </c>
      <c r="B227" s="3">
        <f>+'BD MD'!B226</f>
        <v>36360304</v>
      </c>
      <c r="C227" s="3">
        <f t="shared" si="61"/>
        <v>5661373.8620689651</v>
      </c>
      <c r="D227" s="4">
        <f t="shared" si="66"/>
        <v>3.8992688635844978E-2</v>
      </c>
      <c r="E227" s="3"/>
      <c r="F227" s="7">
        <v>46246</v>
      </c>
      <c r="G227" s="3">
        <f>+Tabla22[[#This Row],[Meta Digital]]+Tabla22[[#This Row],[Meta MKPlace]]</f>
        <v>7488490.9772593984</v>
      </c>
      <c r="H227" s="3">
        <f>+Tabla2[[#This Row],[Meta Digital]]</f>
        <v>5870294.3988718316</v>
      </c>
      <c r="I227" s="3">
        <f>+Tabla2[[#This Row],[Meta MKPlace]]</f>
        <v>1618196.5783875666</v>
      </c>
      <c r="J227" s="3">
        <v>4225069</v>
      </c>
      <c r="K227" s="3"/>
      <c r="L227" s="3">
        <v>32825.862068965493</v>
      </c>
      <c r="M227" s="3"/>
      <c r="N227" s="3">
        <v>72043</v>
      </c>
      <c r="O227" s="3"/>
      <c r="P227" s="3">
        <v>15704</v>
      </c>
      <c r="Q227" s="3"/>
      <c r="R227" s="3">
        <v>97751</v>
      </c>
      <c r="S227" s="3"/>
      <c r="T227" s="3">
        <v>651028</v>
      </c>
      <c r="U227" s="3"/>
      <c r="V227" s="3">
        <v>527190</v>
      </c>
      <c r="W227" s="3"/>
      <c r="X227" s="3">
        <v>34217</v>
      </c>
      <c r="Y227" s="3"/>
      <c r="Z227" s="3">
        <v>5546</v>
      </c>
      <c r="AA227" s="3"/>
      <c r="AB227" s="3">
        <v>0</v>
      </c>
      <c r="AC227" s="3"/>
      <c r="AD227" s="3">
        <v>0</v>
      </c>
      <c r="AE227" s="3"/>
      <c r="AF227" s="5">
        <f t="shared" si="58"/>
        <v>0</v>
      </c>
      <c r="AG227" s="4">
        <f t="shared" si="59"/>
        <v>0</v>
      </c>
      <c r="AH227" s="5">
        <f t="shared" si="60"/>
        <v>-7488490.9772593984</v>
      </c>
      <c r="AI227" s="17">
        <f t="shared" si="62"/>
        <v>-1</v>
      </c>
      <c r="AJ227" s="17">
        <f t="shared" si="63"/>
        <v>0.14322141304357514</v>
      </c>
      <c r="AK227" s="14" t="e">
        <f t="shared" si="64"/>
        <v>#DIV/0!</v>
      </c>
      <c r="AL227" s="14">
        <f t="shared" si="65"/>
        <v>-1</v>
      </c>
      <c r="AO227" s="19">
        <f>+Tabla22[[#This Row],[Web + APP 2025]]+Tabla22[[#This Row],[Afiliados 2025]]+Tabla22[[#This Row],[TMK 2025]]+Tabla22[[#This Row],[WA 2025]]+Tabla22[[#This Row],[Ent. en Tienda 2025]]</f>
        <v>4443392.8620689651</v>
      </c>
      <c r="AP227" s="19">
        <f>+Tabla22[[#This Row],[Meli Drop 2025]]+Tabla22[[#This Row],[Meli Full 2025]]+Tabla22[[#This Row],[Amazon Drop 2025]]+Tabla22[[#This Row],[Amazon Full 2025]]+Tabla22[[#This Row],[TikTok 2025]]+Tabla22[[#This Row],[Shein 2025]]</f>
        <v>1217981</v>
      </c>
    </row>
    <row r="228" spans="1:42" hidden="1" x14ac:dyDescent="0.3">
      <c r="A228" s="63">
        <v>45882</v>
      </c>
      <c r="B228" s="3">
        <f>+'BD MD'!B227</f>
        <v>39197019</v>
      </c>
      <c r="C228" s="3">
        <f t="shared" si="61"/>
        <v>5613852.4482758623</v>
      </c>
      <c r="D228" s="4">
        <f t="shared" si="66"/>
        <v>3.8665385098450182E-2</v>
      </c>
      <c r="E228" s="3"/>
      <c r="F228" s="7">
        <v>46247</v>
      </c>
      <c r="G228" s="3">
        <f>+Tabla22[[#This Row],[Meta Digital]]+Tabla22[[#This Row],[Meta MKPlace]]</f>
        <v>7425632.793524079</v>
      </c>
      <c r="H228" s="3">
        <f>+Tabla2[[#This Row],[Meta Digital]]</f>
        <v>5821019.3119383967</v>
      </c>
      <c r="I228" s="3">
        <f>+Tabla2[[#This Row],[Meta MKPlace]]</f>
        <v>1604613.4815856826</v>
      </c>
      <c r="J228" s="3">
        <v>4089143</v>
      </c>
      <c r="K228" s="3"/>
      <c r="L228" s="3">
        <v>34528.448275862043</v>
      </c>
      <c r="M228" s="3"/>
      <c r="N228" s="3">
        <v>43939</v>
      </c>
      <c r="O228" s="3"/>
      <c r="P228" s="3">
        <v>4540</v>
      </c>
      <c r="Q228" s="3"/>
      <c r="R228" s="3">
        <v>176005</v>
      </c>
      <c r="S228" s="3"/>
      <c r="T228" s="3">
        <v>668270</v>
      </c>
      <c r="U228" s="3"/>
      <c r="V228" s="3">
        <v>554038</v>
      </c>
      <c r="W228" s="3"/>
      <c r="X228" s="3">
        <v>35960</v>
      </c>
      <c r="Y228" s="3"/>
      <c r="Z228" s="3">
        <v>7429</v>
      </c>
      <c r="AA228" s="3"/>
      <c r="AB228" s="3">
        <v>0</v>
      </c>
      <c r="AC228" s="3"/>
      <c r="AD228" s="3">
        <v>0</v>
      </c>
      <c r="AE228" s="3"/>
      <c r="AF228" s="5">
        <f t="shared" si="58"/>
        <v>0</v>
      </c>
      <c r="AG228" s="4">
        <f t="shared" si="59"/>
        <v>0</v>
      </c>
      <c r="AH228" s="5">
        <f t="shared" si="60"/>
        <v>-7425632.793524079</v>
      </c>
      <c r="AI228" s="17">
        <f t="shared" si="62"/>
        <v>-1</v>
      </c>
      <c r="AJ228" s="17">
        <f t="shared" si="63"/>
        <v>0.10534497463240182</v>
      </c>
      <c r="AK228" s="14" t="e">
        <f t="shared" si="64"/>
        <v>#DIV/0!</v>
      </c>
      <c r="AL228" s="14">
        <f t="shared" si="65"/>
        <v>-1</v>
      </c>
      <c r="AO228" s="19">
        <f>+Tabla22[[#This Row],[Web + APP 2025]]+Tabla22[[#This Row],[Afiliados 2025]]+Tabla22[[#This Row],[TMK 2025]]+Tabla22[[#This Row],[WA 2025]]+Tabla22[[#This Row],[Ent. en Tienda 2025]]</f>
        <v>4348155.4482758623</v>
      </c>
      <c r="AP228" s="19">
        <f>+Tabla22[[#This Row],[Meli Drop 2025]]+Tabla22[[#This Row],[Meli Full 2025]]+Tabla22[[#This Row],[Amazon Drop 2025]]+Tabla22[[#This Row],[Amazon Full 2025]]+Tabla22[[#This Row],[TikTok 2025]]+Tabla22[[#This Row],[Shein 2025]]</f>
        <v>1265697</v>
      </c>
    </row>
    <row r="229" spans="1:42" hidden="1" x14ac:dyDescent="0.3">
      <c r="A229" s="7">
        <v>45883</v>
      </c>
      <c r="B229" s="3">
        <f>+'BD MD'!B228</f>
        <v>44165103</v>
      </c>
      <c r="C229" s="3">
        <f t="shared" si="61"/>
        <v>4652571.6551724132</v>
      </c>
      <c r="D229" s="4">
        <f t="shared" si="66"/>
        <v>3.2044567683752426E-2</v>
      </c>
      <c r="E229" s="3"/>
      <c r="F229" s="7">
        <v>46248</v>
      </c>
      <c r="G229" s="3">
        <f>+Tabla22[[#This Row],[Meta Digital]]+Tabla22[[#This Row],[Meta MKPlace]]</f>
        <v>6154114.1266510161</v>
      </c>
      <c r="H229" s="3">
        <f>+Tabla2[[#This Row],[Meta Digital]]</f>
        <v>4824264.5677752905</v>
      </c>
      <c r="I229" s="3">
        <f>+Tabla2[[#This Row],[Meta MKPlace]]</f>
        <v>1329849.5588757256</v>
      </c>
      <c r="J229" s="3">
        <v>3070125</v>
      </c>
      <c r="K229" s="3"/>
      <c r="L229" s="3">
        <v>38764.655172413768</v>
      </c>
      <c r="M229" s="3"/>
      <c r="N229" s="3">
        <v>46072</v>
      </c>
      <c r="O229" s="3"/>
      <c r="P229" s="3">
        <v>4716</v>
      </c>
      <c r="Q229" s="3"/>
      <c r="R229" s="3">
        <v>195600</v>
      </c>
      <c r="S229" s="3"/>
      <c r="T229" s="3">
        <v>651924</v>
      </c>
      <c r="U229" s="3"/>
      <c r="V229" s="3">
        <v>601203</v>
      </c>
      <c r="W229" s="3"/>
      <c r="X229" s="3">
        <v>40376</v>
      </c>
      <c r="Y229" s="3"/>
      <c r="Z229" s="3">
        <v>3791</v>
      </c>
      <c r="AA229" s="3"/>
      <c r="AB229" s="3">
        <v>0</v>
      </c>
      <c r="AC229" s="3"/>
      <c r="AD229" s="3">
        <v>0</v>
      </c>
      <c r="AE229" s="3"/>
      <c r="AF229" s="5">
        <f t="shared" si="58"/>
        <v>0</v>
      </c>
      <c r="AG229" s="4">
        <f t="shared" si="59"/>
        <v>0</v>
      </c>
      <c r="AH229" s="5">
        <f t="shared" si="60"/>
        <v>-6154114.1266510161</v>
      </c>
      <c r="AI229" s="17">
        <f t="shared" si="62"/>
        <v>-1</v>
      </c>
      <c r="AJ229" s="17">
        <f t="shared" si="63"/>
        <v>7.3326948907217152E-2</v>
      </c>
      <c r="AK229" s="14" t="e">
        <f t="shared" si="64"/>
        <v>#DIV/0!</v>
      </c>
      <c r="AL229" s="14">
        <f t="shared" si="65"/>
        <v>-1</v>
      </c>
      <c r="AO229" s="19">
        <f>+Tabla22[[#This Row],[Web + APP 2025]]+Tabla22[[#This Row],[Afiliados 2025]]+Tabla22[[#This Row],[TMK 2025]]+Tabla22[[#This Row],[WA 2025]]+Tabla22[[#This Row],[Ent. en Tienda 2025]]</f>
        <v>3355277.6551724137</v>
      </c>
      <c r="AP229" s="19">
        <f>+Tabla22[[#This Row],[Meli Drop 2025]]+Tabla22[[#This Row],[Meli Full 2025]]+Tabla22[[#This Row],[Amazon Drop 2025]]+Tabla22[[#This Row],[Amazon Full 2025]]+Tabla22[[#This Row],[TikTok 2025]]+Tabla22[[#This Row],[Shein 2025]]</f>
        <v>1297294</v>
      </c>
    </row>
    <row r="230" spans="1:42" hidden="1" x14ac:dyDescent="0.3">
      <c r="A230" s="63">
        <v>45884</v>
      </c>
      <c r="B230" s="3">
        <f>+'BD MD'!B229</f>
        <v>44038774</v>
      </c>
      <c r="C230" s="3">
        <f t="shared" si="61"/>
        <v>3229228.931034483</v>
      </c>
      <c r="D230" s="4">
        <f t="shared" si="66"/>
        <v>2.2241300664724805E-2</v>
      </c>
      <c r="E230" s="3"/>
      <c r="F230" s="7">
        <v>46249</v>
      </c>
      <c r="G230" s="3">
        <f>+Tabla22[[#This Row],[Meta Digital]]+Tabla22[[#This Row],[Meta MKPlace]]</f>
        <v>4271410.4919966087</v>
      </c>
      <c r="H230" s="3">
        <f>+Tabla2[[#This Row],[Meta Digital]]</f>
        <v>3348396.5144105288</v>
      </c>
      <c r="I230" s="3">
        <f>+Tabla2[[#This Row],[Meta MKPlace]]</f>
        <v>923013.97758607939</v>
      </c>
      <c r="J230" s="3">
        <v>2011046</v>
      </c>
      <c r="K230" s="3"/>
      <c r="L230" s="3">
        <v>34462.931034482739</v>
      </c>
      <c r="M230" s="3"/>
      <c r="N230" s="3">
        <v>24847</v>
      </c>
      <c r="O230" s="3"/>
      <c r="P230" s="3">
        <v>5456</v>
      </c>
      <c r="Q230" s="3"/>
      <c r="R230" s="3">
        <v>178158</v>
      </c>
      <c r="S230" s="3"/>
      <c r="T230" s="3">
        <v>507359</v>
      </c>
      <c r="U230" s="3"/>
      <c r="V230" s="3">
        <v>433481</v>
      </c>
      <c r="W230" s="3"/>
      <c r="X230" s="3">
        <v>26228</v>
      </c>
      <c r="Y230" s="3"/>
      <c r="Z230" s="3">
        <v>8191</v>
      </c>
      <c r="AA230" s="3"/>
      <c r="AB230" s="3">
        <v>0</v>
      </c>
      <c r="AC230" s="3"/>
      <c r="AD230" s="3">
        <v>0</v>
      </c>
      <c r="AE230" s="3"/>
      <c r="AF230" s="5">
        <f t="shared" si="58"/>
        <v>0</v>
      </c>
      <c r="AG230" s="4">
        <f t="shared" si="59"/>
        <v>0</v>
      </c>
      <c r="AH230" s="5">
        <f t="shared" si="60"/>
        <v>-4271410.4919966087</v>
      </c>
      <c r="AI230" s="17">
        <f t="shared" si="62"/>
        <v>-1</v>
      </c>
      <c r="AJ230" s="17">
        <f t="shared" si="63"/>
        <v>8.0212678975803961E-2</v>
      </c>
      <c r="AK230" s="14" t="e">
        <f t="shared" si="64"/>
        <v>#DIV/0!</v>
      </c>
      <c r="AL230" s="14">
        <f t="shared" si="65"/>
        <v>-1</v>
      </c>
      <c r="AO230" s="19">
        <f>+Tabla22[[#This Row],[Web + APP 2025]]+Tabla22[[#This Row],[Afiliados 2025]]+Tabla22[[#This Row],[TMK 2025]]+Tabla22[[#This Row],[WA 2025]]+Tabla22[[#This Row],[Ent. en Tienda 2025]]</f>
        <v>2253969.931034483</v>
      </c>
      <c r="AP230" s="19">
        <f>+Tabla22[[#This Row],[Meli Drop 2025]]+Tabla22[[#This Row],[Meli Full 2025]]+Tabla22[[#This Row],[Amazon Drop 2025]]+Tabla22[[#This Row],[Amazon Full 2025]]+Tabla22[[#This Row],[TikTok 2025]]+Tabla22[[#This Row],[Shein 2025]]</f>
        <v>975259</v>
      </c>
    </row>
    <row r="231" spans="1:42" hidden="1" x14ac:dyDescent="0.3">
      <c r="A231" s="7">
        <v>45885</v>
      </c>
      <c r="B231" s="3">
        <f>+'BD MD'!B230</f>
        <v>60948845</v>
      </c>
      <c r="C231" s="3">
        <f t="shared" si="61"/>
        <v>4888870.137931034</v>
      </c>
      <c r="D231" s="4">
        <f t="shared" si="66"/>
        <v>3.3672072488736673E-2</v>
      </c>
      <c r="E231" s="3"/>
      <c r="F231" s="7">
        <v>46250</v>
      </c>
      <c r="G231" s="3">
        <f>+Tabla22[[#This Row],[Meta Digital]]+Tabla22[[#This Row],[Meta MKPlace]]</f>
        <v>6466674.1340255057</v>
      </c>
      <c r="H231" s="3">
        <f>+Tabla2[[#This Row],[Meta Digital]]</f>
        <v>5069283.1257429337</v>
      </c>
      <c r="I231" s="3">
        <f>+Tabla2[[#This Row],[Meta MKPlace]]</f>
        <v>1397391.008282572</v>
      </c>
      <c r="J231" s="3">
        <v>3412516</v>
      </c>
      <c r="K231" s="3"/>
      <c r="L231" s="3">
        <v>47499.137931034464</v>
      </c>
      <c r="M231" s="3"/>
      <c r="N231" s="3">
        <v>28829</v>
      </c>
      <c r="O231" s="3"/>
      <c r="P231" s="3">
        <v>2060</v>
      </c>
      <c r="Q231" s="3"/>
      <c r="R231" s="3">
        <v>162266</v>
      </c>
      <c r="S231" s="3"/>
      <c r="T231" s="3">
        <v>782613</v>
      </c>
      <c r="U231" s="3"/>
      <c r="V231" s="3">
        <v>397386</v>
      </c>
      <c r="W231" s="3"/>
      <c r="X231" s="3">
        <v>46230</v>
      </c>
      <c r="Y231" s="3"/>
      <c r="Z231" s="3">
        <v>9471</v>
      </c>
      <c r="AA231" s="3"/>
      <c r="AB231" s="3">
        <v>0</v>
      </c>
      <c r="AC231" s="3"/>
      <c r="AD231" s="3">
        <v>0</v>
      </c>
      <c r="AE231" s="3"/>
      <c r="AF231" s="5">
        <f t="shared" si="58"/>
        <v>0</v>
      </c>
      <c r="AG231" s="4">
        <f t="shared" si="59"/>
        <v>0</v>
      </c>
      <c r="AH231" s="5">
        <f t="shared" si="60"/>
        <v>-6466674.1340255057</v>
      </c>
      <c r="AI231" s="17">
        <f t="shared" si="62"/>
        <v>-1</v>
      </c>
      <c r="AJ231" s="17">
        <f t="shared" si="63"/>
        <v>6.344445797757467E-2</v>
      </c>
      <c r="AK231" s="14" t="e">
        <f t="shared" si="64"/>
        <v>#DIV/0!</v>
      </c>
      <c r="AL231" s="14">
        <f t="shared" si="65"/>
        <v>-1</v>
      </c>
      <c r="AO231" s="19">
        <f>+Tabla22[[#This Row],[Web + APP 2025]]+Tabla22[[#This Row],[Afiliados 2025]]+Tabla22[[#This Row],[TMK 2025]]+Tabla22[[#This Row],[WA 2025]]+Tabla22[[#This Row],[Ent. en Tienda 2025]]</f>
        <v>3653170.1379310344</v>
      </c>
      <c r="AP231" s="19">
        <f>+Tabla22[[#This Row],[Meli Drop 2025]]+Tabla22[[#This Row],[Meli Full 2025]]+Tabla22[[#This Row],[Amazon Drop 2025]]+Tabla22[[#This Row],[Amazon Full 2025]]+Tabla22[[#This Row],[TikTok 2025]]+Tabla22[[#This Row],[Shein 2025]]</f>
        <v>1235700</v>
      </c>
    </row>
    <row r="232" spans="1:42" hidden="1" x14ac:dyDescent="0.3">
      <c r="A232" s="63">
        <v>45886</v>
      </c>
      <c r="B232" s="3">
        <f>+'BD MD'!B231</f>
        <v>62131899</v>
      </c>
      <c r="C232" s="3">
        <f t="shared" si="61"/>
        <v>3941924.6551724137</v>
      </c>
      <c r="D232" s="4">
        <f t="shared" si="66"/>
        <v>2.7149989463675188E-2</v>
      </c>
      <c r="E232" s="3"/>
      <c r="F232" s="7">
        <v>46251</v>
      </c>
      <c r="G232" s="3">
        <f>+Tabla22[[#This Row],[Meta Digital]]+Tabla22[[#This Row],[Meta MKPlace]]</f>
        <v>5214117.2677310444</v>
      </c>
      <c r="H232" s="3">
        <f>+Tabla2[[#This Row],[Meta Digital]]</f>
        <v>4087392.7049885243</v>
      </c>
      <c r="I232" s="3">
        <f>+Tabla2[[#This Row],[Meta MKPlace]]</f>
        <v>1126724.5627425204</v>
      </c>
      <c r="J232" s="3">
        <v>2730517</v>
      </c>
      <c r="K232" s="3"/>
      <c r="L232" s="3">
        <v>40964.655172413768</v>
      </c>
      <c r="M232" s="3"/>
      <c r="N232" s="3">
        <v>3525</v>
      </c>
      <c r="O232" s="3"/>
      <c r="P232" s="3">
        <v>11086</v>
      </c>
      <c r="Q232" s="3"/>
      <c r="R232" s="3">
        <v>183162</v>
      </c>
      <c r="S232" s="3"/>
      <c r="T232" s="3">
        <v>524015</v>
      </c>
      <c r="U232" s="3"/>
      <c r="V232" s="3">
        <v>403338</v>
      </c>
      <c r="W232" s="3"/>
      <c r="X232" s="3">
        <v>35960</v>
      </c>
      <c r="Y232" s="3"/>
      <c r="Z232" s="3">
        <v>7429</v>
      </c>
      <c r="AA232" s="3"/>
      <c r="AB232" s="3">
        <v>1928</v>
      </c>
      <c r="AC232" s="3"/>
      <c r="AD232" s="3">
        <v>0</v>
      </c>
      <c r="AE232" s="3"/>
      <c r="AF232" s="5">
        <f t="shared" si="58"/>
        <v>0</v>
      </c>
      <c r="AG232" s="4">
        <f t="shared" si="59"/>
        <v>0</v>
      </c>
      <c r="AH232" s="5">
        <f t="shared" si="60"/>
        <v>-5214117.2677310444</v>
      </c>
      <c r="AI232" s="17">
        <f t="shared" si="62"/>
        <v>-1</v>
      </c>
      <c r="AJ232" s="17">
        <f t="shared" si="63"/>
        <v>0.16008376318988846</v>
      </c>
      <c r="AK232" s="14" t="e">
        <f t="shared" si="64"/>
        <v>#DIV/0!</v>
      </c>
      <c r="AL232" s="14">
        <f t="shared" si="65"/>
        <v>-1</v>
      </c>
      <c r="AO232" s="19">
        <f>+Tabla22[[#This Row],[Web + APP 2025]]+Tabla22[[#This Row],[Afiliados 2025]]+Tabla22[[#This Row],[TMK 2025]]+Tabla22[[#This Row],[WA 2025]]+Tabla22[[#This Row],[Ent. en Tienda 2025]]</f>
        <v>2969254.6551724137</v>
      </c>
      <c r="AP232" s="19">
        <f>+Tabla22[[#This Row],[Meli Drop 2025]]+Tabla22[[#This Row],[Meli Full 2025]]+Tabla22[[#This Row],[Amazon Drop 2025]]+Tabla22[[#This Row],[Amazon Full 2025]]+Tabla22[[#This Row],[TikTok 2025]]+Tabla22[[#This Row],[Shein 2025]]</f>
        <v>972670</v>
      </c>
    </row>
    <row r="233" spans="1:42" hidden="1" x14ac:dyDescent="0.3">
      <c r="A233" s="7">
        <v>45887</v>
      </c>
      <c r="B233" s="3">
        <f>+'BD MD'!B232</f>
        <v>38507747</v>
      </c>
      <c r="C233" s="3">
        <f t="shared" si="61"/>
        <v>6164465.0517241377</v>
      </c>
      <c r="D233" s="4">
        <f t="shared" si="66"/>
        <v>4.2457727086157096E-2</v>
      </c>
      <c r="E233" s="3"/>
      <c r="F233" s="7">
        <v>46252</v>
      </c>
      <c r="G233" s="3">
        <f>+Tabla22[[#This Row],[Meta Digital]]+Tabla22[[#This Row],[Meta MKPlace]]</f>
        <v>8153946.7352182362</v>
      </c>
      <c r="H233" s="3">
        <f>+Tabla2[[#This Row],[Meta Digital]]</f>
        <v>6391951.0611427166</v>
      </c>
      <c r="I233" s="3">
        <f>+Tabla2[[#This Row],[Meta MKPlace]]</f>
        <v>1761995.6740755194</v>
      </c>
      <c r="J233" s="3">
        <v>4641789</v>
      </c>
      <c r="K233" s="3"/>
      <c r="L233" s="3">
        <v>35684.482758620681</v>
      </c>
      <c r="M233" s="3"/>
      <c r="N233" s="3">
        <v>59195</v>
      </c>
      <c r="O233" s="3"/>
      <c r="P233" s="3">
        <v>10114</v>
      </c>
      <c r="Q233" s="3"/>
      <c r="R233" s="3">
        <v>136276</v>
      </c>
      <c r="S233" s="3"/>
      <c r="T233" s="3">
        <v>856553</v>
      </c>
      <c r="U233" s="3"/>
      <c r="V233" s="3">
        <v>371767</v>
      </c>
      <c r="W233" s="3"/>
      <c r="X233" s="3">
        <v>47937</v>
      </c>
      <c r="Y233" s="3"/>
      <c r="Z233" s="3">
        <v>4445</v>
      </c>
      <c r="AA233" s="3"/>
      <c r="AB233" s="3">
        <v>704.56896551724162</v>
      </c>
      <c r="AC233" s="3"/>
      <c r="AD233" s="3">
        <v>0</v>
      </c>
      <c r="AE233" s="3"/>
      <c r="AF233" s="5">
        <f t="shared" si="58"/>
        <v>0</v>
      </c>
      <c r="AG233" s="4">
        <f t="shared" si="59"/>
        <v>0</v>
      </c>
      <c r="AH233" s="5">
        <f t="shared" si="60"/>
        <v>-8153946.7352182362</v>
      </c>
      <c r="AI233" s="17">
        <f t="shared" si="62"/>
        <v>-1</v>
      </c>
      <c r="AJ233" s="17">
        <f t="shared" si="63"/>
        <v>0.13808108963159166</v>
      </c>
      <c r="AK233" s="14" t="e">
        <f t="shared" si="64"/>
        <v>#DIV/0!</v>
      </c>
      <c r="AL233" s="14">
        <f t="shared" si="65"/>
        <v>-1</v>
      </c>
      <c r="AO233" s="19">
        <f>+Tabla22[[#This Row],[Web + APP 2025]]+Tabla22[[#This Row],[Afiliados 2025]]+Tabla22[[#This Row],[TMK 2025]]+Tabla22[[#This Row],[WA 2025]]+Tabla22[[#This Row],[Ent. en Tienda 2025]]</f>
        <v>4883058.4827586208</v>
      </c>
      <c r="AP233" s="19">
        <f>+Tabla22[[#This Row],[Meli Drop 2025]]+Tabla22[[#This Row],[Meli Full 2025]]+Tabla22[[#This Row],[Amazon Drop 2025]]+Tabla22[[#This Row],[Amazon Full 2025]]+Tabla22[[#This Row],[TikTok 2025]]+Tabla22[[#This Row],[Shein 2025]]</f>
        <v>1281406.5689655172</v>
      </c>
    </row>
    <row r="234" spans="1:42" hidden="1" x14ac:dyDescent="0.3">
      <c r="A234" s="63">
        <v>45888</v>
      </c>
      <c r="B234" s="3">
        <f>+'BD MD'!B233</f>
        <v>42791164</v>
      </c>
      <c r="C234" s="3">
        <f t="shared" si="61"/>
        <v>5908650.5517241377</v>
      </c>
      <c r="D234" s="4">
        <f t="shared" si="66"/>
        <v>4.0695805794601726E-2</v>
      </c>
      <c r="E234" s="3"/>
      <c r="F234" s="7">
        <v>46253</v>
      </c>
      <c r="G234" s="3">
        <f>+Tabla22[[#This Row],[Meta Digital]]+Tabla22[[#This Row],[Meta MKPlace]]</f>
        <v>7815572.2307649935</v>
      </c>
      <c r="H234" s="3">
        <f>+Tabla2[[#This Row],[Meta Digital]]</f>
        <v>6126696.290289022</v>
      </c>
      <c r="I234" s="3">
        <f>+Tabla2[[#This Row],[Meta MKPlace]]</f>
        <v>1688875.9404759717</v>
      </c>
      <c r="J234" s="3">
        <v>4674224</v>
      </c>
      <c r="K234" s="3"/>
      <c r="L234" s="3">
        <v>38029.31034482758</v>
      </c>
      <c r="M234" s="3"/>
      <c r="N234" s="3">
        <v>63390</v>
      </c>
      <c r="O234" s="3"/>
      <c r="P234" s="3">
        <v>4385</v>
      </c>
      <c r="Q234" s="3"/>
      <c r="R234" s="3">
        <v>133373</v>
      </c>
      <c r="S234" s="3"/>
      <c r="T234" s="3">
        <v>669054</v>
      </c>
      <c r="U234" s="3"/>
      <c r="V234" s="3">
        <v>282672</v>
      </c>
      <c r="W234" s="3"/>
      <c r="X234" s="3">
        <v>39386</v>
      </c>
      <c r="Y234" s="3"/>
      <c r="Z234" s="3">
        <v>3720</v>
      </c>
      <c r="AA234" s="3"/>
      <c r="AB234" s="3">
        <v>73.275862068965523</v>
      </c>
      <c r="AC234" s="3"/>
      <c r="AD234" s="3">
        <v>343.96551724137936</v>
      </c>
      <c r="AE234" s="3"/>
      <c r="AF234" s="5">
        <f t="shared" si="58"/>
        <v>0</v>
      </c>
      <c r="AG234" s="4">
        <f t="shared" si="59"/>
        <v>0</v>
      </c>
      <c r="AH234" s="5">
        <f t="shared" si="60"/>
        <v>-7815572.2307649935</v>
      </c>
      <c r="AI234" s="17">
        <f t="shared" si="62"/>
        <v>-1</v>
      </c>
      <c r="AJ234" s="17">
        <f t="shared" si="63"/>
        <v>0.12551404930590754</v>
      </c>
      <c r="AK234" s="14" t="e">
        <f t="shared" si="64"/>
        <v>#DIV/0!</v>
      </c>
      <c r="AL234" s="14">
        <f t="shared" si="65"/>
        <v>-1</v>
      </c>
      <c r="AO234" s="19">
        <f>+Tabla22[[#This Row],[Web + APP 2025]]+Tabla22[[#This Row],[Afiliados 2025]]+Tabla22[[#This Row],[TMK 2025]]+Tabla22[[#This Row],[WA 2025]]+Tabla22[[#This Row],[Ent. en Tienda 2025]]</f>
        <v>4913401.3103448274</v>
      </c>
      <c r="AP234" s="19">
        <f>+Tabla22[[#This Row],[Meli Drop 2025]]+Tabla22[[#This Row],[Meli Full 2025]]+Tabla22[[#This Row],[Amazon Drop 2025]]+Tabla22[[#This Row],[Amazon Full 2025]]+Tabla22[[#This Row],[TikTok 2025]]+Tabla22[[#This Row],[Shein 2025]]</f>
        <v>995249.24137931038</v>
      </c>
    </row>
    <row r="235" spans="1:42" hidden="1" x14ac:dyDescent="0.3">
      <c r="A235" s="7">
        <v>45889</v>
      </c>
      <c r="B235" s="3">
        <f>+'BD MD'!B234</f>
        <v>46267625</v>
      </c>
      <c r="C235" s="3">
        <f t="shared" si="61"/>
        <v>5807236.9655172406</v>
      </c>
      <c r="D235" s="4">
        <f t="shared" si="66"/>
        <v>3.9997320146638385E-2</v>
      </c>
      <c r="E235" s="3"/>
      <c r="F235" s="7">
        <v>46254</v>
      </c>
      <c r="G235" s="3">
        <f>+Tabla22[[#This Row],[Meta Digital]]+Tabla22[[#This Row],[Meta MKPlace]]</f>
        <v>7681429.0450676037</v>
      </c>
      <c r="H235" s="3">
        <f>+Tabla2[[#This Row],[Meta Digital]]</f>
        <v>6021540.2589821108</v>
      </c>
      <c r="I235" s="3">
        <f>+Tabla2[[#This Row],[Meta MKPlace]]</f>
        <v>1659888.7860854929</v>
      </c>
      <c r="J235" s="3">
        <v>4567064</v>
      </c>
      <c r="K235" s="3"/>
      <c r="L235" s="3">
        <v>35700.862068965507</v>
      </c>
      <c r="M235" s="3"/>
      <c r="N235" s="3">
        <v>58510</v>
      </c>
      <c r="O235" s="3"/>
      <c r="P235" s="3">
        <v>15761</v>
      </c>
      <c r="Q235" s="3"/>
      <c r="R235" s="3">
        <v>230412</v>
      </c>
      <c r="S235" s="3"/>
      <c r="T235" s="3">
        <v>657997</v>
      </c>
      <c r="U235" s="3"/>
      <c r="V235" s="3">
        <v>205256</v>
      </c>
      <c r="W235" s="3"/>
      <c r="X235" s="3">
        <v>29971</v>
      </c>
      <c r="Y235" s="3"/>
      <c r="Z235" s="3">
        <v>4086</v>
      </c>
      <c r="AA235" s="3"/>
      <c r="AB235" s="3">
        <v>2479.1034482758623</v>
      </c>
      <c r="AC235" s="3"/>
      <c r="AD235" s="3">
        <v>0</v>
      </c>
      <c r="AE235" s="3"/>
      <c r="AF235" s="5">
        <f t="shared" si="58"/>
        <v>0</v>
      </c>
      <c r="AG235" s="4">
        <f t="shared" si="59"/>
        <v>0</v>
      </c>
      <c r="AH235" s="5">
        <f t="shared" si="60"/>
        <v>-7681429.0450676037</v>
      </c>
      <c r="AI235" s="17">
        <f t="shared" si="62"/>
        <v>-1</v>
      </c>
      <c r="AJ235" s="17">
        <f t="shared" si="63"/>
        <v>8.9991096339197302E-2</v>
      </c>
      <c r="AK235" s="14" t="e">
        <f t="shared" si="64"/>
        <v>#DIV/0!</v>
      </c>
      <c r="AL235" s="14">
        <f t="shared" si="65"/>
        <v>-1</v>
      </c>
      <c r="AO235" s="19">
        <f>+Tabla22[[#This Row],[Web + APP 2025]]+Tabla22[[#This Row],[Afiliados 2025]]+Tabla22[[#This Row],[TMK 2025]]+Tabla22[[#This Row],[WA 2025]]+Tabla22[[#This Row],[Ent. en Tienda 2025]]</f>
        <v>4907447.8620689651</v>
      </c>
      <c r="AP235" s="19">
        <f>+Tabla22[[#This Row],[Meli Drop 2025]]+Tabla22[[#This Row],[Meli Full 2025]]+Tabla22[[#This Row],[Amazon Drop 2025]]+Tabla22[[#This Row],[Amazon Full 2025]]+Tabla22[[#This Row],[TikTok 2025]]+Tabla22[[#This Row],[Shein 2025]]</f>
        <v>899789.10344827583</v>
      </c>
    </row>
    <row r="236" spans="1:42" hidden="1" x14ac:dyDescent="0.3">
      <c r="A236" s="63">
        <v>45890</v>
      </c>
      <c r="B236" s="3">
        <f>+'BD MD'!B235</f>
        <v>55157049</v>
      </c>
      <c r="C236" s="3">
        <f t="shared" si="61"/>
        <v>4963643.3103448264</v>
      </c>
      <c r="D236" s="4">
        <f t="shared" si="66"/>
        <v>3.4187072398878596E-2</v>
      </c>
      <c r="E236" s="3"/>
      <c r="F236" s="7">
        <v>46255</v>
      </c>
      <c r="G236" s="3">
        <f>+Tabla22[[#This Row],[Meta Digital]]+Tabla22[[#This Row],[Meta MKPlace]]</f>
        <v>6565579.1419977415</v>
      </c>
      <c r="H236" s="3">
        <f>+Tabla2[[#This Row],[Meta Digital]]</f>
        <v>5146815.6374442801</v>
      </c>
      <c r="I236" s="3">
        <f>+Tabla2[[#This Row],[Meta MKPlace]]</f>
        <v>1418763.5045534617</v>
      </c>
      <c r="J236" s="3">
        <v>3915278</v>
      </c>
      <c r="K236" s="3"/>
      <c r="L236" s="3">
        <v>41030.17241379308</v>
      </c>
      <c r="M236" s="3"/>
      <c r="N236" s="3">
        <v>35238</v>
      </c>
      <c r="O236" s="3"/>
      <c r="P236" s="3">
        <v>9197</v>
      </c>
      <c r="Q236" s="3"/>
      <c r="R236" s="3">
        <v>143792</v>
      </c>
      <c r="S236" s="3"/>
      <c r="T236" s="3">
        <v>605960</v>
      </c>
      <c r="U236" s="3"/>
      <c r="V236" s="3">
        <v>173300</v>
      </c>
      <c r="W236" s="3"/>
      <c r="X236" s="3">
        <v>28936</v>
      </c>
      <c r="Y236" s="3"/>
      <c r="Z236" s="3">
        <v>11397</v>
      </c>
      <c r="AA236" s="3"/>
      <c r="AB236" s="3">
        <v>203.06896551724134</v>
      </c>
      <c r="AC236" s="3"/>
      <c r="AD236" s="3">
        <v>-687.93103448275872</v>
      </c>
      <c r="AE236" s="3"/>
      <c r="AF236" s="5">
        <f t="shared" si="58"/>
        <v>0</v>
      </c>
      <c r="AG236" s="4">
        <f t="shared" si="59"/>
        <v>0</v>
      </c>
      <c r="AH236" s="5">
        <f t="shared" si="60"/>
        <v>-6565579.1419977415</v>
      </c>
      <c r="AI236" s="17">
        <f t="shared" si="62"/>
        <v>-1</v>
      </c>
      <c r="AJ236" s="17">
        <f t="shared" si="63"/>
        <v>7.3270472186961769E-2</v>
      </c>
      <c r="AK236" s="14" t="e">
        <f t="shared" si="64"/>
        <v>#DIV/0!</v>
      </c>
      <c r="AL236" s="14">
        <f t="shared" si="65"/>
        <v>-1</v>
      </c>
      <c r="AO236" s="19">
        <f>+Tabla22[[#This Row],[Web + APP 2025]]+Tabla22[[#This Row],[Afiliados 2025]]+Tabla22[[#This Row],[TMK 2025]]+Tabla22[[#This Row],[WA 2025]]+Tabla22[[#This Row],[Ent. en Tienda 2025]]</f>
        <v>4144535.1724137929</v>
      </c>
      <c r="AP236" s="19">
        <f>+Tabla22[[#This Row],[Meli Drop 2025]]+Tabla22[[#This Row],[Meli Full 2025]]+Tabla22[[#This Row],[Amazon Drop 2025]]+Tabla22[[#This Row],[Amazon Full 2025]]+Tabla22[[#This Row],[TikTok 2025]]+Tabla22[[#This Row],[Shein 2025]]</f>
        <v>819108.13793103443</v>
      </c>
    </row>
    <row r="237" spans="1:42" hidden="1" x14ac:dyDescent="0.3">
      <c r="A237" s="7">
        <v>45891</v>
      </c>
      <c r="B237" s="3">
        <f>+'BD MD'!B236</f>
        <v>54388306</v>
      </c>
      <c r="C237" s="3">
        <f t="shared" si="61"/>
        <v>3985056.8620689656</v>
      </c>
      <c r="D237" s="4">
        <f t="shared" si="66"/>
        <v>2.7447062357052247E-2</v>
      </c>
      <c r="E237" s="3"/>
      <c r="F237" s="7">
        <v>46256</v>
      </c>
      <c r="G237" s="3">
        <f>+Tabla22[[#This Row],[Meta Digital]]+Tabla22[[#This Row],[Meta MKPlace]]</f>
        <v>5271169.6988269966</v>
      </c>
      <c r="H237" s="3">
        <f>+Tabla2[[#This Row],[Meta Digital]]</f>
        <v>4132116.6110093282</v>
      </c>
      <c r="I237" s="3">
        <f>+Tabla2[[#This Row],[Meta MKPlace]]</f>
        <v>1139053.0878176682</v>
      </c>
      <c r="J237" s="3">
        <v>3000765</v>
      </c>
      <c r="K237" s="3"/>
      <c r="L237" s="3">
        <v>35025.862068965493</v>
      </c>
      <c r="M237" s="3"/>
      <c r="N237" s="3">
        <v>36025</v>
      </c>
      <c r="O237" s="3"/>
      <c r="P237" s="3">
        <v>6236</v>
      </c>
      <c r="Q237" s="3"/>
      <c r="R237" s="3">
        <v>178245</v>
      </c>
      <c r="S237" s="3"/>
      <c r="T237" s="3">
        <v>579403</v>
      </c>
      <c r="U237" s="3"/>
      <c r="V237" s="3">
        <v>113017</v>
      </c>
      <c r="W237" s="3"/>
      <c r="X237" s="3">
        <v>25208</v>
      </c>
      <c r="Y237" s="3"/>
      <c r="Z237" s="3">
        <v>11132</v>
      </c>
      <c r="AA237" s="3"/>
      <c r="AB237" s="3">
        <v>0</v>
      </c>
      <c r="AC237" s="3"/>
      <c r="AD237" s="3">
        <v>0</v>
      </c>
      <c r="AE237" s="3"/>
      <c r="AF237" s="5">
        <f t="shared" si="58"/>
        <v>0</v>
      </c>
      <c r="AG237" s="4">
        <f t="shared" si="59"/>
        <v>0</v>
      </c>
      <c r="AH237" s="5">
        <f t="shared" si="60"/>
        <v>-5271169.6988269966</v>
      </c>
      <c r="AI237" s="17">
        <f t="shared" si="62"/>
        <v>-1</v>
      </c>
      <c r="AJ237" s="17">
        <f t="shared" si="63"/>
        <v>5.8438289080454758E-2</v>
      </c>
      <c r="AK237" s="14" t="e">
        <f t="shared" si="64"/>
        <v>#DIV/0!</v>
      </c>
      <c r="AL237" s="14">
        <f t="shared" si="65"/>
        <v>-1</v>
      </c>
      <c r="AO237" s="19">
        <f>+Tabla22[[#This Row],[Web + APP 2025]]+Tabla22[[#This Row],[Afiliados 2025]]+Tabla22[[#This Row],[TMK 2025]]+Tabla22[[#This Row],[WA 2025]]+Tabla22[[#This Row],[Ent. en Tienda 2025]]</f>
        <v>3256296.8620689656</v>
      </c>
      <c r="AP237" s="19">
        <f>+Tabla22[[#This Row],[Meli Drop 2025]]+Tabla22[[#This Row],[Meli Full 2025]]+Tabla22[[#This Row],[Amazon Drop 2025]]+Tabla22[[#This Row],[Amazon Full 2025]]+Tabla22[[#This Row],[TikTok 2025]]+Tabla22[[#This Row],[Shein 2025]]</f>
        <v>728760</v>
      </c>
    </row>
    <row r="238" spans="1:42" hidden="1" x14ac:dyDescent="0.3">
      <c r="A238" s="63">
        <v>45892</v>
      </c>
      <c r="B238" s="3">
        <f>+'BD MD'!B237</f>
        <v>71145940</v>
      </c>
      <c r="C238" s="3">
        <f t="shared" si="61"/>
        <v>4157647.0086206896</v>
      </c>
      <c r="D238" s="4">
        <f t="shared" si="66"/>
        <v>2.8635776264677282E-2</v>
      </c>
      <c r="E238" s="3"/>
      <c r="F238" s="7">
        <v>46257</v>
      </c>
      <c r="G238" s="3">
        <f>+Tabla22[[#This Row],[Meta Digital]]+Tabla22[[#This Row],[Meta MKPlace]]</f>
        <v>5499460.531883575</v>
      </c>
      <c r="H238" s="3">
        <f>+Tabla2[[#This Row],[Meta Digital]]</f>
        <v>4311075.8168994682</v>
      </c>
      <c r="I238" s="3">
        <f>+Tabla2[[#This Row],[Meta MKPlace]]</f>
        <v>1188384.7149841073</v>
      </c>
      <c r="J238" s="3">
        <v>3117784</v>
      </c>
      <c r="K238" s="3"/>
      <c r="L238" s="3">
        <v>47162.931034482739</v>
      </c>
      <c r="M238" s="3"/>
      <c r="N238" s="3">
        <v>19293</v>
      </c>
      <c r="O238" s="3"/>
      <c r="P238" s="3">
        <v>5273</v>
      </c>
      <c r="Q238" s="3"/>
      <c r="R238" s="3">
        <v>203525</v>
      </c>
      <c r="S238" s="3"/>
      <c r="T238" s="3">
        <v>648055</v>
      </c>
      <c r="U238" s="3"/>
      <c r="V238" s="3">
        <v>76037</v>
      </c>
      <c r="W238" s="3"/>
      <c r="X238" s="3">
        <v>28466</v>
      </c>
      <c r="Y238" s="3"/>
      <c r="Z238" s="3">
        <v>11786</v>
      </c>
      <c r="AA238" s="3"/>
      <c r="AB238" s="3">
        <v>265.07758620689651</v>
      </c>
      <c r="AC238" s="3"/>
      <c r="AD238" s="3">
        <v>0</v>
      </c>
      <c r="AE238" s="3"/>
      <c r="AF238" s="5">
        <f t="shared" si="58"/>
        <v>0</v>
      </c>
      <c r="AG238" s="4">
        <f t="shared" si="59"/>
        <v>0</v>
      </c>
      <c r="AH238" s="5">
        <f t="shared" si="60"/>
        <v>-5499460.531883575</v>
      </c>
      <c r="AI238" s="17">
        <f t="shared" si="62"/>
        <v>-1</v>
      </c>
      <c r="AJ238" s="17">
        <f t="shared" si="63"/>
        <v>5.9965501535775588E-2</v>
      </c>
      <c r="AK238" s="14" t="e">
        <f t="shared" si="64"/>
        <v>#DIV/0!</v>
      </c>
      <c r="AL238" s="14">
        <f t="shared" si="65"/>
        <v>-1</v>
      </c>
      <c r="AO238" s="19">
        <f>+Tabla22[[#This Row],[Web + APP 2025]]+Tabla22[[#This Row],[Afiliados 2025]]+Tabla22[[#This Row],[TMK 2025]]+Tabla22[[#This Row],[WA 2025]]+Tabla22[[#This Row],[Ent. en Tienda 2025]]</f>
        <v>3393037.9310344825</v>
      </c>
      <c r="AP238" s="19">
        <f>+Tabla22[[#This Row],[Meli Drop 2025]]+Tabla22[[#This Row],[Meli Full 2025]]+Tabla22[[#This Row],[Amazon Drop 2025]]+Tabla22[[#This Row],[Amazon Full 2025]]+Tabla22[[#This Row],[TikTok 2025]]+Tabla22[[#This Row],[Shein 2025]]</f>
        <v>764609.07758620684</v>
      </c>
    </row>
    <row r="239" spans="1:42" hidden="1" x14ac:dyDescent="0.3">
      <c r="A239" s="7">
        <v>45893</v>
      </c>
      <c r="B239" s="3">
        <f>+'BD MD'!B238</f>
        <v>76021625</v>
      </c>
      <c r="C239" s="3">
        <f t="shared" si="61"/>
        <v>4558674.8706896557</v>
      </c>
      <c r="D239" s="4">
        <f t="shared" si="66"/>
        <v>3.1397853976012025E-2</v>
      </c>
      <c r="E239" s="3"/>
      <c r="F239" s="7">
        <v>46258</v>
      </c>
      <c r="G239" s="3">
        <f>+Tabla22[[#This Row],[Meta Digital]]+Tabla22[[#This Row],[Meta MKPlace]]</f>
        <v>6029913.6692136694</v>
      </c>
      <c r="H239" s="3">
        <f>+Tabla2[[#This Row],[Meta Digital]]</f>
        <v>4726902.7292091707</v>
      </c>
      <c r="I239" s="3">
        <f>+Tabla2[[#This Row],[Meta MKPlace]]</f>
        <v>1303010.9400044989</v>
      </c>
      <c r="J239" s="3">
        <v>3423344</v>
      </c>
      <c r="K239" s="3"/>
      <c r="L239" s="3">
        <v>43106.896551724109</v>
      </c>
      <c r="M239" s="3"/>
      <c r="N239" s="3">
        <v>5283</v>
      </c>
      <c r="O239" s="3"/>
      <c r="P239" s="3">
        <v>5236</v>
      </c>
      <c r="Q239" s="3"/>
      <c r="R239" s="3">
        <v>165029</v>
      </c>
      <c r="S239" s="3"/>
      <c r="T239" s="3">
        <v>757892</v>
      </c>
      <c r="U239" s="3"/>
      <c r="V239" s="3">
        <v>97355</v>
      </c>
      <c r="W239" s="3"/>
      <c r="X239" s="3">
        <v>44629</v>
      </c>
      <c r="Y239" s="3"/>
      <c r="Z239" s="3">
        <v>14410</v>
      </c>
      <c r="AA239" s="3"/>
      <c r="AB239" s="3">
        <v>2389.9741379310344</v>
      </c>
      <c r="AC239" s="3"/>
      <c r="AD239" s="3">
        <v>0</v>
      </c>
      <c r="AE239" s="3"/>
      <c r="AF239" s="5">
        <f t="shared" si="58"/>
        <v>0</v>
      </c>
      <c r="AG239" s="4">
        <f t="shared" si="59"/>
        <v>0</v>
      </c>
      <c r="AH239" s="5">
        <f t="shared" si="60"/>
        <v>-6029913.6692136694</v>
      </c>
      <c r="AI239" s="17">
        <f t="shared" si="62"/>
        <v>-1</v>
      </c>
      <c r="AJ239" s="17">
        <f t="shared" si="63"/>
        <v>0.13796057122414837</v>
      </c>
      <c r="AK239" s="14" t="e">
        <f t="shared" si="64"/>
        <v>#DIV/0!</v>
      </c>
      <c r="AL239" s="14">
        <f t="shared" si="65"/>
        <v>-1</v>
      </c>
      <c r="AO239" s="19">
        <f>+Tabla22[[#This Row],[Web + APP 2025]]+Tabla22[[#This Row],[Afiliados 2025]]+Tabla22[[#This Row],[TMK 2025]]+Tabla22[[#This Row],[WA 2025]]+Tabla22[[#This Row],[Ent. en Tienda 2025]]</f>
        <v>3641998.8965517241</v>
      </c>
      <c r="AP239" s="19">
        <f>+Tabla22[[#This Row],[Meli Drop 2025]]+Tabla22[[#This Row],[Meli Full 2025]]+Tabla22[[#This Row],[Amazon Drop 2025]]+Tabla22[[#This Row],[Amazon Full 2025]]+Tabla22[[#This Row],[TikTok 2025]]+Tabla22[[#This Row],[Shein 2025]]</f>
        <v>916675.97413793101</v>
      </c>
    </row>
    <row r="240" spans="1:42" hidden="1" x14ac:dyDescent="0.3">
      <c r="A240" s="63">
        <v>45894</v>
      </c>
      <c r="B240" s="3">
        <f>+'BD MD'!B239</f>
        <v>46309068</v>
      </c>
      <c r="C240" s="3">
        <f t="shared" si="61"/>
        <v>6388825.4741379302</v>
      </c>
      <c r="D240" s="4">
        <f t="shared" si="66"/>
        <v>4.4003008550785636E-2</v>
      </c>
      <c r="E240" s="3"/>
      <c r="F240" s="7">
        <v>46259</v>
      </c>
      <c r="G240" s="3">
        <f>+Tabla22[[#This Row],[Meta Digital]]+Tabla22[[#This Row],[Meta MKPlace]]</f>
        <v>8450715.8657920975</v>
      </c>
      <c r="H240" s="3">
        <f>+Tabla2[[#This Row],[Meta Digital]]</f>
        <v>6624591.0109344935</v>
      </c>
      <c r="I240" s="3">
        <f>+Tabla2[[#This Row],[Meta MKPlace]]</f>
        <v>1826124.8548576038</v>
      </c>
      <c r="J240" s="3">
        <v>5203886</v>
      </c>
      <c r="K240" s="3"/>
      <c r="L240" s="3">
        <v>38813.793103448261</v>
      </c>
      <c r="M240" s="3"/>
      <c r="N240" s="3">
        <v>56753</v>
      </c>
      <c r="O240" s="3"/>
      <c r="P240" s="3">
        <v>4215</v>
      </c>
      <c r="Q240" s="3"/>
      <c r="R240" s="3">
        <v>137354</v>
      </c>
      <c r="S240" s="3"/>
      <c r="T240" s="3">
        <v>801333</v>
      </c>
      <c r="U240" s="3"/>
      <c r="V240" s="3">
        <v>95156</v>
      </c>
      <c r="W240" s="3"/>
      <c r="X240" s="3">
        <v>42338</v>
      </c>
      <c r="Y240" s="3"/>
      <c r="Z240" s="3">
        <v>7580</v>
      </c>
      <c r="AA240" s="3"/>
      <c r="AB240" s="3">
        <v>1311.3362068965516</v>
      </c>
      <c r="AC240" s="3"/>
      <c r="AD240" s="3">
        <v>85.344827586206904</v>
      </c>
      <c r="AE240" s="3"/>
      <c r="AF240" s="5">
        <f t="shared" si="58"/>
        <v>0</v>
      </c>
      <c r="AG240" s="4">
        <f t="shared" si="59"/>
        <v>0</v>
      </c>
      <c r="AH240" s="5">
        <f t="shared" si="60"/>
        <v>-8450715.8657920975</v>
      </c>
      <c r="AI240" s="17">
        <f t="shared" si="62"/>
        <v>-1</v>
      </c>
      <c r="AJ240" s="17">
        <f t="shared" si="63"/>
        <v>0.13203218602369335</v>
      </c>
      <c r="AK240" s="14" t="e">
        <f t="shared" si="64"/>
        <v>#DIV/0!</v>
      </c>
      <c r="AL240" s="14">
        <f t="shared" si="65"/>
        <v>-1</v>
      </c>
      <c r="AO240" s="19">
        <f>+Tabla22[[#This Row],[Web + APP 2025]]+Tabla22[[#This Row],[Afiliados 2025]]+Tabla22[[#This Row],[TMK 2025]]+Tabla22[[#This Row],[WA 2025]]+Tabla22[[#This Row],[Ent. en Tienda 2025]]</f>
        <v>5441021.7931034481</v>
      </c>
      <c r="AP240" s="19">
        <f>+Tabla22[[#This Row],[Meli Drop 2025]]+Tabla22[[#This Row],[Meli Full 2025]]+Tabla22[[#This Row],[Amazon Drop 2025]]+Tabla22[[#This Row],[Amazon Full 2025]]+Tabla22[[#This Row],[TikTok 2025]]+Tabla22[[#This Row],[Shein 2025]]</f>
        <v>947803.68103448278</v>
      </c>
    </row>
    <row r="241" spans="1:42" hidden="1" x14ac:dyDescent="0.3">
      <c r="A241" s="7">
        <v>45895</v>
      </c>
      <c r="B241" s="3">
        <f>+'BD MD'!B240</f>
        <v>53790769</v>
      </c>
      <c r="C241" s="3">
        <f t="shared" si="61"/>
        <v>7102112.818965517</v>
      </c>
      <c r="D241" s="4">
        <f t="shared" si="66"/>
        <v>4.8915772134744802E-2</v>
      </c>
      <c r="E241" s="3"/>
      <c r="F241" s="7">
        <v>46260</v>
      </c>
      <c r="G241" s="3">
        <f>+Tabla22[[#This Row],[Meta Digital]]+Tabla22[[#This Row],[Meta MKPlace]]</f>
        <v>9394205.1982529368</v>
      </c>
      <c r="H241" s="3">
        <f>+Tabla2[[#This Row],[Meta Digital]]</f>
        <v>7364200.6546610277</v>
      </c>
      <c r="I241" s="3">
        <f>+Tabla2[[#This Row],[Meta MKPlace]]</f>
        <v>2030004.5435919093</v>
      </c>
      <c r="J241" s="3">
        <v>5685559</v>
      </c>
      <c r="K241" s="3"/>
      <c r="L241" s="3">
        <v>40163.793103448261</v>
      </c>
      <c r="M241" s="3"/>
      <c r="N241" s="3">
        <v>95169</v>
      </c>
      <c r="O241" s="3"/>
      <c r="P241" s="3">
        <v>522</v>
      </c>
      <c r="Q241" s="3"/>
      <c r="R241" s="3">
        <v>206180</v>
      </c>
      <c r="S241" s="3"/>
      <c r="T241" s="3">
        <v>931011</v>
      </c>
      <c r="U241" s="3"/>
      <c r="V241" s="3">
        <v>80136</v>
      </c>
      <c r="W241" s="3"/>
      <c r="X241" s="3">
        <v>46712</v>
      </c>
      <c r="Y241" s="3"/>
      <c r="Z241" s="3">
        <v>15753</v>
      </c>
      <c r="AA241" s="3"/>
      <c r="AB241" s="3">
        <v>992.37068965517233</v>
      </c>
      <c r="AC241" s="3"/>
      <c r="AD241" s="3">
        <v>-85.344827586206904</v>
      </c>
      <c r="AE241" s="3"/>
      <c r="AF241" s="5">
        <f t="shared" si="58"/>
        <v>0</v>
      </c>
      <c r="AG241" s="4">
        <f t="shared" si="59"/>
        <v>0</v>
      </c>
      <c r="AH241" s="5">
        <f t="shared" si="60"/>
        <v>-9394205.1982529368</v>
      </c>
      <c r="AI241" s="17">
        <f t="shared" si="62"/>
        <v>-1</v>
      </c>
      <c r="AJ241" s="17">
        <f t="shared" si="63"/>
        <v>0.10150305419382888</v>
      </c>
      <c r="AK241" s="14" t="e">
        <f t="shared" si="64"/>
        <v>#DIV/0!</v>
      </c>
      <c r="AL241" s="14">
        <f t="shared" si="65"/>
        <v>-1</v>
      </c>
      <c r="AO241" s="19">
        <f>+Tabla22[[#This Row],[Web + APP 2025]]+Tabla22[[#This Row],[Afiliados 2025]]+Tabla22[[#This Row],[TMK 2025]]+Tabla22[[#This Row],[WA 2025]]+Tabla22[[#This Row],[Ent. en Tienda 2025]]</f>
        <v>6027593.7931034481</v>
      </c>
      <c r="AP241" s="19">
        <f>+Tabla22[[#This Row],[Meli Drop 2025]]+Tabla22[[#This Row],[Meli Full 2025]]+Tabla22[[#This Row],[Amazon Drop 2025]]+Tabla22[[#This Row],[Amazon Full 2025]]+Tabla22[[#This Row],[TikTok 2025]]+Tabla22[[#This Row],[Shein 2025]]</f>
        <v>1074519.0258620689</v>
      </c>
    </row>
    <row r="242" spans="1:42" hidden="1" x14ac:dyDescent="0.3">
      <c r="A242" s="63">
        <v>45896</v>
      </c>
      <c r="B242" s="3">
        <f>+'BD MD'!B241</f>
        <v>56826362</v>
      </c>
      <c r="C242" s="3">
        <f t="shared" si="61"/>
        <v>5768049.3017241377</v>
      </c>
      <c r="D242" s="4">
        <f t="shared" si="66"/>
        <v>3.9727415277276475E-2</v>
      </c>
      <c r="E242" s="3"/>
      <c r="F242" s="7">
        <v>46261</v>
      </c>
      <c r="G242" s="3">
        <f>+Tabla22[[#This Row],[Meta Digital]]+Tabla22[[#This Row],[Meta MKPlace]]</f>
        <v>7629594.1947496133</v>
      </c>
      <c r="H242" s="3">
        <f>+Tabla2[[#This Row],[Meta Digital]]</f>
        <v>5980906.4607426394</v>
      </c>
      <c r="I242" s="3">
        <f>+Tabla2[[#This Row],[Meta MKPlace]]</f>
        <v>1648687.7340069737</v>
      </c>
      <c r="J242" s="3">
        <v>4516794</v>
      </c>
      <c r="K242" s="3"/>
      <c r="L242" s="3">
        <v>37898.275862068956</v>
      </c>
      <c r="M242" s="3"/>
      <c r="N242" s="3">
        <v>51151</v>
      </c>
      <c r="O242" s="3"/>
      <c r="P242" s="3">
        <v>2199</v>
      </c>
      <c r="Q242" s="3"/>
      <c r="R242" s="3">
        <v>144834</v>
      </c>
      <c r="S242" s="3"/>
      <c r="T242" s="3">
        <v>864251</v>
      </c>
      <c r="U242" s="3"/>
      <c r="V242" s="3">
        <v>85695</v>
      </c>
      <c r="W242" s="3"/>
      <c r="X242" s="3">
        <v>46707</v>
      </c>
      <c r="Y242" s="3"/>
      <c r="Z242" s="3">
        <v>16838</v>
      </c>
      <c r="AA242" s="3"/>
      <c r="AB242" s="3">
        <v>1079.4396551724139</v>
      </c>
      <c r="AC242" s="3"/>
      <c r="AD242" s="3">
        <v>602.58620689655174</v>
      </c>
      <c r="AE242" s="3"/>
      <c r="AF242" s="5">
        <f t="shared" si="58"/>
        <v>0</v>
      </c>
      <c r="AG242" s="4">
        <f t="shared" si="59"/>
        <v>0</v>
      </c>
      <c r="AH242" s="5">
        <f t="shared" si="60"/>
        <v>-7629594.1947496133</v>
      </c>
      <c r="AI242" s="17">
        <f t="shared" si="62"/>
        <v>-1</v>
      </c>
      <c r="AJ242" s="17">
        <f t="shared" si="63"/>
        <v>7.9307670032749036E-2</v>
      </c>
      <c r="AK242" s="14" t="e">
        <f t="shared" si="64"/>
        <v>#DIV/0!</v>
      </c>
      <c r="AL242" s="14">
        <f t="shared" si="65"/>
        <v>-1</v>
      </c>
      <c r="AO242" s="19">
        <f>+Tabla22[[#This Row],[Web + APP 2025]]+Tabla22[[#This Row],[Afiliados 2025]]+Tabla22[[#This Row],[TMK 2025]]+Tabla22[[#This Row],[WA 2025]]+Tabla22[[#This Row],[Ent. en Tienda 2025]]</f>
        <v>4752876.2758620689</v>
      </c>
      <c r="AP242" s="19">
        <f>+Tabla22[[#This Row],[Meli Drop 2025]]+Tabla22[[#This Row],[Meli Full 2025]]+Tabla22[[#This Row],[Amazon Drop 2025]]+Tabla22[[#This Row],[Amazon Full 2025]]+Tabla22[[#This Row],[TikTok 2025]]+Tabla22[[#This Row],[Shein 2025]]</f>
        <v>1015173.025862069</v>
      </c>
    </row>
    <row r="243" spans="1:42" hidden="1" x14ac:dyDescent="0.3">
      <c r="A243" s="7">
        <v>45897</v>
      </c>
      <c r="B243" s="3">
        <f>+'BD MD'!B242</f>
        <v>63734827</v>
      </c>
      <c r="C243" s="3">
        <f t="shared" si="61"/>
        <v>5054660.6293103443</v>
      </c>
      <c r="D243" s="4">
        <f t="shared" si="66"/>
        <v>3.4813953799993989E-2</v>
      </c>
      <c r="E243" s="3"/>
      <c r="F243" s="7">
        <v>46262</v>
      </c>
      <c r="G243" s="3">
        <f>+Tabla22[[#This Row],[Meta Digital]]+Tabla22[[#This Row],[Meta MKPlace]]</f>
        <v>6685970.8328581899</v>
      </c>
      <c r="H243" s="3">
        <f>+Tabla2[[#This Row],[Meta Digital]]</f>
        <v>5241191.7501584394</v>
      </c>
      <c r="I243" s="3">
        <f>+Tabla2[[#This Row],[Meta MKPlace]]</f>
        <v>1444779.0826997506</v>
      </c>
      <c r="J243" s="3">
        <v>3868560</v>
      </c>
      <c r="K243" s="3"/>
      <c r="L243" s="3">
        <v>31270.689655172402</v>
      </c>
      <c r="M243" s="3"/>
      <c r="N243" s="3">
        <v>38622</v>
      </c>
      <c r="O243" s="3"/>
      <c r="P243" s="3">
        <v>4537</v>
      </c>
      <c r="Q243" s="3"/>
      <c r="R243" s="3">
        <v>232069</v>
      </c>
      <c r="S243" s="3"/>
      <c r="T243" s="3">
        <v>646678</v>
      </c>
      <c r="U243" s="3"/>
      <c r="V243" s="3">
        <v>183692</v>
      </c>
      <c r="W243" s="3"/>
      <c r="X243" s="3">
        <v>35183</v>
      </c>
      <c r="Y243" s="3"/>
      <c r="Z243" s="3">
        <v>12747</v>
      </c>
      <c r="AA243" s="3"/>
      <c r="AB243" s="3">
        <v>1301.9396551724139</v>
      </c>
      <c r="AC243" s="3"/>
      <c r="AD243" s="3">
        <v>0</v>
      </c>
      <c r="AE243" s="3"/>
      <c r="AF243" s="5">
        <f t="shared" si="58"/>
        <v>0</v>
      </c>
      <c r="AG243" s="4">
        <f t="shared" si="59"/>
        <v>0</v>
      </c>
      <c r="AH243" s="5">
        <f t="shared" si="60"/>
        <v>-6685970.8328581899</v>
      </c>
      <c r="AI243" s="17">
        <f t="shared" si="62"/>
        <v>-1</v>
      </c>
      <c r="AJ243" s="17">
        <f t="shared" si="63"/>
        <v>7.0800431640461001E-2</v>
      </c>
      <c r="AK243" s="14" t="e">
        <f t="shared" si="64"/>
        <v>#DIV/0!</v>
      </c>
      <c r="AL243" s="14">
        <f t="shared" si="65"/>
        <v>-1</v>
      </c>
      <c r="AO243" s="19">
        <f>+Tabla22[[#This Row],[Web + APP 2025]]+Tabla22[[#This Row],[Afiliados 2025]]+Tabla22[[#This Row],[TMK 2025]]+Tabla22[[#This Row],[WA 2025]]+Tabla22[[#This Row],[Ent. en Tienda 2025]]</f>
        <v>4175058.6896551722</v>
      </c>
      <c r="AP243" s="19">
        <f>+Tabla22[[#This Row],[Meli Drop 2025]]+Tabla22[[#This Row],[Meli Full 2025]]+Tabla22[[#This Row],[Amazon Drop 2025]]+Tabla22[[#This Row],[Amazon Full 2025]]+Tabla22[[#This Row],[TikTok 2025]]+Tabla22[[#This Row],[Shein 2025]]</f>
        <v>879601.93965517241</v>
      </c>
    </row>
    <row r="244" spans="1:42" hidden="1" x14ac:dyDescent="0.3">
      <c r="A244" s="63">
        <v>45898</v>
      </c>
      <c r="B244" s="3">
        <f>+'BD MD'!B243</f>
        <v>65931437</v>
      </c>
      <c r="C244" s="3">
        <f t="shared" si="61"/>
        <v>4667974.1982758613</v>
      </c>
      <c r="D244" s="4">
        <f t="shared" si="66"/>
        <v>3.2150652634519737E-2</v>
      </c>
      <c r="E244" s="3"/>
      <c r="F244" s="7">
        <v>46263</v>
      </c>
      <c r="G244" s="3">
        <f>+Tabla22[[#This Row],[Meta Digital]]+Tabla22[[#This Row],[Meta MKPlace]]</f>
        <v>6174487.5921502318</v>
      </c>
      <c r="H244" s="3">
        <f>+Tabla2[[#This Row],[Meta Digital]]</f>
        <v>4840235.5078176623</v>
      </c>
      <c r="I244" s="3">
        <f>+Tabla2[[#This Row],[Meta MKPlace]]</f>
        <v>1334252.084332569</v>
      </c>
      <c r="J244" s="3">
        <v>3565076</v>
      </c>
      <c r="K244" s="3"/>
      <c r="L244" s="3">
        <v>41705.172413793094</v>
      </c>
      <c r="M244" s="3"/>
      <c r="N244" s="3">
        <v>58290</v>
      </c>
      <c r="O244" s="3"/>
      <c r="P244" s="3">
        <v>-1718</v>
      </c>
      <c r="Q244" s="3"/>
      <c r="R244" s="3">
        <v>175197</v>
      </c>
      <c r="S244" s="3"/>
      <c r="T244" s="3">
        <v>594390</v>
      </c>
      <c r="U244" s="3"/>
      <c r="V244" s="3">
        <v>186981</v>
      </c>
      <c r="W244" s="3"/>
      <c r="X244" s="3">
        <v>36599</v>
      </c>
      <c r="Y244" s="3"/>
      <c r="Z244" s="3">
        <v>9709</v>
      </c>
      <c r="AA244" s="3"/>
      <c r="AB244" s="3">
        <v>711.40517241379314</v>
      </c>
      <c r="AC244" s="3"/>
      <c r="AD244" s="3">
        <v>1033.6206896551726</v>
      </c>
      <c r="AE244" s="3"/>
      <c r="AF244" s="5">
        <f t="shared" si="58"/>
        <v>0</v>
      </c>
      <c r="AG244" s="4">
        <f t="shared" si="59"/>
        <v>0</v>
      </c>
      <c r="AH244" s="5">
        <f t="shared" si="60"/>
        <v>-6174487.5921502318</v>
      </c>
      <c r="AI244" s="17">
        <f t="shared" si="62"/>
        <v>-1</v>
      </c>
      <c r="AJ244" s="17">
        <f t="shared" si="63"/>
        <v>4.4352414290973051E-2</v>
      </c>
      <c r="AK244" s="14" t="e">
        <f t="shared" si="64"/>
        <v>#DIV/0!</v>
      </c>
      <c r="AL244" s="14">
        <f t="shared" si="65"/>
        <v>-1</v>
      </c>
      <c r="AO244" s="19">
        <f>+Tabla22[[#This Row],[Web + APP 2025]]+Tabla22[[#This Row],[Afiliados 2025]]+Tabla22[[#This Row],[TMK 2025]]+Tabla22[[#This Row],[WA 2025]]+Tabla22[[#This Row],[Ent. en Tienda 2025]]</f>
        <v>3838550.1724137929</v>
      </c>
      <c r="AP244" s="19">
        <f>+Tabla22[[#This Row],[Meli Drop 2025]]+Tabla22[[#This Row],[Meli Full 2025]]+Tabla22[[#This Row],[Amazon Drop 2025]]+Tabla22[[#This Row],[Amazon Full 2025]]+Tabla22[[#This Row],[TikTok 2025]]+Tabla22[[#This Row],[Shein 2025]]</f>
        <v>829424.02586206899</v>
      </c>
    </row>
    <row r="245" spans="1:42" hidden="1" x14ac:dyDescent="0.3">
      <c r="A245" s="7">
        <v>45899</v>
      </c>
      <c r="B245" s="3">
        <f>+'BD MD'!B244</f>
        <v>86172681</v>
      </c>
      <c r="C245" s="3">
        <f t="shared" si="61"/>
        <v>3821966.4482758618</v>
      </c>
      <c r="D245" s="4">
        <f t="shared" si="66"/>
        <v>2.6323777818800329E-2</v>
      </c>
      <c r="E245" s="3"/>
      <c r="F245" s="7">
        <v>46264</v>
      </c>
      <c r="G245" s="3">
        <f>+Tabla22[[#This Row],[Meta Digital]]+Tabla22[[#This Row],[Meta MKPlace]]</f>
        <v>5055444.484078357</v>
      </c>
      <c r="H245" s="3">
        <f>+Tabla2[[#This Row],[Meta Digital]]</f>
        <v>3963007.7045981437</v>
      </c>
      <c r="I245" s="3">
        <f>+Tabla2[[#This Row],[Meta MKPlace]]</f>
        <v>1092436.7794802138</v>
      </c>
      <c r="J245" s="3">
        <v>2504987</v>
      </c>
      <c r="K245" s="3"/>
      <c r="L245" s="3">
        <v>48545.689655172391</v>
      </c>
      <c r="M245" s="3"/>
      <c r="N245" s="3">
        <v>23754</v>
      </c>
      <c r="O245" s="3"/>
      <c r="P245" s="3">
        <v>1397</v>
      </c>
      <c r="Q245" s="3"/>
      <c r="R245" s="3">
        <v>164566</v>
      </c>
      <c r="S245" s="3"/>
      <c r="T245" s="3">
        <v>758218</v>
      </c>
      <c r="U245" s="3"/>
      <c r="V245" s="3">
        <v>270836</v>
      </c>
      <c r="W245" s="3"/>
      <c r="X245" s="3">
        <v>35654</v>
      </c>
      <c r="Y245" s="3"/>
      <c r="Z245" s="3">
        <v>13751</v>
      </c>
      <c r="AA245" s="3"/>
      <c r="AB245" s="3">
        <v>257.75862068965517</v>
      </c>
      <c r="AC245" s="3"/>
      <c r="AD245" s="3">
        <v>0</v>
      </c>
      <c r="AE245" s="3"/>
      <c r="AF245" s="5">
        <f t="shared" si="58"/>
        <v>0</v>
      </c>
      <c r="AG245" s="4">
        <f t="shared" si="59"/>
        <v>0</v>
      </c>
      <c r="AH245" s="5">
        <f t="shared" si="60"/>
        <v>-5055444.484078357</v>
      </c>
      <c r="AI245" s="17">
        <f t="shared" si="62"/>
        <v>-1</v>
      </c>
      <c r="AJ245" s="17">
        <f t="shared" si="63"/>
        <v>5.0402885896544694E-2</v>
      </c>
      <c r="AK245" s="14" t="e">
        <f t="shared" si="64"/>
        <v>#DIV/0!</v>
      </c>
      <c r="AL245" s="14">
        <f t="shared" si="65"/>
        <v>-1</v>
      </c>
      <c r="AO245" s="19">
        <f>+Tabla22[[#This Row],[Web + APP 2025]]+Tabla22[[#This Row],[Afiliados 2025]]+Tabla22[[#This Row],[TMK 2025]]+Tabla22[[#This Row],[WA 2025]]+Tabla22[[#This Row],[Ent. en Tienda 2025]]</f>
        <v>2743249.6896551722</v>
      </c>
      <c r="AP245" s="19">
        <f>+Tabla22[[#This Row],[Meli Drop 2025]]+Tabla22[[#This Row],[Meli Full 2025]]+Tabla22[[#This Row],[Amazon Drop 2025]]+Tabla22[[#This Row],[Amazon Full 2025]]+Tabla22[[#This Row],[TikTok 2025]]+Tabla22[[#This Row],[Shein 2025]]</f>
        <v>1078716.7586206896</v>
      </c>
    </row>
    <row r="246" spans="1:42" hidden="1" x14ac:dyDescent="0.3">
      <c r="A246" s="63">
        <v>45900</v>
      </c>
      <c r="B246" s="3">
        <f>+'BD MD'!B245</f>
        <v>82032386</v>
      </c>
      <c r="C246" s="3">
        <f t="shared" si="61"/>
        <v>4134668.9913793104</v>
      </c>
      <c r="D246" s="4">
        <f t="shared" si="66"/>
        <v>2.8477515267684099E-2</v>
      </c>
      <c r="E246" s="3"/>
      <c r="F246" s="7">
        <v>46265</v>
      </c>
      <c r="G246" s="3">
        <f>+Tabla22[[#This Row],[Meta Digital]]+Tabla22[[#This Row],[Meta MKPlace]]</f>
        <v>5469066.7301351605</v>
      </c>
      <c r="H246" s="3">
        <f>+Tabla2[[#This Row],[Meta Digital]]</f>
        <v>4287249.8465262707</v>
      </c>
      <c r="I246" s="3">
        <f>+Tabla2[[#This Row],[Meta MKPlace]]</f>
        <v>1181816.88360889</v>
      </c>
      <c r="J246" s="3">
        <v>2787596</v>
      </c>
      <c r="K246" s="3"/>
      <c r="L246" s="3">
        <v>44080.172413793087</v>
      </c>
      <c r="M246" s="3"/>
      <c r="N246" s="3">
        <v>9613</v>
      </c>
      <c r="O246" s="3"/>
      <c r="P246" s="3">
        <v>3315</v>
      </c>
      <c r="Q246" s="3"/>
      <c r="R246" s="3">
        <v>201703</v>
      </c>
      <c r="S246" s="3"/>
      <c r="T246" s="3">
        <v>650854</v>
      </c>
      <c r="U246" s="3"/>
      <c r="V246" s="3">
        <v>373478</v>
      </c>
      <c r="W246" s="3"/>
      <c r="X246" s="3">
        <v>47088</v>
      </c>
      <c r="Y246" s="3"/>
      <c r="Z246" s="3">
        <v>16121</v>
      </c>
      <c r="AA246" s="3"/>
      <c r="AB246" s="3">
        <v>820.81896551724139</v>
      </c>
      <c r="AC246" s="3"/>
      <c r="AD246" s="3">
        <v>0</v>
      </c>
      <c r="AE246" s="3"/>
      <c r="AF246" s="5">
        <f t="shared" si="58"/>
        <v>0</v>
      </c>
      <c r="AG246" s="4">
        <f t="shared" si="59"/>
        <v>0</v>
      </c>
      <c r="AH246" s="5">
        <f t="shared" si="60"/>
        <v>-5469066.7301351605</v>
      </c>
      <c r="AI246" s="17">
        <f t="shared" si="62"/>
        <v>-1</v>
      </c>
      <c r="AJ246" s="17">
        <f t="shared" si="63"/>
        <v>0.15768335110555873</v>
      </c>
      <c r="AK246" s="14" t="e">
        <f t="shared" si="64"/>
        <v>#DIV/0!</v>
      </c>
      <c r="AL246" s="14">
        <f t="shared" si="65"/>
        <v>-1</v>
      </c>
      <c r="AO246" s="19">
        <f>+Tabla22[[#This Row],[Web + APP 2025]]+Tabla22[[#This Row],[Afiliados 2025]]+Tabla22[[#This Row],[TMK 2025]]+Tabla22[[#This Row],[WA 2025]]+Tabla22[[#This Row],[Ent. en Tienda 2025]]</f>
        <v>3046307.1724137929</v>
      </c>
      <c r="AP246" s="19">
        <f>+Tabla22[[#This Row],[Meli Drop 2025]]+Tabla22[[#This Row],[Meli Full 2025]]+Tabla22[[#This Row],[Amazon Drop 2025]]+Tabla22[[#This Row],[Amazon Full 2025]]+Tabla22[[#This Row],[TikTok 2025]]+Tabla22[[#This Row],[Shein 2025]]</f>
        <v>1088361.8189655172</v>
      </c>
    </row>
    <row r="247" spans="1:42" hidden="1" x14ac:dyDescent="0.3">
      <c r="A247" s="7">
        <v>45901</v>
      </c>
      <c r="B247" s="3">
        <f>+'BD MD'!B246</f>
        <v>31649055</v>
      </c>
      <c r="C247" s="3">
        <f t="shared" si="61"/>
        <v>4990529.0517241387</v>
      </c>
      <c r="D247" s="4">
        <f>+C247/(SUM($C$247:$C$276))</f>
        <v>4.3286377238336768E-2</v>
      </c>
      <c r="E247" s="3"/>
      <c r="F247" s="7">
        <v>46266</v>
      </c>
      <c r="G247" s="3">
        <f>+Tabla22[[#This Row],[Meta Digital]]+Tabla22[[#This Row],[Meta MKPlace]]</f>
        <v>6603751.4121958017</v>
      </c>
      <c r="H247" s="3">
        <f>+Tabla2[[#This Row],[Meta Digital]]</f>
        <v>5231573.2537405258</v>
      </c>
      <c r="I247" s="3">
        <f>+Tabla2[[#This Row],[Meta MKPlace]]</f>
        <v>1372178.1584552755</v>
      </c>
      <c r="J247" s="3">
        <v>3909270</v>
      </c>
      <c r="K247" s="3"/>
      <c r="L247" s="3">
        <v>26356.89655172413</v>
      </c>
      <c r="M247" s="3"/>
      <c r="N247" s="3">
        <v>17828</v>
      </c>
      <c r="O247" s="3"/>
      <c r="P247" s="3">
        <v>10082</v>
      </c>
      <c r="Q247" s="3"/>
      <c r="R247" s="3">
        <v>117359</v>
      </c>
      <c r="S247" s="3"/>
      <c r="T247" s="3">
        <v>480576</v>
      </c>
      <c r="U247" s="3"/>
      <c r="V247" s="3">
        <v>371920</v>
      </c>
      <c r="W247" s="3"/>
      <c r="X247" s="3">
        <v>38723</v>
      </c>
      <c r="Y247" s="3"/>
      <c r="Z247" s="3">
        <v>18027</v>
      </c>
      <c r="AA247" s="3"/>
      <c r="AB247" s="3">
        <v>387.15517241379314</v>
      </c>
      <c r="AC247" s="3"/>
      <c r="AD247" s="3">
        <v>0</v>
      </c>
      <c r="AE247" s="3"/>
      <c r="AF247" s="5">
        <f t="shared" si="58"/>
        <v>0</v>
      </c>
      <c r="AG247" s="4">
        <f t="shared" si="59"/>
        <v>0</v>
      </c>
      <c r="AH247" s="5">
        <f t="shared" si="60"/>
        <v>-6603751.4121958017</v>
      </c>
      <c r="AI247" s="17">
        <f t="shared" si="62"/>
        <v>-1</v>
      </c>
      <c r="AJ247" s="17">
        <f t="shared" si="63"/>
        <v>0.15300029120124151</v>
      </c>
      <c r="AK247" s="14" t="e">
        <f t="shared" si="64"/>
        <v>#DIV/0!</v>
      </c>
      <c r="AL247" s="14">
        <f t="shared" si="65"/>
        <v>-1</v>
      </c>
      <c r="AO247" s="19">
        <f>+Tabla22[[#This Row],[Web + APP 2025]]+Tabla22[[#This Row],[Afiliados 2025]]+Tabla22[[#This Row],[TMK 2025]]+Tabla22[[#This Row],[WA 2025]]+Tabla22[[#This Row],[Ent. en Tienda 2025]]</f>
        <v>4080895.8965517241</v>
      </c>
      <c r="AP247" s="19">
        <f>+Tabla22[[#This Row],[Meli Drop 2025]]+Tabla22[[#This Row],[Meli Full 2025]]+Tabla22[[#This Row],[Amazon Drop 2025]]+Tabla22[[#This Row],[Amazon Full 2025]]+Tabla22[[#This Row],[TikTok 2025]]+Tabla22[[#This Row],[Shein 2025]]</f>
        <v>909633.1551724138</v>
      </c>
    </row>
    <row r="248" spans="1:42" hidden="1" x14ac:dyDescent="0.3">
      <c r="A248" s="63">
        <v>45902</v>
      </c>
      <c r="B248" s="3">
        <f>+'BD MD'!B247</f>
        <v>30778336</v>
      </c>
      <c r="C248" s="3">
        <f t="shared" si="61"/>
        <v>4709094.3706896547</v>
      </c>
      <c r="D248" s="4">
        <f t="shared" ref="D248:D276" si="67">+C248/(SUM($C$247:$C$276))</f>
        <v>4.084529581291136E-2</v>
      </c>
      <c r="E248" s="3"/>
      <c r="F248" s="7">
        <v>46267</v>
      </c>
      <c r="G248" s="3">
        <f>+Tabla22[[#This Row],[Meta Digital]]+Tabla22[[#This Row],[Meta MKPlace]]</f>
        <v>6231341.0618983191</v>
      </c>
      <c r="H248" s="3">
        <f>+Tabla2[[#This Row],[Meta Digital]]</f>
        <v>4936545.1846290287</v>
      </c>
      <c r="I248" s="3">
        <f>+Tabla2[[#This Row],[Meta MKPlace]]</f>
        <v>1294795.8772692902</v>
      </c>
      <c r="J248" s="3">
        <v>3732813</v>
      </c>
      <c r="K248" s="3"/>
      <c r="L248" s="3">
        <v>28554.31034482758</v>
      </c>
      <c r="M248" s="3"/>
      <c r="N248" s="3">
        <v>44084</v>
      </c>
      <c r="O248" s="3"/>
      <c r="P248" s="3">
        <v>7771</v>
      </c>
      <c r="Q248" s="3"/>
      <c r="R248" s="3">
        <v>118806</v>
      </c>
      <c r="S248" s="3"/>
      <c r="T248" s="3">
        <v>643534</v>
      </c>
      <c r="U248" s="3"/>
      <c r="V248" s="3">
        <v>90021</v>
      </c>
      <c r="W248" s="3"/>
      <c r="X248" s="3">
        <v>39947</v>
      </c>
      <c r="Y248" s="3"/>
      <c r="Z248" s="3">
        <v>2996</v>
      </c>
      <c r="AA248" s="3"/>
      <c r="AB248" s="3">
        <v>568.06034482758628</v>
      </c>
      <c r="AC248" s="3"/>
      <c r="AD248" s="3">
        <v>0</v>
      </c>
      <c r="AE248" s="3"/>
      <c r="AF248" s="5">
        <f t="shared" si="58"/>
        <v>0</v>
      </c>
      <c r="AG248" s="4">
        <f t="shared" si="59"/>
        <v>0</v>
      </c>
      <c r="AH248" s="5">
        <f t="shared" si="60"/>
        <v>-6231341.0618983191</v>
      </c>
      <c r="AI248" s="17">
        <f t="shared" si="62"/>
        <v>-1</v>
      </c>
      <c r="AJ248" s="17">
        <f t="shared" si="63"/>
        <v>0.1299459143191399</v>
      </c>
      <c r="AK248" s="14" t="e">
        <f t="shared" si="64"/>
        <v>#DIV/0!</v>
      </c>
      <c r="AL248" s="14">
        <f t="shared" si="65"/>
        <v>-1</v>
      </c>
      <c r="AO248" s="19">
        <f>+Tabla22[[#This Row],[Web + APP 2025]]+Tabla22[[#This Row],[Afiliados 2025]]+Tabla22[[#This Row],[TMK 2025]]+Tabla22[[#This Row],[WA 2025]]+Tabla22[[#This Row],[Ent. en Tienda 2025]]</f>
        <v>3932028.3103448274</v>
      </c>
      <c r="AP248" s="19">
        <f>+Tabla22[[#This Row],[Meli Drop 2025]]+Tabla22[[#This Row],[Meli Full 2025]]+Tabla22[[#This Row],[Amazon Drop 2025]]+Tabla22[[#This Row],[Amazon Full 2025]]+Tabla22[[#This Row],[TikTok 2025]]+Tabla22[[#This Row],[Shein 2025]]</f>
        <v>777066.06034482759</v>
      </c>
    </row>
    <row r="249" spans="1:42" hidden="1" x14ac:dyDescent="0.3">
      <c r="A249" s="7">
        <v>45903</v>
      </c>
      <c r="B249" s="3">
        <f>+'BD MD'!B248</f>
        <v>33293451</v>
      </c>
      <c r="C249" s="3">
        <f t="shared" si="61"/>
        <v>4326347.931034483</v>
      </c>
      <c r="D249" s="4">
        <f t="shared" si="67"/>
        <v>3.7525466071048584E-2</v>
      </c>
      <c r="E249" s="3"/>
      <c r="F249" s="7">
        <v>46268</v>
      </c>
      <c r="G249" s="3">
        <f>+Tabla22[[#This Row],[Meta Digital]]+Tabla22[[#This Row],[Meta MKPlace]]</f>
        <v>5724869.2399353702</v>
      </c>
      <c r="H249" s="3">
        <f>+Tabla2[[#This Row],[Meta Digital]]</f>
        <v>4535311.96548313</v>
      </c>
      <c r="I249" s="3">
        <f>+Tabla2[[#This Row],[Meta MKPlace]]</f>
        <v>1189557.2744522402</v>
      </c>
      <c r="J249" s="3">
        <v>3629418</v>
      </c>
      <c r="K249" s="3"/>
      <c r="L249" s="3">
        <v>23437.93103448275</v>
      </c>
      <c r="M249" s="3"/>
      <c r="N249" s="3">
        <v>67723</v>
      </c>
      <c r="O249" s="3"/>
      <c r="P249" s="3">
        <v>4425</v>
      </c>
      <c r="Q249" s="3"/>
      <c r="R249" s="3">
        <v>116334</v>
      </c>
      <c r="S249" s="3"/>
      <c r="T249" s="3">
        <v>10115</v>
      </c>
      <c r="U249" s="3"/>
      <c r="V249" s="3">
        <v>447014</v>
      </c>
      <c r="W249" s="3"/>
      <c r="X249" s="3">
        <v>12385</v>
      </c>
      <c r="Y249" s="3"/>
      <c r="Z249" s="3">
        <v>15496</v>
      </c>
      <c r="AA249" s="3"/>
      <c r="AB249" s="3">
        <v>0</v>
      </c>
      <c r="AC249" s="3"/>
      <c r="AD249" s="3">
        <v>0</v>
      </c>
      <c r="AE249" s="3"/>
      <c r="AF249" s="5">
        <f t="shared" si="58"/>
        <v>0</v>
      </c>
      <c r="AG249" s="4">
        <f t="shared" si="59"/>
        <v>0</v>
      </c>
      <c r="AH249" s="5">
        <f t="shared" si="60"/>
        <v>-5724869.2399353702</v>
      </c>
      <c r="AI249" s="17">
        <f t="shared" si="62"/>
        <v>-1</v>
      </c>
      <c r="AJ249" s="17">
        <f t="shared" si="63"/>
        <v>0.12591500493416294</v>
      </c>
      <c r="AK249" s="14" t="e">
        <f t="shared" si="64"/>
        <v>#DIV/0!</v>
      </c>
      <c r="AL249" s="14">
        <f t="shared" si="65"/>
        <v>-1</v>
      </c>
      <c r="AO249" s="19">
        <f>+Tabla22[[#This Row],[Web + APP 2025]]+Tabla22[[#This Row],[Afiliados 2025]]+Tabla22[[#This Row],[TMK 2025]]+Tabla22[[#This Row],[WA 2025]]+Tabla22[[#This Row],[Ent. en Tienda 2025]]</f>
        <v>3841337.9310344825</v>
      </c>
      <c r="AP249" s="19">
        <f>+Tabla22[[#This Row],[Meli Drop 2025]]+Tabla22[[#This Row],[Meli Full 2025]]+Tabla22[[#This Row],[Amazon Drop 2025]]+Tabla22[[#This Row],[Amazon Full 2025]]+Tabla22[[#This Row],[TikTok 2025]]+Tabla22[[#This Row],[Shein 2025]]</f>
        <v>485010</v>
      </c>
    </row>
    <row r="250" spans="1:42" hidden="1" x14ac:dyDescent="0.3">
      <c r="A250" s="63">
        <v>45904</v>
      </c>
      <c r="B250" s="3">
        <f>+'BD MD'!B249</f>
        <v>38630666</v>
      </c>
      <c r="C250" s="3">
        <f t="shared" si="61"/>
        <v>4864180.5</v>
      </c>
      <c r="D250" s="4">
        <f t="shared" si="67"/>
        <v>4.2190467162117683E-2</v>
      </c>
      <c r="E250" s="3"/>
      <c r="F250" s="7">
        <v>46269</v>
      </c>
      <c r="G250" s="3">
        <f>+Tabla22[[#This Row],[Meta Digital]]+Tabla22[[#This Row],[Meta MKPlace]]</f>
        <v>6436559.8342630146</v>
      </c>
      <c r="H250" s="3">
        <f>+Tabla2[[#This Row],[Meta Digital]]</f>
        <v>5099122.0252238838</v>
      </c>
      <c r="I250" s="3">
        <f>+Tabla2[[#This Row],[Meta MKPlace]]</f>
        <v>1337437.8090391306</v>
      </c>
      <c r="J250" s="3">
        <v>3079282</v>
      </c>
      <c r="K250" s="3"/>
      <c r="L250" s="3">
        <v>38493.965517241362</v>
      </c>
      <c r="M250" s="3"/>
      <c r="N250" s="3">
        <v>37107</v>
      </c>
      <c r="O250" s="3"/>
      <c r="P250" s="3">
        <v>8353</v>
      </c>
      <c r="Q250" s="3"/>
      <c r="R250" s="3">
        <v>163184</v>
      </c>
      <c r="S250" s="3"/>
      <c r="T250" s="3">
        <v>1235813</v>
      </c>
      <c r="U250" s="3"/>
      <c r="V250" s="3">
        <v>273796</v>
      </c>
      <c r="W250" s="3"/>
      <c r="X250" s="3">
        <v>18920</v>
      </c>
      <c r="Y250" s="3"/>
      <c r="Z250" s="3">
        <v>8328</v>
      </c>
      <c r="AA250" s="3"/>
      <c r="AB250" s="3">
        <v>903.53448275862081</v>
      </c>
      <c r="AC250" s="3"/>
      <c r="AD250" s="3">
        <v>0</v>
      </c>
      <c r="AE250" s="3"/>
      <c r="AF250" s="5">
        <f t="shared" si="58"/>
        <v>0</v>
      </c>
      <c r="AG250" s="4">
        <f t="shared" si="59"/>
        <v>0</v>
      </c>
      <c r="AH250" s="5">
        <f t="shared" si="60"/>
        <v>-6436559.8342630146</v>
      </c>
      <c r="AI250" s="17">
        <f t="shared" si="62"/>
        <v>-1</v>
      </c>
      <c r="AJ250" s="17">
        <f t="shared" si="63"/>
        <v>8.2692712065836713E-2</v>
      </c>
      <c r="AK250" s="14" t="e">
        <f t="shared" si="64"/>
        <v>#DIV/0!</v>
      </c>
      <c r="AL250" s="14">
        <f t="shared" si="65"/>
        <v>-1</v>
      </c>
      <c r="AO250" s="19">
        <f>+Tabla22[[#This Row],[Web + APP 2025]]+Tabla22[[#This Row],[Afiliados 2025]]+Tabla22[[#This Row],[TMK 2025]]+Tabla22[[#This Row],[WA 2025]]+Tabla22[[#This Row],[Ent. en Tienda 2025]]</f>
        <v>3326419.9655172415</v>
      </c>
      <c r="AP250" s="19">
        <f>+Tabla22[[#This Row],[Meli Drop 2025]]+Tabla22[[#This Row],[Meli Full 2025]]+Tabla22[[#This Row],[Amazon Drop 2025]]+Tabla22[[#This Row],[Amazon Full 2025]]+Tabla22[[#This Row],[TikTok 2025]]+Tabla22[[#This Row],[Shein 2025]]</f>
        <v>1537760.5344827587</v>
      </c>
    </row>
    <row r="251" spans="1:42" hidden="1" x14ac:dyDescent="0.3">
      <c r="A251" s="7">
        <v>45905</v>
      </c>
      <c r="B251" s="3">
        <f>+'BD MD'!B250</f>
        <v>37424855</v>
      </c>
      <c r="C251" s="3">
        <f t="shared" si="61"/>
        <v>3094762.7586206896</v>
      </c>
      <c r="D251" s="4">
        <f t="shared" si="67"/>
        <v>2.6843059492165419E-2</v>
      </c>
      <c r="E251" s="3"/>
      <c r="F251" s="7">
        <v>46270</v>
      </c>
      <c r="G251" s="3">
        <f>+Tabla22[[#This Row],[Meta Digital]]+Tabla22[[#This Row],[Meta MKPlace]]</f>
        <v>4095165.8082406549</v>
      </c>
      <c r="H251" s="3">
        <f>+Tabla2[[#This Row],[Meta Digital]]</f>
        <v>3244240.8223390114</v>
      </c>
      <c r="I251" s="3">
        <f>+Tabla2[[#This Row],[Meta MKPlace]]</f>
        <v>850924.98590164375</v>
      </c>
      <c r="J251" s="3">
        <v>2474103</v>
      </c>
      <c r="K251" s="3"/>
      <c r="L251" s="3">
        <v>30516.379310344815</v>
      </c>
      <c r="M251" s="3"/>
      <c r="N251" s="3">
        <v>25936</v>
      </c>
      <c r="O251" s="3"/>
      <c r="P251" s="3">
        <v>835</v>
      </c>
      <c r="Q251" s="3"/>
      <c r="R251" s="3">
        <v>99472</v>
      </c>
      <c r="S251" s="3"/>
      <c r="T251" s="3">
        <v>184786</v>
      </c>
      <c r="U251" s="3"/>
      <c r="V251" s="3">
        <v>246588</v>
      </c>
      <c r="W251" s="3"/>
      <c r="X251" s="3">
        <v>23810</v>
      </c>
      <c r="Y251" s="3"/>
      <c r="Z251" s="3">
        <v>7925</v>
      </c>
      <c r="AA251" s="3"/>
      <c r="AB251" s="3">
        <v>791.37931034482767</v>
      </c>
      <c r="AC251" s="3"/>
      <c r="AD251" s="3">
        <v>0</v>
      </c>
      <c r="AE251" s="3"/>
      <c r="AF251" s="5">
        <f t="shared" si="58"/>
        <v>0</v>
      </c>
      <c r="AG251" s="4">
        <f t="shared" si="59"/>
        <v>0</v>
      </c>
      <c r="AH251" s="5">
        <f t="shared" si="60"/>
        <v>-4095165.8082406549</v>
      </c>
      <c r="AI251" s="17">
        <f t="shared" si="62"/>
        <v>-1</v>
      </c>
      <c r="AJ251" s="17">
        <f t="shared" si="63"/>
        <v>6.4616742143880274E-2</v>
      </c>
      <c r="AK251" s="14" t="e">
        <f t="shared" si="64"/>
        <v>#DIV/0!</v>
      </c>
      <c r="AL251" s="14">
        <f t="shared" si="65"/>
        <v>-1</v>
      </c>
      <c r="AO251" s="19">
        <f>+Tabla22[[#This Row],[Web + APP 2025]]+Tabla22[[#This Row],[Afiliados 2025]]+Tabla22[[#This Row],[TMK 2025]]+Tabla22[[#This Row],[WA 2025]]+Tabla22[[#This Row],[Ent. en Tienda 2025]]</f>
        <v>2630862.3793103448</v>
      </c>
      <c r="AP251" s="19">
        <f>+Tabla22[[#This Row],[Meli Drop 2025]]+Tabla22[[#This Row],[Meli Full 2025]]+Tabla22[[#This Row],[Amazon Drop 2025]]+Tabla22[[#This Row],[Amazon Full 2025]]+Tabla22[[#This Row],[TikTok 2025]]+Tabla22[[#This Row],[Shein 2025]]</f>
        <v>463900.37931034481</v>
      </c>
    </row>
    <row r="252" spans="1:42" hidden="1" x14ac:dyDescent="0.3">
      <c r="A252" s="63">
        <v>45906</v>
      </c>
      <c r="B252" s="3">
        <f>+'BD MD'!B251</f>
        <v>54832854</v>
      </c>
      <c r="C252" s="3">
        <f t="shared" si="61"/>
        <v>3543120.387931034</v>
      </c>
      <c r="D252" s="4">
        <f t="shared" si="67"/>
        <v>3.0731981343709171E-2</v>
      </c>
      <c r="E252" s="3"/>
      <c r="F252" s="7">
        <v>46271</v>
      </c>
      <c r="G252" s="3">
        <f>+Tabla22[[#This Row],[Meta Digital]]+Tabla22[[#This Row],[Meta MKPlace]]</f>
        <v>4688458.081873253</v>
      </c>
      <c r="H252" s="3">
        <f>+Tabla2[[#This Row],[Meta Digital]]</f>
        <v>3714254.2732776725</v>
      </c>
      <c r="I252" s="3">
        <f>+Tabla2[[#This Row],[Meta MKPlace]]</f>
        <v>974203.80859558075</v>
      </c>
      <c r="J252" s="3">
        <v>2230610</v>
      </c>
      <c r="K252" s="3"/>
      <c r="L252" s="3">
        <v>36679.310344827565</v>
      </c>
      <c r="M252" s="3"/>
      <c r="N252" s="3">
        <v>4751</v>
      </c>
      <c r="O252" s="3"/>
      <c r="P252" s="3">
        <v>697</v>
      </c>
      <c r="Q252" s="3"/>
      <c r="R252" s="3">
        <v>100445</v>
      </c>
      <c r="S252" s="3"/>
      <c r="T252" s="3">
        <v>869801</v>
      </c>
      <c r="U252" s="3"/>
      <c r="V252" s="3">
        <v>263561</v>
      </c>
      <c r="W252" s="3"/>
      <c r="X252" s="3">
        <v>29692</v>
      </c>
      <c r="Y252" s="3"/>
      <c r="Z252" s="3">
        <v>3281</v>
      </c>
      <c r="AA252" s="3"/>
      <c r="AB252" s="3">
        <v>1880.6637931034484</v>
      </c>
      <c r="AC252" s="3"/>
      <c r="AD252" s="3">
        <v>1722.4137931034484</v>
      </c>
      <c r="AE252" s="3"/>
      <c r="AF252" s="5">
        <f t="shared" si="58"/>
        <v>0</v>
      </c>
      <c r="AG252" s="4">
        <f t="shared" si="59"/>
        <v>0</v>
      </c>
      <c r="AH252" s="5">
        <f t="shared" si="60"/>
        <v>-4688458.081873253</v>
      </c>
      <c r="AI252" s="17">
        <f t="shared" si="62"/>
        <v>-1</v>
      </c>
      <c r="AJ252" s="17">
        <f t="shared" si="63"/>
        <v>6.8416432664436949E-2</v>
      </c>
      <c r="AK252" s="14" t="e">
        <f t="shared" si="64"/>
        <v>#DIV/0!</v>
      </c>
      <c r="AL252" s="14">
        <f t="shared" si="65"/>
        <v>-1</v>
      </c>
      <c r="AO252" s="19">
        <f>+Tabla22[[#This Row],[Web + APP 2025]]+Tabla22[[#This Row],[Afiliados 2025]]+Tabla22[[#This Row],[TMK 2025]]+Tabla22[[#This Row],[WA 2025]]+Tabla22[[#This Row],[Ent. en Tienda 2025]]</f>
        <v>2373182.3103448274</v>
      </c>
      <c r="AP252" s="19">
        <f>+Tabla22[[#This Row],[Meli Drop 2025]]+Tabla22[[#This Row],[Meli Full 2025]]+Tabla22[[#This Row],[Amazon Drop 2025]]+Tabla22[[#This Row],[Amazon Full 2025]]+Tabla22[[#This Row],[TikTok 2025]]+Tabla22[[#This Row],[Shein 2025]]</f>
        <v>1169938.0775862071</v>
      </c>
    </row>
    <row r="253" spans="1:42" hidden="1" x14ac:dyDescent="0.3">
      <c r="A253" s="7">
        <v>45907</v>
      </c>
      <c r="B253" s="3">
        <f>+'BD MD'!B252</f>
        <v>54084046</v>
      </c>
      <c r="C253" s="3">
        <f t="shared" si="61"/>
        <v>3700237.4913793104</v>
      </c>
      <c r="D253" s="4">
        <f t="shared" si="67"/>
        <v>3.2094768763633562E-2</v>
      </c>
      <c r="E253" s="3"/>
      <c r="F253" s="7">
        <v>46272</v>
      </c>
      <c r="G253" s="3">
        <f>+Tabla22[[#This Row],[Meta Digital]]+Tabla22[[#This Row],[Meta MKPlace]]</f>
        <v>4896364.3545395164</v>
      </c>
      <c r="H253" s="3">
        <f>+Tabla2[[#This Row],[Meta Digital]]</f>
        <v>3878960.1847323324</v>
      </c>
      <c r="I253" s="3">
        <f>+Tabla2[[#This Row],[Meta MKPlace]]</f>
        <v>1017404.1698071839</v>
      </c>
      <c r="J253" s="3">
        <v>2674804</v>
      </c>
      <c r="K253" s="3"/>
      <c r="L253" s="3">
        <v>33514.655172413783</v>
      </c>
      <c r="M253" s="3"/>
      <c r="N253" s="3">
        <v>11139</v>
      </c>
      <c r="O253" s="3"/>
      <c r="P253" s="3">
        <v>1207</v>
      </c>
      <c r="Q253" s="3"/>
      <c r="R253" s="3">
        <v>80736</v>
      </c>
      <c r="S253" s="3"/>
      <c r="T253" s="3">
        <v>589007</v>
      </c>
      <c r="U253" s="3"/>
      <c r="V253" s="3">
        <v>264958</v>
      </c>
      <c r="W253" s="3"/>
      <c r="X253" s="3">
        <v>38489</v>
      </c>
      <c r="Y253" s="3"/>
      <c r="Z253" s="3">
        <v>5467</v>
      </c>
      <c r="AA253" s="3"/>
      <c r="AB253" s="3">
        <v>915.83620689655186</v>
      </c>
      <c r="AC253" s="3"/>
      <c r="AD253" s="3">
        <v>0</v>
      </c>
      <c r="AE253" s="3"/>
      <c r="AF253" s="5">
        <f t="shared" si="58"/>
        <v>0</v>
      </c>
      <c r="AG253" s="4">
        <f t="shared" si="59"/>
        <v>0</v>
      </c>
      <c r="AH253" s="5">
        <f t="shared" si="60"/>
        <v>-4896364.3545395164</v>
      </c>
      <c r="AI253" s="17">
        <f t="shared" si="62"/>
        <v>-1</v>
      </c>
      <c r="AJ253" s="17">
        <f t="shared" si="63"/>
        <v>0.16293916227096147</v>
      </c>
      <c r="AK253" s="14" t="e">
        <f t="shared" si="64"/>
        <v>#DIV/0!</v>
      </c>
      <c r="AL253" s="14">
        <f t="shared" si="65"/>
        <v>-1</v>
      </c>
      <c r="AO253" s="19">
        <f>+Tabla22[[#This Row],[Web + APP 2025]]+Tabla22[[#This Row],[Afiliados 2025]]+Tabla22[[#This Row],[TMK 2025]]+Tabla22[[#This Row],[WA 2025]]+Tabla22[[#This Row],[Ent. en Tienda 2025]]</f>
        <v>2801400.6551724137</v>
      </c>
      <c r="AP253" s="19">
        <f>+Tabla22[[#This Row],[Meli Drop 2025]]+Tabla22[[#This Row],[Meli Full 2025]]+Tabla22[[#This Row],[Amazon Drop 2025]]+Tabla22[[#This Row],[Amazon Full 2025]]+Tabla22[[#This Row],[TikTok 2025]]+Tabla22[[#This Row],[Shein 2025]]</f>
        <v>898836.83620689658</v>
      </c>
    </row>
    <row r="254" spans="1:42" hidden="1" x14ac:dyDescent="0.3">
      <c r="A254" s="63">
        <v>45908</v>
      </c>
      <c r="B254" s="3">
        <f>+'BD MD'!B253</f>
        <v>28435547</v>
      </c>
      <c r="C254" s="3">
        <f t="shared" si="61"/>
        <v>4633264.2068965519</v>
      </c>
      <c r="D254" s="4">
        <f t="shared" si="67"/>
        <v>4.018756733523441E-2</v>
      </c>
      <c r="E254" s="3"/>
      <c r="F254" s="7">
        <v>46273</v>
      </c>
      <c r="G254" s="3">
        <f>+Tabla22[[#This Row],[Meta Digital]]+Tabla22[[#This Row],[Meta MKPlace]]</f>
        <v>6130998.2833981644</v>
      </c>
      <c r="H254" s="3">
        <f>+Tabla2[[#This Row],[Meta Digital]]</f>
        <v>4857052.3988712337</v>
      </c>
      <c r="I254" s="3">
        <f>+Tabla2[[#This Row],[Meta MKPlace]]</f>
        <v>1273945.8845269307</v>
      </c>
      <c r="J254" s="3">
        <v>3525502</v>
      </c>
      <c r="K254" s="3"/>
      <c r="L254" s="3">
        <v>25892.241379310333</v>
      </c>
      <c r="M254" s="3"/>
      <c r="N254" s="3">
        <v>45000</v>
      </c>
      <c r="O254" s="3"/>
      <c r="P254" s="3">
        <v>10415</v>
      </c>
      <c r="Q254" s="3"/>
      <c r="R254" s="3">
        <v>159923</v>
      </c>
      <c r="S254" s="3"/>
      <c r="T254" s="3">
        <v>610021</v>
      </c>
      <c r="U254" s="3"/>
      <c r="V254" s="3">
        <v>212908</v>
      </c>
      <c r="W254" s="3"/>
      <c r="X254" s="3">
        <v>37056</v>
      </c>
      <c r="Y254" s="3"/>
      <c r="Z254" s="3">
        <v>6203</v>
      </c>
      <c r="AA254" s="3"/>
      <c r="AB254" s="3">
        <v>343.96551724137936</v>
      </c>
      <c r="AC254" s="3"/>
      <c r="AD254" s="3">
        <v>0</v>
      </c>
      <c r="AE254" s="3"/>
      <c r="AF254" s="5">
        <f t="shared" si="58"/>
        <v>0</v>
      </c>
      <c r="AG254" s="4">
        <f t="shared" si="59"/>
        <v>0</v>
      </c>
      <c r="AH254" s="5">
        <f t="shared" si="60"/>
        <v>-6130998.2833981644</v>
      </c>
      <c r="AI254" s="17">
        <f t="shared" si="62"/>
        <v>-1</v>
      </c>
      <c r="AJ254" s="17">
        <f t="shared" si="63"/>
        <v>0.16005897113035517</v>
      </c>
      <c r="AK254" s="14" t="e">
        <f t="shared" si="64"/>
        <v>#DIV/0!</v>
      </c>
      <c r="AL254" s="14">
        <f t="shared" si="65"/>
        <v>-1</v>
      </c>
      <c r="AO254" s="19">
        <f>+Tabla22[[#This Row],[Web + APP 2025]]+Tabla22[[#This Row],[Afiliados 2025]]+Tabla22[[#This Row],[TMK 2025]]+Tabla22[[#This Row],[WA 2025]]+Tabla22[[#This Row],[Ent. en Tienda 2025]]</f>
        <v>3766732.2413793104</v>
      </c>
      <c r="AP254" s="19">
        <f>+Tabla22[[#This Row],[Meli Drop 2025]]+Tabla22[[#This Row],[Meli Full 2025]]+Tabla22[[#This Row],[Amazon Drop 2025]]+Tabla22[[#This Row],[Amazon Full 2025]]+Tabla22[[#This Row],[TikTok 2025]]+Tabla22[[#This Row],[Shein 2025]]</f>
        <v>866531.96551724139</v>
      </c>
    </row>
    <row r="255" spans="1:42" hidden="1" x14ac:dyDescent="0.3">
      <c r="A255" s="7">
        <v>45909</v>
      </c>
      <c r="B255" s="3">
        <f>+'BD MD'!B254</f>
        <v>29640196</v>
      </c>
      <c r="C255" s="3">
        <f t="shared" si="61"/>
        <v>4744179.2758620689</v>
      </c>
      <c r="D255" s="4">
        <f t="shared" si="67"/>
        <v>4.1149611933491745E-2</v>
      </c>
      <c r="E255" s="3"/>
      <c r="F255" s="7">
        <v>46274</v>
      </c>
      <c r="G255" s="3">
        <f>+Tabla22[[#This Row],[Meta Digital]]+Tabla22[[#This Row],[Meta MKPlace]]</f>
        <v>6277767.4006046411</v>
      </c>
      <c r="H255" s="3">
        <f>+Tabla2[[#This Row],[Meta Digital]]</f>
        <v>4973324.7023129528</v>
      </c>
      <c r="I255" s="3">
        <f>+Tabla2[[#This Row],[Meta MKPlace]]</f>
        <v>1304442.6982916882</v>
      </c>
      <c r="J255" s="3">
        <v>3709022</v>
      </c>
      <c r="K255" s="3"/>
      <c r="L255" s="3">
        <v>28638.793103448261</v>
      </c>
      <c r="M255" s="3"/>
      <c r="N255" s="3">
        <v>39009</v>
      </c>
      <c r="O255" s="3"/>
      <c r="P255" s="3">
        <v>6468</v>
      </c>
      <c r="Q255" s="3"/>
      <c r="R255" s="3">
        <v>126437</v>
      </c>
      <c r="S255" s="3"/>
      <c r="T255" s="3">
        <v>512439</v>
      </c>
      <c r="U255" s="3"/>
      <c r="V255" s="3">
        <v>272574</v>
      </c>
      <c r="W255" s="3"/>
      <c r="X255" s="3">
        <v>41801</v>
      </c>
      <c r="Y255" s="3"/>
      <c r="Z255" s="3">
        <v>6981</v>
      </c>
      <c r="AA255" s="3"/>
      <c r="AB255" s="3">
        <v>809.48275862068976</v>
      </c>
      <c r="AC255" s="3"/>
      <c r="AD255" s="3">
        <v>0</v>
      </c>
      <c r="AE255" s="3"/>
      <c r="AF255" s="5">
        <f t="shared" si="58"/>
        <v>0</v>
      </c>
      <c r="AG255" s="4">
        <f t="shared" si="59"/>
        <v>0</v>
      </c>
      <c r="AH255" s="5">
        <f t="shared" si="60"/>
        <v>-6277767.4006046411</v>
      </c>
      <c r="AI255" s="17">
        <f t="shared" si="62"/>
        <v>-1</v>
      </c>
      <c r="AJ255" s="17">
        <f t="shared" si="63"/>
        <v>0.12769944866425717</v>
      </c>
      <c r="AK255" s="14" t="e">
        <f t="shared" si="64"/>
        <v>#DIV/0!</v>
      </c>
      <c r="AL255" s="14">
        <f t="shared" si="65"/>
        <v>-1</v>
      </c>
      <c r="AO255" s="19">
        <f>+Tabla22[[#This Row],[Web + APP 2025]]+Tabla22[[#This Row],[Afiliados 2025]]+Tabla22[[#This Row],[TMK 2025]]+Tabla22[[#This Row],[WA 2025]]+Tabla22[[#This Row],[Ent. en Tienda 2025]]</f>
        <v>3909574.7931034481</v>
      </c>
      <c r="AP255" s="19">
        <f>+Tabla22[[#This Row],[Meli Drop 2025]]+Tabla22[[#This Row],[Meli Full 2025]]+Tabla22[[#This Row],[Amazon Drop 2025]]+Tabla22[[#This Row],[Amazon Full 2025]]+Tabla22[[#This Row],[TikTok 2025]]+Tabla22[[#This Row],[Shein 2025]]</f>
        <v>834604.48275862064</v>
      </c>
    </row>
    <row r="256" spans="1:42" hidden="1" x14ac:dyDescent="0.3">
      <c r="A256" s="63">
        <v>45910</v>
      </c>
      <c r="B256" s="3">
        <f>+'BD MD'!B255</f>
        <v>32533171</v>
      </c>
      <c r="C256" s="3">
        <f t="shared" si="61"/>
        <v>4154468</v>
      </c>
      <c r="D256" s="4">
        <f t="shared" si="67"/>
        <v>3.6034630238345126E-2</v>
      </c>
      <c r="E256" s="3"/>
      <c r="F256" s="7">
        <v>46275</v>
      </c>
      <c r="G256" s="3">
        <f>+Tabla22[[#This Row],[Meta Digital]]+Tabla22[[#This Row],[Meta MKPlace]]</f>
        <v>5497427.9555479065</v>
      </c>
      <c r="H256" s="3">
        <f>+Tabla2[[#This Row],[Meta Digital]]</f>
        <v>4355130.1769923661</v>
      </c>
      <c r="I256" s="3">
        <f>+Tabla2[[#This Row],[Meta MKPlace]]</f>
        <v>1142297.7785555406</v>
      </c>
      <c r="J256" s="3">
        <v>2984548</v>
      </c>
      <c r="K256" s="3"/>
      <c r="L256" s="3">
        <v>24654.31034482758</v>
      </c>
      <c r="M256" s="3"/>
      <c r="N256" s="3">
        <v>17827</v>
      </c>
      <c r="O256" s="3"/>
      <c r="P256" s="3">
        <v>2299</v>
      </c>
      <c r="Q256" s="3"/>
      <c r="R256" s="3">
        <v>109725</v>
      </c>
      <c r="S256" s="3"/>
      <c r="T256" s="3">
        <v>666967</v>
      </c>
      <c r="U256" s="3"/>
      <c r="V256" s="3">
        <v>299912</v>
      </c>
      <c r="W256" s="3"/>
      <c r="X256" s="3">
        <v>40233</v>
      </c>
      <c r="Y256" s="3"/>
      <c r="Z256" s="3">
        <v>7382</v>
      </c>
      <c r="AA256" s="3"/>
      <c r="AB256" s="3">
        <v>920.68965517241395</v>
      </c>
      <c r="AC256" s="3"/>
      <c r="AD256" s="3">
        <v>0</v>
      </c>
      <c r="AE256" s="3"/>
      <c r="AF256" s="5">
        <f t="shared" si="58"/>
        <v>0</v>
      </c>
      <c r="AG256" s="4">
        <f t="shared" si="59"/>
        <v>0</v>
      </c>
      <c r="AH256" s="5">
        <f t="shared" si="60"/>
        <v>-5497427.9555479065</v>
      </c>
      <c r="AI256" s="17">
        <f t="shared" si="62"/>
        <v>-1</v>
      </c>
      <c r="AJ256" s="17">
        <f t="shared" si="63"/>
        <v>8.6359322116965009E-2</v>
      </c>
      <c r="AK256" s="14" t="e">
        <f t="shared" si="64"/>
        <v>#DIV/0!</v>
      </c>
      <c r="AL256" s="14">
        <f t="shared" si="65"/>
        <v>-1</v>
      </c>
      <c r="AO256" s="19">
        <f>+Tabla22[[#This Row],[Web + APP 2025]]+Tabla22[[#This Row],[Afiliados 2025]]+Tabla22[[#This Row],[TMK 2025]]+Tabla22[[#This Row],[WA 2025]]+Tabla22[[#This Row],[Ent. en Tienda 2025]]</f>
        <v>3139053.3103448274</v>
      </c>
      <c r="AP256" s="19">
        <f>+Tabla22[[#This Row],[Meli Drop 2025]]+Tabla22[[#This Row],[Meli Full 2025]]+Tabla22[[#This Row],[Amazon Drop 2025]]+Tabla22[[#This Row],[Amazon Full 2025]]+Tabla22[[#This Row],[TikTok 2025]]+Tabla22[[#This Row],[Shein 2025]]</f>
        <v>1015414.6896551724</v>
      </c>
    </row>
    <row r="257" spans="1:42" hidden="1" x14ac:dyDescent="0.3">
      <c r="A257" s="7">
        <v>45911</v>
      </c>
      <c r="B257" s="3">
        <f>+'BD MD'!B256</f>
        <v>36603847</v>
      </c>
      <c r="C257" s="3">
        <f t="shared" si="61"/>
        <v>3161083.4137931033</v>
      </c>
      <c r="D257" s="4">
        <f t="shared" si="67"/>
        <v>2.7418305296514546E-2</v>
      </c>
      <c r="E257" s="3"/>
      <c r="F257" s="7">
        <v>46276</v>
      </c>
      <c r="G257" s="3">
        <f>+Tabla22[[#This Row],[Meta Digital]]+Tabla22[[#This Row],[Meta MKPlace]]</f>
        <v>4182925.0649674078</v>
      </c>
      <c r="H257" s="3">
        <f>+Tabla2[[#This Row],[Meta Digital]]</f>
        <v>3313764.7870678967</v>
      </c>
      <c r="I257" s="3">
        <f>+Tabla2[[#This Row],[Meta MKPlace]]</f>
        <v>869160.27789951116</v>
      </c>
      <c r="J257" s="3">
        <v>2427761</v>
      </c>
      <c r="K257" s="3"/>
      <c r="L257" s="3">
        <v>25539.655172413783</v>
      </c>
      <c r="M257" s="3"/>
      <c r="N257" s="3">
        <v>22302</v>
      </c>
      <c r="O257" s="3"/>
      <c r="P257" s="3">
        <v>3261</v>
      </c>
      <c r="Q257" s="3"/>
      <c r="R257" s="3">
        <v>48694</v>
      </c>
      <c r="S257" s="3"/>
      <c r="T257" s="3">
        <v>356119</v>
      </c>
      <c r="U257" s="3"/>
      <c r="V257" s="3">
        <v>246603</v>
      </c>
      <c r="W257" s="3"/>
      <c r="X257" s="3">
        <v>27305</v>
      </c>
      <c r="Y257" s="3"/>
      <c r="Z257" s="3">
        <v>3241</v>
      </c>
      <c r="AA257" s="3"/>
      <c r="AB257" s="3">
        <v>257.75862068965517</v>
      </c>
      <c r="AC257" s="3"/>
      <c r="AD257" s="3">
        <v>0</v>
      </c>
      <c r="AE257" s="3"/>
      <c r="AF257" s="5">
        <f t="shared" si="58"/>
        <v>0</v>
      </c>
      <c r="AG257" s="4">
        <f t="shared" si="59"/>
        <v>0</v>
      </c>
      <c r="AH257" s="5">
        <f t="shared" si="60"/>
        <v>-4182925.0649674078</v>
      </c>
      <c r="AI257" s="17">
        <f t="shared" si="62"/>
        <v>-1</v>
      </c>
      <c r="AJ257" s="17">
        <f t="shared" si="63"/>
        <v>7.3126037849472303E-2</v>
      </c>
      <c r="AK257" s="14" t="e">
        <f t="shared" si="64"/>
        <v>#DIV/0!</v>
      </c>
      <c r="AL257" s="14">
        <f t="shared" si="65"/>
        <v>-1</v>
      </c>
      <c r="AO257" s="19">
        <f>+Tabla22[[#This Row],[Web + APP 2025]]+Tabla22[[#This Row],[Afiliados 2025]]+Tabla22[[#This Row],[TMK 2025]]+Tabla22[[#This Row],[WA 2025]]+Tabla22[[#This Row],[Ent. en Tienda 2025]]</f>
        <v>2527557.6551724137</v>
      </c>
      <c r="AP257" s="19">
        <f>+Tabla22[[#This Row],[Meli Drop 2025]]+Tabla22[[#This Row],[Meli Full 2025]]+Tabla22[[#This Row],[Amazon Drop 2025]]+Tabla22[[#This Row],[Amazon Full 2025]]+Tabla22[[#This Row],[TikTok 2025]]+Tabla22[[#This Row],[Shein 2025]]</f>
        <v>633525.75862068962</v>
      </c>
    </row>
    <row r="258" spans="1:42" hidden="1" x14ac:dyDescent="0.3">
      <c r="A258" s="63">
        <v>45912</v>
      </c>
      <c r="B258" s="3">
        <f>+'BD MD'!B257</f>
        <v>36893493</v>
      </c>
      <c r="C258" s="3">
        <f t="shared" si="61"/>
        <v>2697874.9655172415</v>
      </c>
      <c r="D258" s="4">
        <f t="shared" si="67"/>
        <v>2.3400571820917121E-2</v>
      </c>
      <c r="E258" s="3"/>
      <c r="F258" s="7">
        <v>46277</v>
      </c>
      <c r="G258" s="3">
        <f>+Tabla22[[#This Row],[Meta Digital]]+Tabla22[[#This Row],[Meta MKPlace]]</f>
        <v>3569981.344424203</v>
      </c>
      <c r="H258" s="3">
        <f>+Tabla2[[#This Row],[Meta Digital]]</f>
        <v>2828183.2177011301</v>
      </c>
      <c r="I258" s="3">
        <f>+Tabla2[[#This Row],[Meta MKPlace]]</f>
        <v>741798.12672307272</v>
      </c>
      <c r="J258" s="3">
        <v>2178584</v>
      </c>
      <c r="K258" s="3"/>
      <c r="L258" s="3">
        <v>26887.068965517232</v>
      </c>
      <c r="M258" s="3"/>
      <c r="N258" s="3">
        <v>27326</v>
      </c>
      <c r="O258" s="3"/>
      <c r="P258" s="3">
        <v>1339</v>
      </c>
      <c r="Q258" s="3"/>
      <c r="R258" s="3">
        <v>88295</v>
      </c>
      <c r="S258" s="3"/>
      <c r="T258" s="3">
        <v>120118</v>
      </c>
      <c r="U258" s="3"/>
      <c r="V258" s="3">
        <v>219269</v>
      </c>
      <c r="W258" s="3"/>
      <c r="X258" s="3">
        <v>32816</v>
      </c>
      <c r="Y258" s="3"/>
      <c r="Z258" s="3">
        <v>2209</v>
      </c>
      <c r="AA258" s="3"/>
      <c r="AB258" s="3">
        <v>1031.8965517241379</v>
      </c>
      <c r="AC258" s="3"/>
      <c r="AD258" s="3">
        <v>0</v>
      </c>
      <c r="AE258" s="3"/>
      <c r="AF258" s="5">
        <f t="shared" si="58"/>
        <v>0</v>
      </c>
      <c r="AG258" s="4">
        <f t="shared" si="59"/>
        <v>0</v>
      </c>
      <c r="AH258" s="5">
        <f t="shared" si="60"/>
        <v>-3569981.344424203</v>
      </c>
      <c r="AI258" s="17">
        <f t="shared" si="62"/>
        <v>-1</v>
      </c>
      <c r="AJ258" s="17">
        <f t="shared" si="63"/>
        <v>5.2984761813140803E-2</v>
      </c>
      <c r="AK258" s="14" t="e">
        <f t="shared" si="64"/>
        <v>#DIV/0!</v>
      </c>
      <c r="AL258" s="14">
        <f t="shared" si="65"/>
        <v>-1</v>
      </c>
      <c r="AO258" s="19">
        <f>+Tabla22[[#This Row],[Web + APP 2025]]+Tabla22[[#This Row],[Afiliados 2025]]+Tabla22[[#This Row],[TMK 2025]]+Tabla22[[#This Row],[WA 2025]]+Tabla22[[#This Row],[Ent. en Tienda 2025]]</f>
        <v>2322431.0689655175</v>
      </c>
      <c r="AP258" s="19">
        <f>+Tabla22[[#This Row],[Meli Drop 2025]]+Tabla22[[#This Row],[Meli Full 2025]]+Tabla22[[#This Row],[Amazon Drop 2025]]+Tabla22[[#This Row],[Amazon Full 2025]]+Tabla22[[#This Row],[TikTok 2025]]+Tabla22[[#This Row],[Shein 2025]]</f>
        <v>375443.89655172412</v>
      </c>
    </row>
    <row r="259" spans="1:42" hidden="1" x14ac:dyDescent="0.3">
      <c r="A259" s="7">
        <v>45913</v>
      </c>
      <c r="B259" s="3">
        <f>+'BD MD'!B258</f>
        <v>51169546</v>
      </c>
      <c r="C259" s="3">
        <f t="shared" si="61"/>
        <v>2711206.2068965519</v>
      </c>
      <c r="D259" s="4">
        <f t="shared" si="67"/>
        <v>2.3516203077126478E-2</v>
      </c>
      <c r="E259" s="3"/>
      <c r="F259" s="7">
        <v>46278</v>
      </c>
      <c r="G259" s="3">
        <f>+Tabla22[[#This Row],[Meta Digital]]+Tabla22[[#This Row],[Meta MKPlace]]</f>
        <v>3587621.9999884721</v>
      </c>
      <c r="H259" s="3">
        <f>+Tabla2[[#This Row],[Meta Digital]]</f>
        <v>2842158.3624435626</v>
      </c>
      <c r="I259" s="3">
        <f>+Tabla2[[#This Row],[Meta MKPlace]]</f>
        <v>745463.63754490938</v>
      </c>
      <c r="J259" s="3">
        <v>1799983</v>
      </c>
      <c r="K259" s="3"/>
      <c r="L259" s="3">
        <v>29600.862068965504</v>
      </c>
      <c r="M259" s="3"/>
      <c r="N259" s="3">
        <v>7912</v>
      </c>
      <c r="O259" s="3"/>
      <c r="P259" s="3">
        <v>4922</v>
      </c>
      <c r="Q259" s="3"/>
      <c r="R259" s="3">
        <v>64472</v>
      </c>
      <c r="S259" s="3"/>
      <c r="T259" s="3">
        <v>592754</v>
      </c>
      <c r="U259" s="3"/>
      <c r="V259" s="3">
        <v>169324</v>
      </c>
      <c r="W259" s="3"/>
      <c r="X259" s="3">
        <v>37170</v>
      </c>
      <c r="Y259" s="3"/>
      <c r="Z259" s="3">
        <v>3458</v>
      </c>
      <c r="AA259" s="3"/>
      <c r="AB259" s="3">
        <v>576.72413793103453</v>
      </c>
      <c r="AC259" s="3"/>
      <c r="AD259" s="3">
        <v>1033.6206896551726</v>
      </c>
      <c r="AE259" s="3"/>
      <c r="AF259" s="5">
        <f t="shared" si="58"/>
        <v>0</v>
      </c>
      <c r="AG259" s="4">
        <f t="shared" si="59"/>
        <v>0</v>
      </c>
      <c r="AH259" s="5">
        <f t="shared" si="60"/>
        <v>-3587621.9999884721</v>
      </c>
      <c r="AI259" s="17">
        <f t="shared" si="62"/>
        <v>-1</v>
      </c>
      <c r="AJ259" s="17">
        <f t="shared" si="63"/>
        <v>4.7331187172263957E-2</v>
      </c>
      <c r="AK259" s="14" t="e">
        <f t="shared" si="64"/>
        <v>#DIV/0!</v>
      </c>
      <c r="AL259" s="14">
        <f t="shared" si="65"/>
        <v>-1</v>
      </c>
      <c r="AO259" s="19">
        <f>+Tabla22[[#This Row],[Web + APP 2025]]+Tabla22[[#This Row],[Afiliados 2025]]+Tabla22[[#This Row],[TMK 2025]]+Tabla22[[#This Row],[WA 2025]]+Tabla22[[#This Row],[Ent. en Tienda 2025]]</f>
        <v>1906889.8620689656</v>
      </c>
      <c r="AP259" s="19">
        <f>+Tabla22[[#This Row],[Meli Drop 2025]]+Tabla22[[#This Row],[Meli Full 2025]]+Tabla22[[#This Row],[Amazon Drop 2025]]+Tabla22[[#This Row],[Amazon Full 2025]]+Tabla22[[#This Row],[TikTok 2025]]+Tabla22[[#This Row],[Shein 2025]]</f>
        <v>804316.3448275862</v>
      </c>
    </row>
    <row r="260" spans="1:42" hidden="1" x14ac:dyDescent="0.3">
      <c r="A260" s="63">
        <v>45914</v>
      </c>
      <c r="B260" s="3">
        <f>+'BD MD'!B259</f>
        <v>49356688</v>
      </c>
      <c r="C260" s="3">
        <f t="shared" si="61"/>
        <v>2336110.6379310344</v>
      </c>
      <c r="D260" s="4">
        <f t="shared" si="67"/>
        <v>2.0262734731308407E-2</v>
      </c>
      <c r="E260" s="3"/>
      <c r="F260" s="7">
        <v>46279</v>
      </c>
      <c r="G260" s="3">
        <f>+Tabla22[[#This Row],[Meta Digital]]+Tabla22[[#This Row],[Meta MKPlace]]</f>
        <v>3091274.244551871</v>
      </c>
      <c r="H260" s="3">
        <f>+Tabla2[[#This Row],[Meta Digital]]</f>
        <v>2448945.5535693946</v>
      </c>
      <c r="I260" s="3">
        <f>+Tabla2[[#This Row],[Meta MKPlace]]</f>
        <v>642328.69098247646</v>
      </c>
      <c r="J260" s="3">
        <v>1780921</v>
      </c>
      <c r="K260" s="3"/>
      <c r="L260" s="3">
        <v>27704.310344827583</v>
      </c>
      <c r="M260" s="3"/>
      <c r="N260" s="3">
        <v>12528</v>
      </c>
      <c r="O260" s="3"/>
      <c r="P260" s="3">
        <v>4369</v>
      </c>
      <c r="Q260" s="3"/>
      <c r="R260" s="3">
        <v>50344</v>
      </c>
      <c r="S260" s="3"/>
      <c r="T260" s="3">
        <v>241106</v>
      </c>
      <c r="U260" s="3"/>
      <c r="V260" s="3">
        <v>174010</v>
      </c>
      <c r="W260" s="3"/>
      <c r="X260" s="3">
        <v>37039</v>
      </c>
      <c r="Y260" s="3"/>
      <c r="Z260" s="3">
        <v>6282</v>
      </c>
      <c r="AA260" s="3"/>
      <c r="AB260" s="3">
        <v>773.70689655172418</v>
      </c>
      <c r="AC260" s="3"/>
      <c r="AD260" s="3">
        <v>1033.6206896551726</v>
      </c>
      <c r="AE260" s="3"/>
      <c r="AF260" s="5">
        <f t="shared" ref="AF260:AF323" si="68">+AE260+AC260+AA260+Y260+W260+U260+S260+Q260+O260+M260+K260</f>
        <v>0</v>
      </c>
      <c r="AG260" s="4">
        <f t="shared" ref="AG260:AG323" si="69">+AF260/G260</f>
        <v>0</v>
      </c>
      <c r="AH260" s="5">
        <f t="shared" ref="AH260:AH323" si="70">+AF260-G260</f>
        <v>-3091274.244551871</v>
      </c>
      <c r="AI260" s="17">
        <f t="shared" si="62"/>
        <v>-1</v>
      </c>
      <c r="AJ260" s="17">
        <f t="shared" si="63"/>
        <v>0.11130421100196954</v>
      </c>
      <c r="AK260" s="14" t="e">
        <f t="shared" si="64"/>
        <v>#DIV/0!</v>
      </c>
      <c r="AL260" s="14">
        <f t="shared" si="65"/>
        <v>-1</v>
      </c>
      <c r="AO260" s="19">
        <f>+Tabla22[[#This Row],[Web + APP 2025]]+Tabla22[[#This Row],[Afiliados 2025]]+Tabla22[[#This Row],[TMK 2025]]+Tabla22[[#This Row],[WA 2025]]+Tabla22[[#This Row],[Ent. en Tienda 2025]]</f>
        <v>1875866.3103448276</v>
      </c>
      <c r="AP260" s="19">
        <f>+Tabla22[[#This Row],[Meli Drop 2025]]+Tabla22[[#This Row],[Meli Full 2025]]+Tabla22[[#This Row],[Amazon Drop 2025]]+Tabla22[[#This Row],[Amazon Full 2025]]+Tabla22[[#This Row],[TikTok 2025]]+Tabla22[[#This Row],[Shein 2025]]</f>
        <v>460244.3275862069</v>
      </c>
    </row>
    <row r="261" spans="1:42" hidden="1" x14ac:dyDescent="0.3">
      <c r="A261" s="7">
        <v>45915</v>
      </c>
      <c r="B261" s="3">
        <f>+'BD MD'!B260</f>
        <v>27726860</v>
      </c>
      <c r="C261" s="3">
        <f t="shared" ref="C261:C324" si="71">+J261+L261+N261+P261+R261+T261+V261+X261+Z261+AB261+AD261</f>
        <v>3086116.2758620689</v>
      </c>
      <c r="D261" s="4">
        <f t="shared" si="67"/>
        <v>2.6768062450650325E-2</v>
      </c>
      <c r="E261" s="3"/>
      <c r="F261" s="7">
        <v>46280</v>
      </c>
      <c r="G261" s="3">
        <f>+Tabla22[[#This Row],[Meta Digital]]+Tabla22[[#This Row],[Meta MKPlace]]</f>
        <v>4083724.2912920578</v>
      </c>
      <c r="H261" s="3">
        <f>+Tabla2[[#This Row],[Meta Digital]]</f>
        <v>3235176.7116064425</v>
      </c>
      <c r="I261" s="3">
        <f>+Tabla2[[#This Row],[Meta MKPlace]]</f>
        <v>848547.57968561526</v>
      </c>
      <c r="J261" s="3">
        <v>2148281</v>
      </c>
      <c r="K261" s="3"/>
      <c r="L261" s="3">
        <v>18573.27586206896</v>
      </c>
      <c r="M261" s="3"/>
      <c r="N261" s="3">
        <v>21024</v>
      </c>
      <c r="O261" s="3"/>
      <c r="P261" s="3">
        <v>2539</v>
      </c>
      <c r="Q261" s="3"/>
      <c r="R261" s="3">
        <v>119375</v>
      </c>
      <c r="S261" s="3"/>
      <c r="T261" s="3">
        <v>616987</v>
      </c>
      <c r="U261" s="3"/>
      <c r="V261" s="3">
        <v>121950</v>
      </c>
      <c r="W261" s="3"/>
      <c r="X261" s="3">
        <v>30964</v>
      </c>
      <c r="Y261" s="3"/>
      <c r="Z261" s="3">
        <v>6423</v>
      </c>
      <c r="AA261" s="3"/>
      <c r="AB261" s="3">
        <v>0</v>
      </c>
      <c r="AC261" s="3"/>
      <c r="AD261" s="3">
        <v>0</v>
      </c>
      <c r="AE261" s="3"/>
      <c r="AF261" s="5">
        <f t="shared" si="68"/>
        <v>0</v>
      </c>
      <c r="AG261" s="4">
        <f t="shared" si="69"/>
        <v>0</v>
      </c>
      <c r="AH261" s="5">
        <f t="shared" si="70"/>
        <v>-4083724.2912920578</v>
      </c>
      <c r="AI261" s="17">
        <f t="shared" si="62"/>
        <v>-1</v>
      </c>
      <c r="AJ261" s="17">
        <f t="shared" si="63"/>
        <v>0.14324340261017793</v>
      </c>
      <c r="AK261" s="14" t="e">
        <f t="shared" si="64"/>
        <v>#DIV/0!</v>
      </c>
      <c r="AL261" s="14">
        <f t="shared" si="65"/>
        <v>-1</v>
      </c>
      <c r="AO261" s="19">
        <f>+Tabla22[[#This Row],[Web + APP 2025]]+Tabla22[[#This Row],[Afiliados 2025]]+Tabla22[[#This Row],[TMK 2025]]+Tabla22[[#This Row],[WA 2025]]+Tabla22[[#This Row],[Ent. en Tienda 2025]]</f>
        <v>2309792.2758620689</v>
      </c>
      <c r="AP261" s="19">
        <f>+Tabla22[[#This Row],[Meli Drop 2025]]+Tabla22[[#This Row],[Meli Full 2025]]+Tabla22[[#This Row],[Amazon Drop 2025]]+Tabla22[[#This Row],[Amazon Full 2025]]+Tabla22[[#This Row],[TikTok 2025]]+Tabla22[[#This Row],[Shein 2025]]</f>
        <v>776324</v>
      </c>
    </row>
    <row r="262" spans="1:42" hidden="1" x14ac:dyDescent="0.3">
      <c r="A262" s="63">
        <v>45916</v>
      </c>
      <c r="B262" s="3">
        <f>+'BD MD'!B261</f>
        <v>22429730</v>
      </c>
      <c r="C262" s="3">
        <f t="shared" si="71"/>
        <v>3212910.8448275863</v>
      </c>
      <c r="D262" s="4">
        <f t="shared" si="67"/>
        <v>2.7867841148886241E-2</v>
      </c>
      <c r="E262" s="3"/>
      <c r="F262" s="7">
        <v>46281</v>
      </c>
      <c r="G262" s="3">
        <f>+Tabla22[[#This Row],[Meta Digital]]+Tabla22[[#This Row],[Meta MKPlace]]</f>
        <v>4251506.0645642756</v>
      </c>
      <c r="H262" s="3">
        <f>+Tabla2[[#This Row],[Meta Digital]]</f>
        <v>3368095.5001445813</v>
      </c>
      <c r="I262" s="3">
        <f>+Tabla2[[#This Row],[Meta MKPlace]]</f>
        <v>883410.5644196939</v>
      </c>
      <c r="J262" s="3">
        <v>2565352</v>
      </c>
      <c r="K262" s="3"/>
      <c r="L262" s="3">
        <v>27786.206896551717</v>
      </c>
      <c r="M262" s="3"/>
      <c r="N262" s="3">
        <v>61867</v>
      </c>
      <c r="O262" s="3"/>
      <c r="P262" s="3">
        <v>895</v>
      </c>
      <c r="Q262" s="3"/>
      <c r="R262" s="3">
        <v>42777</v>
      </c>
      <c r="S262" s="3"/>
      <c r="T262" s="3">
        <v>318804</v>
      </c>
      <c r="U262" s="3"/>
      <c r="V262" s="3">
        <v>152090</v>
      </c>
      <c r="W262" s="3"/>
      <c r="X262" s="3">
        <v>39436</v>
      </c>
      <c r="Y262" s="3"/>
      <c r="Z262" s="3">
        <v>2132</v>
      </c>
      <c r="AA262" s="3"/>
      <c r="AB262" s="3">
        <v>1771.637931034483</v>
      </c>
      <c r="AC262" s="3"/>
      <c r="AD262" s="3">
        <v>0</v>
      </c>
      <c r="AE262" s="3"/>
      <c r="AF262" s="5">
        <f t="shared" si="68"/>
        <v>0</v>
      </c>
      <c r="AG262" s="4">
        <f t="shared" si="69"/>
        <v>0</v>
      </c>
      <c r="AH262" s="5">
        <f t="shared" si="70"/>
        <v>-4251506.0645642756</v>
      </c>
      <c r="AI262" s="17">
        <f t="shared" si="62"/>
        <v>-1</v>
      </c>
      <c r="AJ262" s="17">
        <f t="shared" si="63"/>
        <v>0.13515784763233887</v>
      </c>
      <c r="AK262" s="14" t="e">
        <f t="shared" si="64"/>
        <v>#DIV/0!</v>
      </c>
      <c r="AL262" s="14">
        <f t="shared" si="65"/>
        <v>-1</v>
      </c>
      <c r="AO262" s="19">
        <f>+Tabla22[[#This Row],[Web + APP 2025]]+Tabla22[[#This Row],[Afiliados 2025]]+Tabla22[[#This Row],[TMK 2025]]+Tabla22[[#This Row],[WA 2025]]+Tabla22[[#This Row],[Ent. en Tienda 2025]]</f>
        <v>2698677.2068965519</v>
      </c>
      <c r="AP262" s="19">
        <f>+Tabla22[[#This Row],[Meli Drop 2025]]+Tabla22[[#This Row],[Meli Full 2025]]+Tabla22[[#This Row],[Amazon Drop 2025]]+Tabla22[[#This Row],[Amazon Full 2025]]+Tabla22[[#This Row],[TikTok 2025]]+Tabla22[[#This Row],[Shein 2025]]</f>
        <v>514233.63793103449</v>
      </c>
    </row>
    <row r="263" spans="1:42" hidden="1" x14ac:dyDescent="0.3">
      <c r="A263" s="7">
        <v>45917</v>
      </c>
      <c r="B263" s="3">
        <f>+'BD MD'!B262</f>
        <v>27789776</v>
      </c>
      <c r="C263" s="3">
        <f t="shared" si="71"/>
        <v>3756006.3103448274</v>
      </c>
      <c r="D263" s="4">
        <f t="shared" si="67"/>
        <v>3.2578491052564808E-2</v>
      </c>
      <c r="E263" s="3"/>
      <c r="F263" s="7">
        <v>46282</v>
      </c>
      <c r="G263" s="3">
        <f>+Tabla22[[#This Row],[Meta Digital]]+Tabla22[[#This Row],[Meta MKPlace]]</f>
        <v>4970160.822445618</v>
      </c>
      <c r="H263" s="3">
        <f>+Tabla2[[#This Row],[Meta Digital]]</f>
        <v>3937422.6560793133</v>
      </c>
      <c r="I263" s="3">
        <f>+Tabla2[[#This Row],[Meta MKPlace]]</f>
        <v>1032738.1663663044</v>
      </c>
      <c r="J263" s="3">
        <v>2881595</v>
      </c>
      <c r="K263" s="3"/>
      <c r="L263" s="3">
        <v>29182.758620689649</v>
      </c>
      <c r="M263" s="3"/>
      <c r="N263" s="3">
        <v>37711</v>
      </c>
      <c r="O263" s="3"/>
      <c r="P263" s="3">
        <v>8906</v>
      </c>
      <c r="Q263" s="3"/>
      <c r="R263" s="3">
        <v>89671</v>
      </c>
      <c r="S263" s="3"/>
      <c r="T263" s="3">
        <v>560772</v>
      </c>
      <c r="U263" s="3"/>
      <c r="V263" s="3">
        <v>112089</v>
      </c>
      <c r="W263" s="3"/>
      <c r="X263" s="3">
        <v>30343</v>
      </c>
      <c r="Y263" s="3"/>
      <c r="Z263" s="3">
        <v>5195</v>
      </c>
      <c r="AA263" s="3"/>
      <c r="AB263" s="3">
        <v>885.51724137931035</v>
      </c>
      <c r="AC263" s="3"/>
      <c r="AD263" s="3">
        <v>-343.96551724137936</v>
      </c>
      <c r="AE263" s="3"/>
      <c r="AF263" s="5">
        <f t="shared" si="68"/>
        <v>0</v>
      </c>
      <c r="AG263" s="4">
        <f t="shared" si="69"/>
        <v>0</v>
      </c>
      <c r="AH263" s="5">
        <f t="shared" si="70"/>
        <v>-4970160.822445618</v>
      </c>
      <c r="AI263" s="17">
        <f t="shared" si="62"/>
        <v>-1</v>
      </c>
      <c r="AJ263" s="17">
        <f t="shared" si="63"/>
        <v>0.11479893708704396</v>
      </c>
      <c r="AK263" s="14" t="e">
        <f t="shared" si="64"/>
        <v>#DIV/0!</v>
      </c>
      <c r="AL263" s="14">
        <f t="shared" si="65"/>
        <v>-1</v>
      </c>
      <c r="AO263" s="19">
        <f>+Tabla22[[#This Row],[Web + APP 2025]]+Tabla22[[#This Row],[Afiliados 2025]]+Tabla22[[#This Row],[TMK 2025]]+Tabla22[[#This Row],[WA 2025]]+Tabla22[[#This Row],[Ent. en Tienda 2025]]</f>
        <v>3047065.7586206896</v>
      </c>
      <c r="AP263" s="19">
        <f>+Tabla22[[#This Row],[Meli Drop 2025]]+Tabla22[[#This Row],[Meli Full 2025]]+Tabla22[[#This Row],[Amazon Drop 2025]]+Tabla22[[#This Row],[Amazon Full 2025]]+Tabla22[[#This Row],[TikTok 2025]]+Tabla22[[#This Row],[Shein 2025]]</f>
        <v>708940.55172413797</v>
      </c>
    </row>
    <row r="264" spans="1:42" hidden="1" x14ac:dyDescent="0.3">
      <c r="A264" s="63">
        <v>45918</v>
      </c>
      <c r="B264" s="3">
        <f>+'BD MD'!B263</f>
        <v>34810000</v>
      </c>
      <c r="C264" s="3">
        <f t="shared" si="71"/>
        <v>3996151</v>
      </c>
      <c r="D264" s="4">
        <f t="shared" si="67"/>
        <v>3.4661435269592429E-2</v>
      </c>
      <c r="E264" s="3"/>
      <c r="F264" s="7">
        <v>46283</v>
      </c>
      <c r="G264" s="3">
        <f>+Tabla22[[#This Row],[Meta Digital]]+Tabla22[[#This Row],[Meta MKPlace]]</f>
        <v>5287933.9116321811</v>
      </c>
      <c r="H264" s="3">
        <f>+Tabla2[[#This Row],[Meta Digital]]</f>
        <v>4189166.413586101</v>
      </c>
      <c r="I264" s="3">
        <f>+Tabla2[[#This Row],[Meta MKPlace]]</f>
        <v>1098767.4980460801</v>
      </c>
      <c r="J264" s="3">
        <v>3137096</v>
      </c>
      <c r="K264" s="3"/>
      <c r="L264" s="3">
        <v>30499.999999999993</v>
      </c>
      <c r="M264" s="3"/>
      <c r="N264" s="3">
        <v>48555</v>
      </c>
      <c r="O264" s="3"/>
      <c r="P264" s="3">
        <v>554</v>
      </c>
      <c r="Q264" s="3"/>
      <c r="R264" s="3">
        <v>53223</v>
      </c>
      <c r="S264" s="3"/>
      <c r="T264" s="3">
        <v>582614</v>
      </c>
      <c r="U264" s="3"/>
      <c r="V264" s="3">
        <v>109550</v>
      </c>
      <c r="W264" s="3"/>
      <c r="X264" s="3">
        <v>24701</v>
      </c>
      <c r="Y264" s="3"/>
      <c r="Z264" s="3">
        <v>9358</v>
      </c>
      <c r="AA264" s="3"/>
      <c r="AB264" s="3">
        <v>0</v>
      </c>
      <c r="AC264" s="3"/>
      <c r="AD264" s="3">
        <v>0</v>
      </c>
      <c r="AE264" s="3"/>
      <c r="AF264" s="5">
        <f t="shared" si="68"/>
        <v>0</v>
      </c>
      <c r="AG264" s="4">
        <f t="shared" si="69"/>
        <v>0</v>
      </c>
      <c r="AH264" s="5">
        <f t="shared" si="70"/>
        <v>-5287933.9116321811</v>
      </c>
      <c r="AI264" s="17">
        <f t="shared" si="62"/>
        <v>-1</v>
      </c>
      <c r="AJ264" s="17">
        <f t="shared" si="63"/>
        <v>9.112243630224505E-2</v>
      </c>
      <c r="AK264" s="14" t="e">
        <f t="shared" si="64"/>
        <v>#DIV/0!</v>
      </c>
      <c r="AL264" s="14">
        <f t="shared" si="65"/>
        <v>-1</v>
      </c>
      <c r="AO264" s="19">
        <f>+Tabla22[[#This Row],[Web + APP 2025]]+Tabla22[[#This Row],[Afiliados 2025]]+Tabla22[[#This Row],[TMK 2025]]+Tabla22[[#This Row],[WA 2025]]+Tabla22[[#This Row],[Ent. en Tienda 2025]]</f>
        <v>3269928</v>
      </c>
      <c r="AP264" s="19">
        <f>+Tabla22[[#This Row],[Meli Drop 2025]]+Tabla22[[#This Row],[Meli Full 2025]]+Tabla22[[#This Row],[Amazon Drop 2025]]+Tabla22[[#This Row],[Amazon Full 2025]]+Tabla22[[#This Row],[TikTok 2025]]+Tabla22[[#This Row],[Shein 2025]]</f>
        <v>726223</v>
      </c>
    </row>
    <row r="265" spans="1:42" hidden="1" x14ac:dyDescent="0.3">
      <c r="A265" s="7">
        <v>45919</v>
      </c>
      <c r="B265" s="3">
        <f>+'BD MD'!B264</f>
        <v>36200541</v>
      </c>
      <c r="C265" s="3">
        <f t="shared" si="71"/>
        <v>3298681.4913793104</v>
      </c>
      <c r="D265" s="4">
        <f t="shared" si="67"/>
        <v>2.8611790442464907E-2</v>
      </c>
      <c r="E265" s="3"/>
      <c r="F265" s="7">
        <v>46284</v>
      </c>
      <c r="G265" s="3">
        <f>+Tabla22[[#This Row],[Meta Digital]]+Tabla22[[#This Row],[Meta MKPlace]]</f>
        <v>4365002.6542886076</v>
      </c>
      <c r="H265" s="3">
        <f>+Tabla2[[#This Row],[Meta Digital]]</f>
        <v>3458008.8972624699</v>
      </c>
      <c r="I265" s="3">
        <f>+Tabla2[[#This Row],[Meta MKPlace]]</f>
        <v>906993.75702613755</v>
      </c>
      <c r="J265" s="3">
        <v>2528021</v>
      </c>
      <c r="K265" s="3"/>
      <c r="L265" s="3">
        <v>32440.517241379297</v>
      </c>
      <c r="M265" s="3"/>
      <c r="N265" s="3">
        <v>31205</v>
      </c>
      <c r="O265" s="3"/>
      <c r="P265" s="3">
        <v>6171</v>
      </c>
      <c r="Q265" s="3"/>
      <c r="R265" s="3">
        <v>94328</v>
      </c>
      <c r="S265" s="3"/>
      <c r="T265" s="3">
        <v>458250</v>
      </c>
      <c r="U265" s="3"/>
      <c r="V265" s="3">
        <v>104253</v>
      </c>
      <c r="W265" s="3"/>
      <c r="X265" s="3">
        <v>32064</v>
      </c>
      <c r="Y265" s="3"/>
      <c r="Z265" s="3">
        <v>11786</v>
      </c>
      <c r="AA265" s="3"/>
      <c r="AB265" s="3">
        <v>162.97413793103451</v>
      </c>
      <c r="AC265" s="3"/>
      <c r="AD265" s="3">
        <v>0</v>
      </c>
      <c r="AE265" s="3"/>
      <c r="AF265" s="5">
        <f t="shared" si="68"/>
        <v>0</v>
      </c>
      <c r="AG265" s="4">
        <f t="shared" si="69"/>
        <v>0</v>
      </c>
      <c r="AH265" s="5">
        <f t="shared" si="70"/>
        <v>-4365002.6542886076</v>
      </c>
      <c r="AI265" s="17">
        <f t="shared" si="62"/>
        <v>-1</v>
      </c>
      <c r="AJ265" s="17">
        <f t="shared" si="63"/>
        <v>6.4863648186702011E-2</v>
      </c>
      <c r="AK265" s="14" t="e">
        <f t="shared" si="64"/>
        <v>#DIV/0!</v>
      </c>
      <c r="AL265" s="14">
        <f t="shared" si="65"/>
        <v>-1</v>
      </c>
      <c r="AO265" s="19">
        <f>+Tabla22[[#This Row],[Web + APP 2025]]+Tabla22[[#This Row],[Afiliados 2025]]+Tabla22[[#This Row],[TMK 2025]]+Tabla22[[#This Row],[WA 2025]]+Tabla22[[#This Row],[Ent. en Tienda 2025]]</f>
        <v>2692165.5172413792</v>
      </c>
      <c r="AP265" s="19">
        <f>+Tabla22[[#This Row],[Meli Drop 2025]]+Tabla22[[#This Row],[Meli Full 2025]]+Tabla22[[#This Row],[Amazon Drop 2025]]+Tabla22[[#This Row],[Amazon Full 2025]]+Tabla22[[#This Row],[TikTok 2025]]+Tabla22[[#This Row],[Shein 2025]]</f>
        <v>606515.97413793101</v>
      </c>
    </row>
    <row r="266" spans="1:42" hidden="1" x14ac:dyDescent="0.3">
      <c r="A266" s="63">
        <v>45920</v>
      </c>
      <c r="B266" s="3">
        <f>+'BD MD'!B265</f>
        <v>49554588</v>
      </c>
      <c r="C266" s="3">
        <f t="shared" si="71"/>
        <v>3214291.3620689656</v>
      </c>
      <c r="D266" s="4">
        <f t="shared" si="67"/>
        <v>2.7879815348309793E-2</v>
      </c>
      <c r="E266" s="3"/>
      <c r="F266" s="7">
        <v>46285</v>
      </c>
      <c r="G266" s="3">
        <f>+Tabla22[[#This Row],[Meta Digital]]+Tabla22[[#This Row],[Meta MKPlace]]</f>
        <v>4253332.8433662485</v>
      </c>
      <c r="H266" s="3">
        <f>+Tabla2[[#This Row],[Meta Digital]]</f>
        <v>3369542.6968248277</v>
      </c>
      <c r="I266" s="3">
        <f>+Tabla2[[#This Row],[Meta MKPlace]]</f>
        <v>883790.14654142049</v>
      </c>
      <c r="J266" s="3">
        <v>2508912</v>
      </c>
      <c r="K266" s="3"/>
      <c r="L266" s="3">
        <v>33902.586206896536</v>
      </c>
      <c r="M266" s="3"/>
      <c r="N266" s="3">
        <v>41569</v>
      </c>
      <c r="O266" s="3"/>
      <c r="P266" s="3">
        <v>834</v>
      </c>
      <c r="Q266" s="3"/>
      <c r="R266" s="3">
        <v>73408</v>
      </c>
      <c r="S266" s="3"/>
      <c r="T266" s="3">
        <v>439924</v>
      </c>
      <c r="U266" s="3"/>
      <c r="V266" s="3">
        <v>75203</v>
      </c>
      <c r="W266" s="3"/>
      <c r="X266" s="3">
        <v>28962</v>
      </c>
      <c r="Y266" s="3"/>
      <c r="Z266" s="3">
        <v>9571</v>
      </c>
      <c r="AA266" s="3"/>
      <c r="AB266" s="3">
        <v>714.39655172413802</v>
      </c>
      <c r="AC266" s="3"/>
      <c r="AD266" s="3">
        <v>1291.3793103448277</v>
      </c>
      <c r="AE266" s="3"/>
      <c r="AF266" s="5">
        <f t="shared" si="68"/>
        <v>0</v>
      </c>
      <c r="AG266" s="4">
        <f t="shared" si="69"/>
        <v>0</v>
      </c>
      <c r="AH266" s="5">
        <f t="shared" si="70"/>
        <v>-4253332.8433662485</v>
      </c>
      <c r="AI266" s="17">
        <f t="shared" si="62"/>
        <v>-1</v>
      </c>
      <c r="AJ266" s="17">
        <f t="shared" si="63"/>
        <v>7.5517659242318791E-2</v>
      </c>
      <c r="AK266" s="14" t="e">
        <f t="shared" si="64"/>
        <v>#DIV/0!</v>
      </c>
      <c r="AL266" s="14">
        <f t="shared" si="65"/>
        <v>-1</v>
      </c>
      <c r="AO266" s="19">
        <f>+Tabla22[[#This Row],[Web + APP 2025]]+Tabla22[[#This Row],[Afiliados 2025]]+Tabla22[[#This Row],[TMK 2025]]+Tabla22[[#This Row],[WA 2025]]+Tabla22[[#This Row],[Ent. en Tienda 2025]]</f>
        <v>2658625.5862068967</v>
      </c>
      <c r="AP266" s="19">
        <f>+Tabla22[[#This Row],[Meli Drop 2025]]+Tabla22[[#This Row],[Meli Full 2025]]+Tabla22[[#This Row],[Amazon Drop 2025]]+Tabla22[[#This Row],[Amazon Full 2025]]+Tabla22[[#This Row],[TikTok 2025]]+Tabla22[[#This Row],[Shein 2025]]</f>
        <v>555665.77586206899</v>
      </c>
    </row>
    <row r="267" spans="1:42" hidden="1" x14ac:dyDescent="0.3">
      <c r="A267" s="7">
        <v>45921</v>
      </c>
      <c r="B267" s="3">
        <f>+'BD MD'!B266</f>
        <v>49902512</v>
      </c>
      <c r="C267" s="3">
        <f t="shared" si="71"/>
        <v>3768520.8965517241</v>
      </c>
      <c r="D267" s="4">
        <f t="shared" si="67"/>
        <v>3.2687038882648331E-2</v>
      </c>
      <c r="E267" s="3"/>
      <c r="F267" s="7">
        <v>46286</v>
      </c>
      <c r="G267" s="3">
        <f>+Tabla22[[#This Row],[Meta Digital]]+Tabla22[[#This Row],[Meta MKPlace]]</f>
        <v>4986720.8335146429</v>
      </c>
      <c r="H267" s="3">
        <f>+Tabla2[[#This Row],[Meta Digital]]</f>
        <v>3950541.7009346904</v>
      </c>
      <c r="I267" s="3">
        <f>+Tabla2[[#This Row],[Meta MKPlace]]</f>
        <v>1036179.1325799521</v>
      </c>
      <c r="J267" s="3">
        <v>3005335</v>
      </c>
      <c r="K267" s="3"/>
      <c r="L267" s="3">
        <v>40560.344827586188</v>
      </c>
      <c r="M267" s="3"/>
      <c r="N267" s="3">
        <v>7591</v>
      </c>
      <c r="O267" s="3"/>
      <c r="P267" s="3">
        <v>8870</v>
      </c>
      <c r="Q267" s="3"/>
      <c r="R267" s="3">
        <v>114424</v>
      </c>
      <c r="S267" s="3"/>
      <c r="T267" s="3">
        <v>457192</v>
      </c>
      <c r="U267" s="3"/>
      <c r="V267" s="3">
        <v>90772</v>
      </c>
      <c r="W267" s="3"/>
      <c r="X267" s="3">
        <v>35716</v>
      </c>
      <c r="Y267" s="3"/>
      <c r="Z267" s="3">
        <v>7889</v>
      </c>
      <c r="AA267" s="3"/>
      <c r="AB267" s="3">
        <v>171.55172413793105</v>
      </c>
      <c r="AC267" s="3"/>
      <c r="AD267" s="3">
        <v>0</v>
      </c>
      <c r="AE267" s="3"/>
      <c r="AF267" s="5">
        <f t="shared" si="68"/>
        <v>0</v>
      </c>
      <c r="AG267" s="4">
        <f t="shared" si="69"/>
        <v>0</v>
      </c>
      <c r="AH267" s="5">
        <f t="shared" si="70"/>
        <v>-4986720.8335146429</v>
      </c>
      <c r="AI267" s="17">
        <f t="shared" si="62"/>
        <v>-1</v>
      </c>
      <c r="AJ267" s="17">
        <f t="shared" si="63"/>
        <v>0.17991389026770591</v>
      </c>
      <c r="AK267" s="14" t="e">
        <f t="shared" si="64"/>
        <v>#DIV/0!</v>
      </c>
      <c r="AL267" s="14">
        <f t="shared" si="65"/>
        <v>-1</v>
      </c>
      <c r="AO267" s="19">
        <f>+Tabla22[[#This Row],[Web + APP 2025]]+Tabla22[[#This Row],[Afiliados 2025]]+Tabla22[[#This Row],[TMK 2025]]+Tabla22[[#This Row],[WA 2025]]+Tabla22[[#This Row],[Ent. en Tienda 2025]]</f>
        <v>3176780.3448275863</v>
      </c>
      <c r="AP267" s="19">
        <f>+Tabla22[[#This Row],[Meli Drop 2025]]+Tabla22[[#This Row],[Meli Full 2025]]+Tabla22[[#This Row],[Amazon Drop 2025]]+Tabla22[[#This Row],[Amazon Full 2025]]+Tabla22[[#This Row],[TikTok 2025]]+Tabla22[[#This Row],[Shein 2025]]</f>
        <v>591740.55172413797</v>
      </c>
    </row>
    <row r="268" spans="1:42" hidden="1" x14ac:dyDescent="0.3">
      <c r="A268" s="63">
        <v>45922</v>
      </c>
      <c r="B268" s="3">
        <f>+'BD MD'!B267</f>
        <v>29240389</v>
      </c>
      <c r="C268" s="3">
        <f t="shared" si="71"/>
        <v>5260752.1379310349</v>
      </c>
      <c r="D268" s="4">
        <f t="shared" si="67"/>
        <v>4.5630212596637749E-2</v>
      </c>
      <c r="E268" s="3"/>
      <c r="F268" s="7">
        <v>46287</v>
      </c>
      <c r="G268" s="3">
        <f>+Tabla22[[#This Row],[Meta Digital]]+Tabla22[[#This Row],[Meta MKPlace]]</f>
        <v>6961325.9436034858</v>
      </c>
      <c r="H268" s="3">
        <f>+Tabla2[[#This Row],[Meta Digital]]</f>
        <v>5514848.2042900696</v>
      </c>
      <c r="I268" s="3">
        <f>+Tabla2[[#This Row],[Meta MKPlace]]</f>
        <v>1446477.7393134166</v>
      </c>
      <c r="J268" s="3">
        <v>4228644</v>
      </c>
      <c r="K268" s="3"/>
      <c r="L268" s="3">
        <v>30948.275862068956</v>
      </c>
      <c r="M268" s="3"/>
      <c r="N268" s="3">
        <v>30977</v>
      </c>
      <c r="O268" s="3"/>
      <c r="P268" s="3">
        <v>3889</v>
      </c>
      <c r="Q268" s="3"/>
      <c r="R268" s="3">
        <v>117805</v>
      </c>
      <c r="S268" s="3"/>
      <c r="T268" s="3">
        <v>708970</v>
      </c>
      <c r="U268" s="3"/>
      <c r="V268" s="3">
        <v>87697</v>
      </c>
      <c r="W268" s="3"/>
      <c r="X268" s="3">
        <v>40001</v>
      </c>
      <c r="Y268" s="3"/>
      <c r="Z268" s="3">
        <v>9770</v>
      </c>
      <c r="AA268" s="3"/>
      <c r="AB268" s="3">
        <v>1103.4482758620691</v>
      </c>
      <c r="AC268" s="3"/>
      <c r="AD268" s="3">
        <v>947.41379310344837</v>
      </c>
      <c r="AE268" s="3"/>
      <c r="AF268" s="5">
        <f t="shared" si="68"/>
        <v>0</v>
      </c>
      <c r="AG268" s="4">
        <f t="shared" si="69"/>
        <v>0</v>
      </c>
      <c r="AH268" s="5">
        <f t="shared" si="70"/>
        <v>-6961325.9436034858</v>
      </c>
      <c r="AI268" s="17">
        <f t="shared" si="62"/>
        <v>-1</v>
      </c>
      <c r="AJ268" s="17">
        <f t="shared" si="63"/>
        <v>0.13989631202743075</v>
      </c>
      <c r="AK268" s="14" t="e">
        <f t="shared" si="64"/>
        <v>#DIV/0!</v>
      </c>
      <c r="AL268" s="14">
        <f t="shared" si="65"/>
        <v>-1</v>
      </c>
      <c r="AO268" s="19">
        <f>+Tabla22[[#This Row],[Web + APP 2025]]+Tabla22[[#This Row],[Afiliados 2025]]+Tabla22[[#This Row],[TMK 2025]]+Tabla22[[#This Row],[WA 2025]]+Tabla22[[#This Row],[Ent. en Tienda 2025]]</f>
        <v>4412263.2758620689</v>
      </c>
      <c r="AP268" s="19">
        <f>+Tabla22[[#This Row],[Meli Drop 2025]]+Tabla22[[#This Row],[Meli Full 2025]]+Tabla22[[#This Row],[Amazon Drop 2025]]+Tabla22[[#This Row],[Amazon Full 2025]]+Tabla22[[#This Row],[TikTok 2025]]+Tabla22[[#This Row],[Shein 2025]]</f>
        <v>848488.86206896545</v>
      </c>
    </row>
    <row r="269" spans="1:42" hidden="1" x14ac:dyDescent="0.3">
      <c r="A269" s="7">
        <v>45923</v>
      </c>
      <c r="B269" s="3">
        <f>+'BD MD'!B268</f>
        <v>30161823</v>
      </c>
      <c r="C269" s="3">
        <f t="shared" si="71"/>
        <v>4219527.8017241377</v>
      </c>
      <c r="D269" s="4">
        <f t="shared" si="67"/>
        <v>3.6598939771722044E-2</v>
      </c>
      <c r="E269" s="3"/>
      <c r="F269" s="7">
        <v>46288</v>
      </c>
      <c r="G269" s="3">
        <f>+Tabla22[[#This Row],[Meta Digital]]+Tabla22[[#This Row],[Meta MKPlace]]</f>
        <v>5583518.7793984395</v>
      </c>
      <c r="H269" s="3">
        <f>+Tabla2[[#This Row],[Meta Digital]]</f>
        <v>4423332.3886348512</v>
      </c>
      <c r="I269" s="3">
        <f>+Tabla2[[#This Row],[Meta MKPlace]]</f>
        <v>1160186.3907635887</v>
      </c>
      <c r="J269" s="3">
        <v>3819612</v>
      </c>
      <c r="K269" s="3"/>
      <c r="L269" s="3">
        <v>28138.793103448268</v>
      </c>
      <c r="M269" s="3"/>
      <c r="N269" s="3">
        <v>70945</v>
      </c>
      <c r="O269" s="3"/>
      <c r="P269" s="3">
        <v>2241</v>
      </c>
      <c r="Q269" s="3"/>
      <c r="R269" s="3">
        <v>108115</v>
      </c>
      <c r="S269" s="3"/>
      <c r="T269" s="3">
        <v>130750</v>
      </c>
      <c r="U269" s="3"/>
      <c r="V269" s="3">
        <v>23990</v>
      </c>
      <c r="W269" s="3"/>
      <c r="X269" s="3">
        <v>26470</v>
      </c>
      <c r="Y269" s="3"/>
      <c r="Z269" s="3">
        <v>9026</v>
      </c>
      <c r="AA269" s="3"/>
      <c r="AB269" s="3">
        <v>240.0086206896552</v>
      </c>
      <c r="AC269" s="3"/>
      <c r="AD269" s="3">
        <v>0</v>
      </c>
      <c r="AE269" s="3"/>
      <c r="AF269" s="5">
        <f t="shared" si="68"/>
        <v>0</v>
      </c>
      <c r="AG269" s="4">
        <f t="shared" si="69"/>
        <v>0</v>
      </c>
      <c r="AH269" s="5">
        <f t="shared" si="70"/>
        <v>-5583518.7793984395</v>
      </c>
      <c r="AI269" s="17">
        <f t="shared" si="62"/>
        <v>-1</v>
      </c>
      <c r="AJ269" s="17">
        <f t="shared" si="63"/>
        <v>0.14624918591141906</v>
      </c>
      <c r="AK269" s="14" t="e">
        <f t="shared" si="64"/>
        <v>#DIV/0!</v>
      </c>
      <c r="AL269" s="14">
        <f t="shared" si="65"/>
        <v>-1</v>
      </c>
      <c r="AO269" s="19">
        <f>+Tabla22[[#This Row],[Web + APP 2025]]+Tabla22[[#This Row],[Afiliados 2025]]+Tabla22[[#This Row],[TMK 2025]]+Tabla22[[#This Row],[WA 2025]]+Tabla22[[#This Row],[Ent. en Tienda 2025]]</f>
        <v>4029051.7931034481</v>
      </c>
      <c r="AP269" s="19">
        <f>+Tabla22[[#This Row],[Meli Drop 2025]]+Tabla22[[#This Row],[Meli Full 2025]]+Tabla22[[#This Row],[Amazon Drop 2025]]+Tabla22[[#This Row],[Amazon Full 2025]]+Tabla22[[#This Row],[TikTok 2025]]+Tabla22[[#This Row],[Shein 2025]]</f>
        <v>190476.00862068965</v>
      </c>
    </row>
    <row r="270" spans="1:42" hidden="1" x14ac:dyDescent="0.3">
      <c r="A270" s="63">
        <v>45924</v>
      </c>
      <c r="B270" s="3">
        <f>+'BD MD'!B269</f>
        <v>34413776</v>
      </c>
      <c r="C270" s="3">
        <f t="shared" si="71"/>
        <v>5032986.7241379311</v>
      </c>
      <c r="D270" s="4">
        <f t="shared" si="67"/>
        <v>4.3654642567666969E-2</v>
      </c>
      <c r="E270" s="3"/>
      <c r="F270" s="7">
        <v>46289</v>
      </c>
      <c r="G270" s="3">
        <f>+Tabla22[[#This Row],[Meta Digital]]+Tabla22[[#This Row],[Meta MKPlace]]</f>
        <v>6659933.8151545133</v>
      </c>
      <c r="H270" s="3">
        <f>+Tabla2[[#This Row],[Meta Digital]]</f>
        <v>5276081.6457594708</v>
      </c>
      <c r="I270" s="3">
        <f>+Tabla2[[#This Row],[Meta MKPlace]]</f>
        <v>1383852.1693950428</v>
      </c>
      <c r="J270" s="3">
        <v>3568039</v>
      </c>
      <c r="K270" s="3"/>
      <c r="L270" s="3">
        <v>27351.724137931025</v>
      </c>
      <c r="M270" s="3"/>
      <c r="N270" s="3">
        <v>49010</v>
      </c>
      <c r="O270" s="3"/>
      <c r="P270" s="3">
        <v>1023</v>
      </c>
      <c r="Q270" s="3"/>
      <c r="R270" s="3">
        <v>128430</v>
      </c>
      <c r="S270" s="3"/>
      <c r="T270" s="3">
        <v>1012262</v>
      </c>
      <c r="U270" s="3"/>
      <c r="V270" s="3">
        <v>207202</v>
      </c>
      <c r="W270" s="3"/>
      <c r="X270" s="3">
        <v>31837</v>
      </c>
      <c r="Y270" s="3"/>
      <c r="Z270" s="3">
        <v>7832</v>
      </c>
      <c r="AA270" s="3"/>
      <c r="AB270" s="3">
        <v>0</v>
      </c>
      <c r="AC270" s="3"/>
      <c r="AD270" s="3">
        <v>0</v>
      </c>
      <c r="AE270" s="3"/>
      <c r="AF270" s="5">
        <f t="shared" si="68"/>
        <v>0</v>
      </c>
      <c r="AG270" s="4">
        <f t="shared" si="69"/>
        <v>0</v>
      </c>
      <c r="AH270" s="5">
        <f t="shared" si="70"/>
        <v>-6659933.8151545133</v>
      </c>
      <c r="AI270" s="17">
        <f t="shared" si="62"/>
        <v>-1</v>
      </c>
      <c r="AJ270" s="17">
        <f t="shared" si="63"/>
        <v>0.1063717820812342</v>
      </c>
      <c r="AK270" s="14" t="e">
        <f t="shared" si="64"/>
        <v>#DIV/0!</v>
      </c>
      <c r="AL270" s="14">
        <f t="shared" si="65"/>
        <v>-1</v>
      </c>
      <c r="AO270" s="19">
        <f>+Tabla22[[#This Row],[Web + APP 2025]]+Tabla22[[#This Row],[Afiliados 2025]]+Tabla22[[#This Row],[TMK 2025]]+Tabla22[[#This Row],[WA 2025]]+Tabla22[[#This Row],[Ent. en Tienda 2025]]</f>
        <v>3773853.7241379311</v>
      </c>
      <c r="AP270" s="19">
        <f>+Tabla22[[#This Row],[Meli Drop 2025]]+Tabla22[[#This Row],[Meli Full 2025]]+Tabla22[[#This Row],[Amazon Drop 2025]]+Tabla22[[#This Row],[Amazon Full 2025]]+Tabla22[[#This Row],[TikTok 2025]]+Tabla22[[#This Row],[Shein 2025]]</f>
        <v>1259133</v>
      </c>
    </row>
    <row r="271" spans="1:42" hidden="1" x14ac:dyDescent="0.3">
      <c r="A271" s="7">
        <v>45925</v>
      </c>
      <c r="B271" s="3">
        <f>+'BD MD'!B270</f>
        <v>37280200</v>
      </c>
      <c r="C271" s="3">
        <f t="shared" si="71"/>
        <v>3965561.3103448274</v>
      </c>
      <c r="D271" s="4">
        <f t="shared" si="67"/>
        <v>3.4396109322725132E-2</v>
      </c>
      <c r="E271" s="3"/>
      <c r="F271" s="7">
        <v>46290</v>
      </c>
      <c r="G271" s="3">
        <f>+Tabla22[[#This Row],[Meta Digital]]+Tabla22[[#This Row],[Meta MKPlace]]</f>
        <v>5247455.8973444598</v>
      </c>
      <c r="H271" s="3">
        <f>+Tabla2[[#This Row],[Meta Digital]]</f>
        <v>4157099.2318140729</v>
      </c>
      <c r="I271" s="3">
        <f>+Tabla2[[#This Row],[Meta MKPlace]]</f>
        <v>1090356.6655303866</v>
      </c>
      <c r="J271" s="3">
        <v>3032045</v>
      </c>
      <c r="K271" s="3"/>
      <c r="L271" s="3">
        <v>32489.655172413783</v>
      </c>
      <c r="M271" s="3"/>
      <c r="N271" s="3">
        <v>32271</v>
      </c>
      <c r="O271" s="3"/>
      <c r="P271" s="3">
        <v>854</v>
      </c>
      <c r="Q271" s="3"/>
      <c r="R271" s="3">
        <v>141184</v>
      </c>
      <c r="S271" s="3"/>
      <c r="T271" s="3">
        <v>537518</v>
      </c>
      <c r="U271" s="3"/>
      <c r="V271" s="3">
        <v>147100</v>
      </c>
      <c r="W271" s="3"/>
      <c r="X271" s="3">
        <v>28015</v>
      </c>
      <c r="Y271" s="3"/>
      <c r="Z271" s="3">
        <v>5570</v>
      </c>
      <c r="AA271" s="3"/>
      <c r="AB271" s="3">
        <v>8514.6551724137935</v>
      </c>
      <c r="AC271" s="3"/>
      <c r="AD271" s="3">
        <v>0</v>
      </c>
      <c r="AE271" s="3"/>
      <c r="AF271" s="5">
        <f t="shared" si="68"/>
        <v>0</v>
      </c>
      <c r="AG271" s="4">
        <f t="shared" si="69"/>
        <v>0</v>
      </c>
      <c r="AH271" s="5">
        <f t="shared" si="70"/>
        <v>-5247455.8973444598</v>
      </c>
      <c r="AI271" s="17">
        <f t="shared" si="62"/>
        <v>-1</v>
      </c>
      <c r="AJ271" s="17">
        <f t="shared" si="63"/>
        <v>7.4994828748070924E-2</v>
      </c>
      <c r="AK271" s="14" t="e">
        <f t="shared" si="64"/>
        <v>#DIV/0!</v>
      </c>
      <c r="AL271" s="14">
        <f t="shared" si="65"/>
        <v>-1</v>
      </c>
      <c r="AO271" s="19">
        <f>+Tabla22[[#This Row],[Web + APP 2025]]+Tabla22[[#This Row],[Afiliados 2025]]+Tabla22[[#This Row],[TMK 2025]]+Tabla22[[#This Row],[WA 2025]]+Tabla22[[#This Row],[Ent. en Tienda 2025]]</f>
        <v>3238843.6551724137</v>
      </c>
      <c r="AP271" s="19">
        <f>+Tabla22[[#This Row],[Meli Drop 2025]]+Tabla22[[#This Row],[Meli Full 2025]]+Tabla22[[#This Row],[Amazon Drop 2025]]+Tabla22[[#This Row],[Amazon Full 2025]]+Tabla22[[#This Row],[TikTok 2025]]+Tabla22[[#This Row],[Shein 2025]]</f>
        <v>726717.6551724138</v>
      </c>
    </row>
    <row r="272" spans="1:42" hidden="1" x14ac:dyDescent="0.3">
      <c r="A272" s="63">
        <v>45926</v>
      </c>
      <c r="B272" s="3">
        <f>+'BD MD'!B271</f>
        <v>42246323</v>
      </c>
      <c r="C272" s="3">
        <f t="shared" si="71"/>
        <v>3168255.7586206896</v>
      </c>
      <c r="D272" s="4">
        <f t="shared" si="67"/>
        <v>2.7480516100353687E-2</v>
      </c>
      <c r="E272" s="3"/>
      <c r="F272" s="7">
        <v>46291</v>
      </c>
      <c r="G272" s="3">
        <f>+Tabla22[[#This Row],[Meta Digital]]+Tabla22[[#This Row],[Meta MKPlace]]</f>
        <v>4192415.9189015348</v>
      </c>
      <c r="H272" s="3">
        <f>+Tabla2[[#This Row],[Meta Digital]]</f>
        <v>3321283.5585203227</v>
      </c>
      <c r="I272" s="3">
        <f>+Tabla2[[#This Row],[Meta MKPlace]]</f>
        <v>871132.36038121185</v>
      </c>
      <c r="J272" s="3">
        <v>2325415</v>
      </c>
      <c r="K272" s="3"/>
      <c r="L272" s="3">
        <v>32150.862068965511</v>
      </c>
      <c r="M272" s="3"/>
      <c r="N272" s="3">
        <v>53906</v>
      </c>
      <c r="O272" s="3"/>
      <c r="P272" s="3">
        <v>1765</v>
      </c>
      <c r="Q272" s="3"/>
      <c r="R272" s="3">
        <v>83502</v>
      </c>
      <c r="S272" s="3"/>
      <c r="T272" s="3">
        <v>491681</v>
      </c>
      <c r="U272" s="3"/>
      <c r="V272" s="3">
        <v>151968</v>
      </c>
      <c r="W272" s="3"/>
      <c r="X272" s="3">
        <v>22504</v>
      </c>
      <c r="Y272" s="3"/>
      <c r="Z272" s="3">
        <v>4607</v>
      </c>
      <c r="AA272" s="3"/>
      <c r="AB272" s="3">
        <v>756.89655172413802</v>
      </c>
      <c r="AC272" s="3"/>
      <c r="AD272" s="3">
        <v>0</v>
      </c>
      <c r="AE272" s="3"/>
      <c r="AF272" s="5">
        <f t="shared" si="68"/>
        <v>0</v>
      </c>
      <c r="AG272" s="4">
        <f t="shared" si="69"/>
        <v>0</v>
      </c>
      <c r="AH272" s="5">
        <f t="shared" si="70"/>
        <v>-4192415.9189015348</v>
      </c>
      <c r="AI272" s="17">
        <f t="shared" si="62"/>
        <v>-1</v>
      </c>
      <c r="AJ272" s="17">
        <f t="shared" si="63"/>
        <v>5.671854473915483E-2</v>
      </c>
      <c r="AK272" s="14" t="e">
        <f t="shared" si="64"/>
        <v>#DIV/0!</v>
      </c>
      <c r="AL272" s="14">
        <f t="shared" si="65"/>
        <v>-1</v>
      </c>
      <c r="AO272" s="19">
        <f>+Tabla22[[#This Row],[Web + APP 2025]]+Tabla22[[#This Row],[Afiliados 2025]]+Tabla22[[#This Row],[TMK 2025]]+Tabla22[[#This Row],[WA 2025]]+Tabla22[[#This Row],[Ent. en Tienda 2025]]</f>
        <v>2496738.8620689656</v>
      </c>
      <c r="AP272" s="19">
        <f>+Tabla22[[#This Row],[Meli Drop 2025]]+Tabla22[[#This Row],[Meli Full 2025]]+Tabla22[[#This Row],[Amazon Drop 2025]]+Tabla22[[#This Row],[Amazon Full 2025]]+Tabla22[[#This Row],[TikTok 2025]]+Tabla22[[#This Row],[Shein 2025]]</f>
        <v>671516.89655172417</v>
      </c>
    </row>
    <row r="273" spans="1:42" hidden="1" x14ac:dyDescent="0.3">
      <c r="A273" s="7">
        <v>45927</v>
      </c>
      <c r="B273" s="3">
        <f>+'BD MD'!B272</f>
        <v>48917414</v>
      </c>
      <c r="C273" s="3">
        <f t="shared" si="71"/>
        <v>2774524.534482759</v>
      </c>
      <c r="D273" s="4">
        <f t="shared" si="67"/>
        <v>2.4065407577408916E-2</v>
      </c>
      <c r="E273" s="3"/>
      <c r="F273" s="7">
        <v>46292</v>
      </c>
      <c r="G273" s="3">
        <f>+Tabla22[[#This Row],[Meta Digital]]+Tabla22[[#This Row],[Meta MKPlace]]</f>
        <v>3671408.4063757532</v>
      </c>
      <c r="H273" s="3">
        <f>+Tabla2[[#This Row],[Meta Digital]]</f>
        <v>2908534.9861718905</v>
      </c>
      <c r="I273" s="3">
        <f>+Tabla2[[#This Row],[Meta MKPlace]]</f>
        <v>762873.4202038626</v>
      </c>
      <c r="J273" s="3">
        <v>1949302</v>
      </c>
      <c r="K273" s="3"/>
      <c r="L273" s="3">
        <v>33178.448275862058</v>
      </c>
      <c r="M273" s="3"/>
      <c r="N273" s="3">
        <v>11242</v>
      </c>
      <c r="O273" s="3"/>
      <c r="P273" s="3">
        <v>4281</v>
      </c>
      <c r="Q273" s="3"/>
      <c r="R273" s="3">
        <v>94716</v>
      </c>
      <c r="S273" s="3"/>
      <c r="T273" s="3">
        <v>515813</v>
      </c>
      <c r="U273" s="3"/>
      <c r="V273" s="3">
        <v>133564</v>
      </c>
      <c r="W273" s="3"/>
      <c r="X273" s="3">
        <v>17092</v>
      </c>
      <c r="Y273" s="3"/>
      <c r="Z273" s="3">
        <v>8878</v>
      </c>
      <c r="AA273" s="3"/>
      <c r="AB273" s="3">
        <v>6458.0862068965525</v>
      </c>
      <c r="AC273" s="3"/>
      <c r="AD273" s="3">
        <v>0</v>
      </c>
      <c r="AE273" s="3"/>
      <c r="AF273" s="5">
        <f t="shared" si="68"/>
        <v>0</v>
      </c>
      <c r="AG273" s="4">
        <f t="shared" si="69"/>
        <v>0</v>
      </c>
      <c r="AH273" s="5">
        <f t="shared" si="70"/>
        <v>-3671408.4063757532</v>
      </c>
      <c r="AI273" s="17">
        <f t="shared" ref="AI273:AI336" si="72">+AF273/C274-1</f>
        <v>-1</v>
      </c>
      <c r="AJ273" s="17">
        <f t="shared" ref="AJ273:AJ336" si="73">+C274/B274</f>
        <v>6.7618035616147321E-2</v>
      </c>
      <c r="AK273" s="14" t="e">
        <f t="shared" ref="AK273:AK336" si="74">+AF273/E273</f>
        <v>#DIV/0!</v>
      </c>
      <c r="AL273" s="14">
        <f t="shared" ref="AL273:AL336" si="75">+E273/B274-1</f>
        <v>-1</v>
      </c>
      <c r="AO273" s="19">
        <f>+Tabla22[[#This Row],[Web + APP 2025]]+Tabla22[[#This Row],[Afiliados 2025]]+Tabla22[[#This Row],[TMK 2025]]+Tabla22[[#This Row],[WA 2025]]+Tabla22[[#This Row],[Ent. en Tienda 2025]]</f>
        <v>2092719.448275862</v>
      </c>
      <c r="AP273" s="19">
        <f>+Tabla22[[#This Row],[Meli Drop 2025]]+Tabla22[[#This Row],[Meli Full 2025]]+Tabla22[[#This Row],[Amazon Drop 2025]]+Tabla22[[#This Row],[Amazon Full 2025]]+Tabla22[[#This Row],[TikTok 2025]]+Tabla22[[#This Row],[Shein 2025]]</f>
        <v>681805.08620689658</v>
      </c>
    </row>
    <row r="274" spans="1:42" hidden="1" x14ac:dyDescent="0.3">
      <c r="A274" s="63">
        <v>45928</v>
      </c>
      <c r="B274" s="3">
        <f>+'BD MD'!B273</f>
        <v>50196219</v>
      </c>
      <c r="C274" s="3">
        <f t="shared" si="71"/>
        <v>3394169.7241379311</v>
      </c>
      <c r="D274" s="4">
        <f t="shared" si="67"/>
        <v>2.9440027212990022E-2</v>
      </c>
      <c r="E274" s="3"/>
      <c r="F274" s="7">
        <v>46293</v>
      </c>
      <c r="G274" s="3">
        <f>+Tabla22[[#This Row],[Meta Digital]]+Tabla22[[#This Row],[Meta MKPlace]]</f>
        <v>4491358.1058634203</v>
      </c>
      <c r="H274" s="3">
        <f>+Tabla2[[#This Row],[Meta Digital]]</f>
        <v>3558109.2432116363</v>
      </c>
      <c r="I274" s="3">
        <f>+Tabla2[[#This Row],[Meta MKPlace]]</f>
        <v>933248.86265178374</v>
      </c>
      <c r="J274" s="3">
        <v>2625801</v>
      </c>
      <c r="K274" s="3"/>
      <c r="L274" s="3">
        <v>32585.344827586199</v>
      </c>
      <c r="M274" s="3"/>
      <c r="N274" s="3">
        <v>-5250</v>
      </c>
      <c r="O274" s="3"/>
      <c r="P274" s="3">
        <v>868</v>
      </c>
      <c r="Q274" s="3"/>
      <c r="R274" s="3">
        <v>97488</v>
      </c>
      <c r="S274" s="3"/>
      <c r="T274" s="3">
        <v>448438</v>
      </c>
      <c r="U274" s="3"/>
      <c r="V274" s="3">
        <v>152669</v>
      </c>
      <c r="W274" s="3"/>
      <c r="X274" s="3">
        <v>32751</v>
      </c>
      <c r="Y274" s="3"/>
      <c r="Z274" s="3">
        <v>8303</v>
      </c>
      <c r="AA274" s="3"/>
      <c r="AB274" s="3">
        <v>516.37931034482767</v>
      </c>
      <c r="AC274" s="3"/>
      <c r="AD274" s="3">
        <v>0</v>
      </c>
      <c r="AE274" s="3"/>
      <c r="AF274" s="5">
        <f t="shared" si="68"/>
        <v>0</v>
      </c>
      <c r="AG274" s="4">
        <f t="shared" si="69"/>
        <v>0</v>
      </c>
      <c r="AH274" s="5">
        <f t="shared" si="70"/>
        <v>-4491358.1058634203</v>
      </c>
      <c r="AI274" s="17">
        <f t="shared" si="72"/>
        <v>-1</v>
      </c>
      <c r="AJ274" s="17">
        <f t="shared" si="73"/>
        <v>0.15569618443092395</v>
      </c>
      <c r="AK274" s="14" t="e">
        <f t="shared" si="74"/>
        <v>#DIV/0!</v>
      </c>
      <c r="AL274" s="14">
        <f t="shared" si="75"/>
        <v>-1</v>
      </c>
      <c r="AO274" s="19">
        <f>+Tabla22[[#This Row],[Web + APP 2025]]+Tabla22[[#This Row],[Afiliados 2025]]+Tabla22[[#This Row],[TMK 2025]]+Tabla22[[#This Row],[WA 2025]]+Tabla22[[#This Row],[Ent. en Tienda 2025]]</f>
        <v>2751492.3448275863</v>
      </c>
      <c r="AP274" s="19">
        <f>+Tabla22[[#This Row],[Meli Drop 2025]]+Tabla22[[#This Row],[Meli Full 2025]]+Tabla22[[#This Row],[Amazon Drop 2025]]+Tabla22[[#This Row],[Amazon Full 2025]]+Tabla22[[#This Row],[TikTok 2025]]+Tabla22[[#This Row],[Shein 2025]]</f>
        <v>642677.37931034481</v>
      </c>
    </row>
    <row r="275" spans="1:42" hidden="1" x14ac:dyDescent="0.3">
      <c r="A275" s="7">
        <v>45929</v>
      </c>
      <c r="B275" s="3">
        <f>+'BD MD'!B274</f>
        <v>28392462</v>
      </c>
      <c r="C275" s="3">
        <f t="shared" si="71"/>
        <v>4420598</v>
      </c>
      <c r="D275" s="4">
        <f t="shared" si="67"/>
        <v>3.834296337397905E-2</v>
      </c>
      <c r="E275" s="3"/>
      <c r="F275" s="7">
        <v>46294</v>
      </c>
      <c r="G275" s="3">
        <f>+Tabla22[[#This Row],[Meta Digital]]+Tabla22[[#This Row],[Meta MKPlace]]</f>
        <v>5849586.282874045</v>
      </c>
      <c r="H275" s="3">
        <f>+Tabla2[[#This Row],[Meta Digital]]</f>
        <v>4634114.3439189093</v>
      </c>
      <c r="I275" s="3">
        <f>+Tabla2[[#This Row],[Meta MKPlace]]</f>
        <v>1215471.9389551359</v>
      </c>
      <c r="J275" s="3">
        <v>3385820</v>
      </c>
      <c r="K275" s="3"/>
      <c r="L275" s="3">
        <v>30803.448275862058</v>
      </c>
      <c r="M275" s="3"/>
      <c r="N275" s="3">
        <v>62947</v>
      </c>
      <c r="O275" s="3"/>
      <c r="P275" s="3">
        <v>3822</v>
      </c>
      <c r="Q275" s="3"/>
      <c r="R275" s="3">
        <v>93490</v>
      </c>
      <c r="S275" s="3"/>
      <c r="T275" s="3">
        <v>662792</v>
      </c>
      <c r="U275" s="3"/>
      <c r="V275" s="3">
        <v>132803</v>
      </c>
      <c r="W275" s="3"/>
      <c r="X275" s="3">
        <v>35780</v>
      </c>
      <c r="Y275" s="3"/>
      <c r="Z275" s="3">
        <v>6759</v>
      </c>
      <c r="AA275" s="3"/>
      <c r="AB275" s="3">
        <v>5581.5517241379321</v>
      </c>
      <c r="AC275" s="3"/>
      <c r="AD275" s="3">
        <v>0</v>
      </c>
      <c r="AE275" s="3"/>
      <c r="AF275" s="5">
        <f t="shared" si="68"/>
        <v>0</v>
      </c>
      <c r="AG275" s="4">
        <f t="shared" si="69"/>
        <v>0</v>
      </c>
      <c r="AH275" s="5">
        <f t="shared" si="70"/>
        <v>-5849586.282874045</v>
      </c>
      <c r="AI275" s="17">
        <f t="shared" si="72"/>
        <v>-1</v>
      </c>
      <c r="AJ275" s="17">
        <f t="shared" si="73"/>
        <v>0.1606790171733688</v>
      </c>
      <c r="AK275" s="14" t="e">
        <f t="shared" si="74"/>
        <v>#DIV/0!</v>
      </c>
      <c r="AL275" s="14">
        <f t="shared" si="75"/>
        <v>-1</v>
      </c>
      <c r="AO275" s="19">
        <f>+Tabla22[[#This Row],[Web + APP 2025]]+Tabla22[[#This Row],[Afiliados 2025]]+Tabla22[[#This Row],[TMK 2025]]+Tabla22[[#This Row],[WA 2025]]+Tabla22[[#This Row],[Ent. en Tienda 2025]]</f>
        <v>3576882.4482758623</v>
      </c>
      <c r="AP275" s="19">
        <f>+Tabla22[[#This Row],[Meli Drop 2025]]+Tabla22[[#This Row],[Meli Full 2025]]+Tabla22[[#This Row],[Amazon Drop 2025]]+Tabla22[[#This Row],[Amazon Full 2025]]+Tabla22[[#This Row],[TikTok 2025]]+Tabla22[[#This Row],[Shein 2025]]</f>
        <v>843715.55172413797</v>
      </c>
    </row>
    <row r="276" spans="1:42" hidden="1" x14ac:dyDescent="0.3">
      <c r="A276" s="63">
        <v>45930</v>
      </c>
      <c r="B276" s="3">
        <f>+'BD MD'!B275</f>
        <v>31463170</v>
      </c>
      <c r="C276" s="3">
        <f t="shared" si="71"/>
        <v>5055471.2327586217</v>
      </c>
      <c r="D276" s="4">
        <f t="shared" si="67"/>
        <v>4.3849666564539126E-2</v>
      </c>
      <c r="E276" s="3"/>
      <c r="F276" s="7">
        <v>46295</v>
      </c>
      <c r="G276" s="3">
        <f>+Tabla22[[#This Row],[Meta Digital]]+Tabla22[[#This Row],[Meta MKPlace]]</f>
        <v>6689686.593671076</v>
      </c>
      <c r="H276" s="3">
        <f>+Tabla2[[#This Row],[Meta Digital]]</f>
        <v>5299652.1635751855</v>
      </c>
      <c r="I276" s="3">
        <f>+Tabla2[[#This Row],[Meta MKPlace]]</f>
        <v>1390034.4300958903</v>
      </c>
      <c r="J276" s="3">
        <v>4032670</v>
      </c>
      <c r="K276" s="3"/>
      <c r="L276" s="3">
        <v>36310.344827586196</v>
      </c>
      <c r="M276" s="3"/>
      <c r="N276" s="3">
        <v>32319</v>
      </c>
      <c r="O276" s="3"/>
      <c r="P276" s="3">
        <v>5531</v>
      </c>
      <c r="Q276" s="3"/>
      <c r="R276" s="3">
        <v>92689</v>
      </c>
      <c r="S276" s="3"/>
      <c r="T276" s="3">
        <v>711212</v>
      </c>
      <c r="U276" s="3"/>
      <c r="V276" s="3">
        <v>102182</v>
      </c>
      <c r="W276" s="3"/>
      <c r="X276" s="3">
        <v>36207</v>
      </c>
      <c r="Y276" s="3"/>
      <c r="Z276" s="3">
        <v>5283</v>
      </c>
      <c r="AA276" s="3"/>
      <c r="AB276" s="3">
        <v>1067.8879310344828</v>
      </c>
      <c r="AC276" s="3"/>
      <c r="AD276" s="3">
        <v>0</v>
      </c>
      <c r="AE276" s="3"/>
      <c r="AF276" s="5">
        <f t="shared" si="68"/>
        <v>0</v>
      </c>
      <c r="AG276" s="4">
        <f t="shared" si="69"/>
        <v>0</v>
      </c>
      <c r="AH276" s="5">
        <f t="shared" si="70"/>
        <v>-6689686.593671076</v>
      </c>
      <c r="AI276" s="17">
        <f t="shared" si="72"/>
        <v>-1</v>
      </c>
      <c r="AJ276" s="17">
        <f t="shared" si="73"/>
        <v>0.13411267102576951</v>
      </c>
      <c r="AK276" s="14" t="e">
        <f t="shared" si="74"/>
        <v>#DIV/0!</v>
      </c>
      <c r="AL276" s="14">
        <f t="shared" si="75"/>
        <v>-1</v>
      </c>
      <c r="AO276" s="19">
        <f>+Tabla22[[#This Row],[Web + APP 2025]]+Tabla22[[#This Row],[Afiliados 2025]]+Tabla22[[#This Row],[TMK 2025]]+Tabla22[[#This Row],[WA 2025]]+Tabla22[[#This Row],[Ent. en Tienda 2025]]</f>
        <v>4199519.3448275868</v>
      </c>
      <c r="AP276" s="19">
        <f>+Tabla22[[#This Row],[Meli Drop 2025]]+Tabla22[[#This Row],[Meli Full 2025]]+Tabla22[[#This Row],[Amazon Drop 2025]]+Tabla22[[#This Row],[Amazon Full 2025]]+Tabla22[[#This Row],[TikTok 2025]]+Tabla22[[#This Row],[Shein 2025]]</f>
        <v>855951.88793103443</v>
      </c>
    </row>
    <row r="277" spans="1:42" hidden="1" x14ac:dyDescent="0.3">
      <c r="A277" s="7">
        <v>45931</v>
      </c>
      <c r="B277" s="3">
        <f>+'BD MD'!B276</f>
        <v>35229204</v>
      </c>
      <c r="C277" s="3">
        <f t="shared" si="71"/>
        <v>4724682.6465517236</v>
      </c>
      <c r="D277" s="4">
        <f>+C277/(SUM($C$277:$C$307))</f>
        <v>3.504005182694659E-2</v>
      </c>
      <c r="E277" s="3"/>
      <c r="F277" s="7">
        <v>46296</v>
      </c>
      <c r="G277" s="3">
        <f>+Tabla22[[#This Row],[Meta Digital]]+Tabla22[[#This Row],[Meta MKPlace]]</f>
        <v>6234147.6599421166</v>
      </c>
      <c r="H277" s="3">
        <f>+Tabla2[[#This Row],[Meta Digital]]</f>
        <v>5055049.9159653643</v>
      </c>
      <c r="I277" s="3">
        <f>+Tabla2[[#This Row],[Meta MKPlace]]</f>
        <v>1179097.7439767527</v>
      </c>
      <c r="J277" s="3">
        <v>3666861</v>
      </c>
      <c r="K277" s="3"/>
      <c r="L277" s="3">
        <v>32699.999999999978</v>
      </c>
      <c r="M277" s="3"/>
      <c r="N277" s="3">
        <v>61161</v>
      </c>
      <c r="O277" s="3"/>
      <c r="P277" s="3">
        <v>4101</v>
      </c>
      <c r="Q277" s="3"/>
      <c r="R277" s="3">
        <v>118698</v>
      </c>
      <c r="S277" s="3"/>
      <c r="T277" s="3">
        <v>660285</v>
      </c>
      <c r="U277" s="3"/>
      <c r="V277" s="3">
        <v>134226</v>
      </c>
      <c r="W277" s="3"/>
      <c r="X277" s="3">
        <v>33430</v>
      </c>
      <c r="Y277" s="3"/>
      <c r="Z277" s="3">
        <v>4950</v>
      </c>
      <c r="AA277" s="3"/>
      <c r="AB277" s="3">
        <v>7668.060344827587</v>
      </c>
      <c r="AC277" s="3"/>
      <c r="AD277" s="3">
        <v>602.58620689655174</v>
      </c>
      <c r="AE277" s="3"/>
      <c r="AF277" s="5">
        <f t="shared" si="68"/>
        <v>0</v>
      </c>
      <c r="AG277" s="4">
        <f t="shared" si="69"/>
        <v>0</v>
      </c>
      <c r="AH277" s="5">
        <f t="shared" si="70"/>
        <v>-6234147.6599421166</v>
      </c>
      <c r="AI277" s="17">
        <f t="shared" si="72"/>
        <v>-1</v>
      </c>
      <c r="AJ277" s="17">
        <f t="shared" si="73"/>
        <v>0.10301436205853891</v>
      </c>
      <c r="AK277" s="14" t="e">
        <f t="shared" si="74"/>
        <v>#DIV/0!</v>
      </c>
      <c r="AL277" s="14">
        <f t="shared" si="75"/>
        <v>-1</v>
      </c>
      <c r="AO277" s="19">
        <f>+Tabla22[[#This Row],[Web + APP 2025]]+Tabla22[[#This Row],[Afiliados 2025]]+Tabla22[[#This Row],[TMK 2025]]+Tabla22[[#This Row],[WA 2025]]+Tabla22[[#This Row],[Ent. en Tienda 2025]]</f>
        <v>3883521</v>
      </c>
      <c r="AP277" s="19">
        <f>+Tabla22[[#This Row],[Meli Drop 2025]]+Tabla22[[#This Row],[Meli Full 2025]]+Tabla22[[#This Row],[Amazon Drop 2025]]+Tabla22[[#This Row],[Amazon Full 2025]]+Tabla22[[#This Row],[TikTok 2025]]+Tabla22[[#This Row],[Shein 2025]]</f>
        <v>841161.64655172417</v>
      </c>
    </row>
    <row r="278" spans="1:42" hidden="1" x14ac:dyDescent="0.3">
      <c r="A278" s="63">
        <v>45932</v>
      </c>
      <c r="B278" s="3">
        <f>+'BD MD'!B277</f>
        <v>40655242</v>
      </c>
      <c r="C278" s="3">
        <f t="shared" si="71"/>
        <v>4188073.8189655175</v>
      </c>
      <c r="D278" s="4">
        <f t="shared" ref="D278:D306" si="76">+C278/(SUM($C$277:$C$307))</f>
        <v>3.1060355721189984E-2</v>
      </c>
      <c r="E278" s="3"/>
      <c r="F278" s="7">
        <v>46297</v>
      </c>
      <c r="G278" s="3">
        <f>+Tabla22[[#This Row],[Meta Digital]]+Tabla22[[#This Row],[Meta MKPlace]]</f>
        <v>5526100.3862818694</v>
      </c>
      <c r="H278" s="3">
        <f>+Tabla2[[#This Row],[Meta Digital]]</f>
        <v>4480919.4162638262</v>
      </c>
      <c r="I278" s="3">
        <f>+Tabla2[[#This Row],[Meta MKPlace]]</f>
        <v>1045180.9700180429</v>
      </c>
      <c r="J278" s="3">
        <v>3300421</v>
      </c>
      <c r="K278" s="3"/>
      <c r="L278" s="3">
        <v>32825.862068965493</v>
      </c>
      <c r="M278" s="3"/>
      <c r="N278" s="3">
        <v>37692</v>
      </c>
      <c r="O278" s="3"/>
      <c r="P278" s="3">
        <v>7757</v>
      </c>
      <c r="Q278" s="3"/>
      <c r="R278" s="3">
        <v>138994</v>
      </c>
      <c r="S278" s="3"/>
      <c r="T278" s="3">
        <v>486606</v>
      </c>
      <c r="U278" s="3"/>
      <c r="V278" s="3">
        <v>138868</v>
      </c>
      <c r="W278" s="3"/>
      <c r="X278" s="3">
        <v>29586</v>
      </c>
      <c r="Y278" s="3"/>
      <c r="Z278" s="3">
        <v>6542</v>
      </c>
      <c r="AA278" s="3"/>
      <c r="AB278" s="3">
        <v>7145.75</v>
      </c>
      <c r="AC278" s="3"/>
      <c r="AD278" s="3">
        <v>1636.2068965517242</v>
      </c>
      <c r="AE278" s="3"/>
      <c r="AF278" s="5">
        <f t="shared" si="68"/>
        <v>0</v>
      </c>
      <c r="AG278" s="4">
        <f t="shared" si="69"/>
        <v>0</v>
      </c>
      <c r="AH278" s="5">
        <f t="shared" si="70"/>
        <v>-5526100.3862818694</v>
      </c>
      <c r="AI278" s="17">
        <f t="shared" si="72"/>
        <v>-1</v>
      </c>
      <c r="AJ278" s="17">
        <f t="shared" si="73"/>
        <v>8.1622369023297725E-2</v>
      </c>
      <c r="AK278" s="14" t="e">
        <f t="shared" si="74"/>
        <v>#DIV/0!</v>
      </c>
      <c r="AL278" s="14">
        <f t="shared" si="75"/>
        <v>-1</v>
      </c>
      <c r="AO278" s="19">
        <f>+Tabla22[[#This Row],[Web + APP 2025]]+Tabla22[[#This Row],[Afiliados 2025]]+Tabla22[[#This Row],[TMK 2025]]+Tabla22[[#This Row],[WA 2025]]+Tabla22[[#This Row],[Ent. en Tienda 2025]]</f>
        <v>3517689.8620689656</v>
      </c>
      <c r="AP278" s="19">
        <f>+Tabla22[[#This Row],[Meli Drop 2025]]+Tabla22[[#This Row],[Meli Full 2025]]+Tabla22[[#This Row],[Amazon Drop 2025]]+Tabla22[[#This Row],[Amazon Full 2025]]+Tabla22[[#This Row],[TikTok 2025]]+Tabla22[[#This Row],[Shein 2025]]</f>
        <v>670383.95689655177</v>
      </c>
    </row>
    <row r="279" spans="1:42" hidden="1" x14ac:dyDescent="0.3">
      <c r="A279" s="7">
        <v>45933</v>
      </c>
      <c r="B279" s="3">
        <f>+'BD MD'!B278</f>
        <v>40527045</v>
      </c>
      <c r="C279" s="3">
        <f t="shared" si="71"/>
        <v>3307913.4224137929</v>
      </c>
      <c r="D279" s="4">
        <f t="shared" si="76"/>
        <v>2.4532749907557765E-2</v>
      </c>
      <c r="E279" s="3"/>
      <c r="F279" s="7">
        <v>46298</v>
      </c>
      <c r="G279" s="3">
        <f>+Tabla22[[#This Row],[Meta Digital]]+Tabla22[[#This Row],[Meta MKPlace]]</f>
        <v>4364741.9867835781</v>
      </c>
      <c r="H279" s="3">
        <f>+Tabla2[[#This Row],[Meta Digital]]</f>
        <v>3539214.9523942596</v>
      </c>
      <c r="I279" s="3">
        <f>+Tabla2[[#This Row],[Meta MKPlace]]</f>
        <v>825527.03438931878</v>
      </c>
      <c r="J279" s="3">
        <v>2511111</v>
      </c>
      <c r="K279" s="3"/>
      <c r="L279" s="3">
        <v>29472.413793103427</v>
      </c>
      <c r="M279" s="3"/>
      <c r="N279" s="3">
        <v>35787</v>
      </c>
      <c r="O279" s="3"/>
      <c r="P279" s="3">
        <v>2591</v>
      </c>
      <c r="Q279" s="3"/>
      <c r="R279" s="3">
        <v>127358</v>
      </c>
      <c r="S279" s="3"/>
      <c r="T279" s="3">
        <v>439292</v>
      </c>
      <c r="U279" s="3"/>
      <c r="V279" s="3">
        <v>130492</v>
      </c>
      <c r="W279" s="3"/>
      <c r="X279" s="3">
        <v>25977</v>
      </c>
      <c r="Y279" s="3"/>
      <c r="Z279" s="3">
        <v>5364</v>
      </c>
      <c r="AA279" s="3"/>
      <c r="AB279" s="3">
        <v>469.00862068965517</v>
      </c>
      <c r="AC279" s="3"/>
      <c r="AD279" s="3">
        <v>0</v>
      </c>
      <c r="AE279" s="3"/>
      <c r="AF279" s="5">
        <f t="shared" si="68"/>
        <v>0</v>
      </c>
      <c r="AG279" s="4">
        <f t="shared" si="69"/>
        <v>0</v>
      </c>
      <c r="AH279" s="5">
        <f t="shared" si="70"/>
        <v>-4364741.9867835781</v>
      </c>
      <c r="AI279" s="17">
        <f t="shared" si="72"/>
        <v>-1</v>
      </c>
      <c r="AJ279" s="17">
        <f t="shared" si="73"/>
        <v>5.5942387191759008E-2</v>
      </c>
      <c r="AK279" s="14" t="e">
        <f t="shared" si="74"/>
        <v>#DIV/0!</v>
      </c>
      <c r="AL279" s="14">
        <f t="shared" si="75"/>
        <v>-1</v>
      </c>
      <c r="AO279" s="19">
        <f>+Tabla22[[#This Row],[Web + APP 2025]]+Tabla22[[#This Row],[Afiliados 2025]]+Tabla22[[#This Row],[TMK 2025]]+Tabla22[[#This Row],[WA 2025]]+Tabla22[[#This Row],[Ent. en Tienda 2025]]</f>
        <v>2706319.4137931033</v>
      </c>
      <c r="AP279" s="19">
        <f>+Tabla22[[#This Row],[Meli Drop 2025]]+Tabla22[[#This Row],[Meli Full 2025]]+Tabla22[[#This Row],[Amazon Drop 2025]]+Tabla22[[#This Row],[Amazon Full 2025]]+Tabla22[[#This Row],[TikTok 2025]]+Tabla22[[#This Row],[Shein 2025]]</f>
        <v>601594.00862068962</v>
      </c>
    </row>
    <row r="280" spans="1:42" hidden="1" x14ac:dyDescent="0.3">
      <c r="A280" s="63">
        <v>45934</v>
      </c>
      <c r="B280" s="3">
        <f>+'BD MD'!B279</f>
        <v>52851490</v>
      </c>
      <c r="C280" s="3">
        <f t="shared" si="71"/>
        <v>2956638.5172413792</v>
      </c>
      <c r="D280" s="4">
        <f t="shared" si="76"/>
        <v>2.192756098725419E-2</v>
      </c>
      <c r="E280" s="3"/>
      <c r="F280" s="7">
        <v>46299</v>
      </c>
      <c r="G280" s="3">
        <f>+Tabla22[[#This Row],[Meta Digital]]+Tabla22[[#This Row],[Meta MKPlace]]</f>
        <v>3901240.0350333857</v>
      </c>
      <c r="H280" s="3">
        <f>+Tabla2[[#This Row],[Meta Digital]]</f>
        <v>3163377.6078122822</v>
      </c>
      <c r="I280" s="3">
        <f>+Tabla2[[#This Row],[Meta MKPlace]]</f>
        <v>737862.42722110345</v>
      </c>
      <c r="J280" s="3">
        <v>2157345</v>
      </c>
      <c r="K280" s="3"/>
      <c r="L280" s="3">
        <v>34722.413793103435</v>
      </c>
      <c r="M280" s="3"/>
      <c r="N280" s="3">
        <v>15783</v>
      </c>
      <c r="O280" s="3"/>
      <c r="P280" s="3">
        <v>-491</v>
      </c>
      <c r="Q280" s="3"/>
      <c r="R280" s="3">
        <v>105426</v>
      </c>
      <c r="S280" s="3"/>
      <c r="T280" s="3">
        <v>459901</v>
      </c>
      <c r="U280" s="3"/>
      <c r="V280" s="3">
        <v>150843</v>
      </c>
      <c r="W280" s="3"/>
      <c r="X280" s="3">
        <v>25838</v>
      </c>
      <c r="Y280" s="3"/>
      <c r="Z280" s="3">
        <v>5526</v>
      </c>
      <c r="AA280" s="3"/>
      <c r="AB280" s="3">
        <v>1745.1034482758623</v>
      </c>
      <c r="AC280" s="3"/>
      <c r="AD280" s="3">
        <v>0</v>
      </c>
      <c r="AE280" s="3"/>
      <c r="AF280" s="5">
        <f t="shared" si="68"/>
        <v>0</v>
      </c>
      <c r="AG280" s="4">
        <f t="shared" si="69"/>
        <v>0</v>
      </c>
      <c r="AH280" s="5">
        <f t="shared" si="70"/>
        <v>-3901240.0350333857</v>
      </c>
      <c r="AI280" s="17">
        <f t="shared" si="72"/>
        <v>-1</v>
      </c>
      <c r="AJ280" s="17">
        <f t="shared" si="73"/>
        <v>6.411962314461904E-2</v>
      </c>
      <c r="AK280" s="14" t="e">
        <f t="shared" si="74"/>
        <v>#DIV/0!</v>
      </c>
      <c r="AL280" s="14">
        <f t="shared" si="75"/>
        <v>-1</v>
      </c>
      <c r="AO280" s="19">
        <f>+Tabla22[[#This Row],[Web + APP 2025]]+Tabla22[[#This Row],[Afiliados 2025]]+Tabla22[[#This Row],[TMK 2025]]+Tabla22[[#This Row],[WA 2025]]+Tabla22[[#This Row],[Ent. en Tienda 2025]]</f>
        <v>2312785.4137931033</v>
      </c>
      <c r="AP280" s="19">
        <f>+Tabla22[[#This Row],[Meli Drop 2025]]+Tabla22[[#This Row],[Meli Full 2025]]+Tabla22[[#This Row],[Amazon Drop 2025]]+Tabla22[[#This Row],[Amazon Full 2025]]+Tabla22[[#This Row],[TikTok 2025]]+Tabla22[[#This Row],[Shein 2025]]</f>
        <v>643853.10344827583</v>
      </c>
    </row>
    <row r="281" spans="1:42" hidden="1" x14ac:dyDescent="0.3">
      <c r="A281" s="7">
        <v>45935</v>
      </c>
      <c r="B281" s="3">
        <f>+'BD MD'!B280</f>
        <v>51164374</v>
      </c>
      <c r="C281" s="3">
        <f t="shared" si="71"/>
        <v>3280640.3793103448</v>
      </c>
      <c r="D281" s="4">
        <f t="shared" si="76"/>
        <v>2.4330482598763841E-2</v>
      </c>
      <c r="E281" s="3"/>
      <c r="F281" s="7">
        <v>46300</v>
      </c>
      <c r="G281" s="3">
        <f>+Tabla22[[#This Row],[Meta Digital]]+Tabla22[[#This Row],[Meta MKPlace]]</f>
        <v>4328755.6167853838</v>
      </c>
      <c r="H281" s="3">
        <f>+Tabla2[[#This Row],[Meta Digital]]</f>
        <v>3510034.8773369803</v>
      </c>
      <c r="I281" s="3">
        <f>+Tabla2[[#This Row],[Meta MKPlace]]</f>
        <v>818720.73944840324</v>
      </c>
      <c r="J281" s="3">
        <v>2589139</v>
      </c>
      <c r="K281" s="3"/>
      <c r="L281" s="3">
        <v>24383.620689655159</v>
      </c>
      <c r="M281" s="3"/>
      <c r="N281" s="3">
        <v>18991</v>
      </c>
      <c r="O281" s="3"/>
      <c r="P281" s="3">
        <v>-1894</v>
      </c>
      <c r="Q281" s="3"/>
      <c r="R281" s="3">
        <v>106909</v>
      </c>
      <c r="S281" s="3"/>
      <c r="T281" s="3">
        <v>323111</v>
      </c>
      <c r="U281" s="3"/>
      <c r="V281" s="3">
        <v>170727</v>
      </c>
      <c r="W281" s="3"/>
      <c r="X281" s="3">
        <v>38180</v>
      </c>
      <c r="Y281" s="3"/>
      <c r="Z281" s="3">
        <v>8511</v>
      </c>
      <c r="AA281" s="3"/>
      <c r="AB281" s="3">
        <v>1032.7586206896553</v>
      </c>
      <c r="AC281" s="3"/>
      <c r="AD281" s="3">
        <v>1550</v>
      </c>
      <c r="AE281" s="3"/>
      <c r="AF281" s="5">
        <f t="shared" si="68"/>
        <v>0</v>
      </c>
      <c r="AG281" s="4">
        <f t="shared" si="69"/>
        <v>0</v>
      </c>
      <c r="AH281" s="5">
        <f t="shared" si="70"/>
        <v>-4328755.6167853838</v>
      </c>
      <c r="AI281" s="17">
        <f t="shared" si="72"/>
        <v>-1</v>
      </c>
      <c r="AJ281" s="17">
        <f t="shared" si="73"/>
        <v>0.15058944151525389</v>
      </c>
      <c r="AK281" s="14" t="e">
        <f t="shared" si="74"/>
        <v>#DIV/0!</v>
      </c>
      <c r="AL281" s="14">
        <f t="shared" si="75"/>
        <v>-1</v>
      </c>
      <c r="AO281" s="19">
        <f>+Tabla22[[#This Row],[Web + APP 2025]]+Tabla22[[#This Row],[Afiliados 2025]]+Tabla22[[#This Row],[TMK 2025]]+Tabla22[[#This Row],[WA 2025]]+Tabla22[[#This Row],[Ent. en Tienda 2025]]</f>
        <v>2737528.6206896552</v>
      </c>
      <c r="AP281" s="19">
        <f>+Tabla22[[#This Row],[Meli Drop 2025]]+Tabla22[[#This Row],[Meli Full 2025]]+Tabla22[[#This Row],[Amazon Drop 2025]]+Tabla22[[#This Row],[Amazon Full 2025]]+Tabla22[[#This Row],[TikTok 2025]]+Tabla22[[#This Row],[Shein 2025]]</f>
        <v>543111.75862068962</v>
      </c>
    </row>
    <row r="282" spans="1:42" hidden="1" x14ac:dyDescent="0.3">
      <c r="A282" s="63">
        <v>45936</v>
      </c>
      <c r="B282" s="3">
        <f>+'BD MD'!B281</f>
        <v>28890790</v>
      </c>
      <c r="C282" s="3">
        <f t="shared" si="71"/>
        <v>4350647.9310344821</v>
      </c>
      <c r="D282" s="4">
        <f t="shared" si="76"/>
        <v>3.226606745651129E-2</v>
      </c>
      <c r="E282" s="3"/>
      <c r="F282" s="7">
        <v>46301</v>
      </c>
      <c r="G282" s="3">
        <f>+Tabla22[[#This Row],[Meta Digital]]+Tabla22[[#This Row],[Meta MKPlace]]</f>
        <v>5740614.4809082262</v>
      </c>
      <c r="H282" s="3">
        <f>+Tabla2[[#This Row],[Meta Digital]]</f>
        <v>4654861.3109966218</v>
      </c>
      <c r="I282" s="3">
        <f>+Tabla2[[#This Row],[Meta MKPlace]]</f>
        <v>1085753.1699116048</v>
      </c>
      <c r="J282" s="3">
        <v>3206472</v>
      </c>
      <c r="K282" s="3"/>
      <c r="L282" s="3">
        <v>24687.068965517228</v>
      </c>
      <c r="M282" s="3"/>
      <c r="N282" s="3">
        <v>60560</v>
      </c>
      <c r="O282" s="3"/>
      <c r="P282" s="3">
        <v>-2415</v>
      </c>
      <c r="Q282" s="3"/>
      <c r="R282" s="3">
        <v>85355</v>
      </c>
      <c r="S282" s="3"/>
      <c r="T282" s="3">
        <v>749807</v>
      </c>
      <c r="U282" s="3"/>
      <c r="V282" s="3">
        <v>180881</v>
      </c>
      <c r="W282" s="3"/>
      <c r="X282" s="3">
        <v>39968</v>
      </c>
      <c r="Y282" s="3"/>
      <c r="Z282" s="3">
        <v>4257</v>
      </c>
      <c r="AA282" s="3"/>
      <c r="AB282" s="3">
        <v>1075.8620689655172</v>
      </c>
      <c r="AC282" s="3"/>
      <c r="AD282" s="3">
        <v>0</v>
      </c>
      <c r="AE282" s="3"/>
      <c r="AF282" s="5">
        <f t="shared" si="68"/>
        <v>0</v>
      </c>
      <c r="AG282" s="4">
        <f t="shared" si="69"/>
        <v>0</v>
      </c>
      <c r="AH282" s="5">
        <f t="shared" si="70"/>
        <v>-5740614.4809082262</v>
      </c>
      <c r="AI282" s="17">
        <f t="shared" si="72"/>
        <v>-1</v>
      </c>
      <c r="AJ282" s="17">
        <f t="shared" si="73"/>
        <v>0.14008895755054906</v>
      </c>
      <c r="AK282" s="14" t="e">
        <f t="shared" si="74"/>
        <v>#DIV/0!</v>
      </c>
      <c r="AL282" s="14">
        <f t="shared" si="75"/>
        <v>-1</v>
      </c>
      <c r="AO282" s="19">
        <f>+Tabla22[[#This Row],[Web + APP 2025]]+Tabla22[[#This Row],[Afiliados 2025]]+Tabla22[[#This Row],[TMK 2025]]+Tabla22[[#This Row],[WA 2025]]+Tabla22[[#This Row],[Ent. en Tienda 2025]]</f>
        <v>3374659.0689655175</v>
      </c>
      <c r="AP282" s="19">
        <f>+Tabla22[[#This Row],[Meli Drop 2025]]+Tabla22[[#This Row],[Meli Full 2025]]+Tabla22[[#This Row],[Amazon Drop 2025]]+Tabla22[[#This Row],[Amazon Full 2025]]+Tabla22[[#This Row],[TikTok 2025]]+Tabla22[[#This Row],[Shein 2025]]</f>
        <v>975988.86206896557</v>
      </c>
    </row>
    <row r="283" spans="1:42" hidden="1" x14ac:dyDescent="0.3">
      <c r="A283" s="7">
        <v>45937</v>
      </c>
      <c r="B283" s="3">
        <f>+'BD MD'!B282</f>
        <v>32567490</v>
      </c>
      <c r="C283" s="3">
        <f t="shared" si="71"/>
        <v>4562345.7241379311</v>
      </c>
      <c r="D283" s="4">
        <f t="shared" si="76"/>
        <v>3.3836099180739154E-2</v>
      </c>
      <c r="E283" s="3"/>
      <c r="F283" s="7">
        <v>46302</v>
      </c>
      <c r="G283" s="3">
        <f>+Tabla22[[#This Row],[Meta Digital]]+Tabla22[[#This Row],[Meta MKPlace]]</f>
        <v>6019946.5334967729</v>
      </c>
      <c r="H283" s="3">
        <f>+Tabla2[[#This Row],[Meta Digital]]</f>
        <v>4881361.7960649002</v>
      </c>
      <c r="I283" s="3">
        <f>+Tabla2[[#This Row],[Meta MKPlace]]</f>
        <v>1138584.7374318726</v>
      </c>
      <c r="J283" s="3">
        <v>3626258</v>
      </c>
      <c r="K283" s="3"/>
      <c r="L283" s="3">
        <v>33481.89655172413</v>
      </c>
      <c r="M283" s="3"/>
      <c r="N283" s="3">
        <v>54703</v>
      </c>
      <c r="O283" s="3"/>
      <c r="P283" s="3">
        <v>2927</v>
      </c>
      <c r="Q283" s="3"/>
      <c r="R283" s="3">
        <v>113348</v>
      </c>
      <c r="S283" s="3"/>
      <c r="T283" s="3">
        <v>522052</v>
      </c>
      <c r="U283" s="3"/>
      <c r="V283" s="3">
        <v>144499</v>
      </c>
      <c r="W283" s="3"/>
      <c r="X283" s="3">
        <v>55307</v>
      </c>
      <c r="Y283" s="3"/>
      <c r="Z283" s="3">
        <v>7575</v>
      </c>
      <c r="AA283" s="3"/>
      <c r="AB283" s="3">
        <v>1506.0344827586207</v>
      </c>
      <c r="AC283" s="3"/>
      <c r="AD283" s="3">
        <v>688.79310344827593</v>
      </c>
      <c r="AE283" s="3"/>
      <c r="AF283" s="5">
        <f t="shared" si="68"/>
        <v>0</v>
      </c>
      <c r="AG283" s="4">
        <f t="shared" si="69"/>
        <v>0</v>
      </c>
      <c r="AH283" s="5">
        <f t="shared" si="70"/>
        <v>-6019946.5334967729</v>
      </c>
      <c r="AI283" s="17">
        <f t="shared" si="72"/>
        <v>-1</v>
      </c>
      <c r="AJ283" s="17">
        <f t="shared" si="73"/>
        <v>0.14780999880499757</v>
      </c>
      <c r="AK283" s="14" t="e">
        <f t="shared" si="74"/>
        <v>#DIV/0!</v>
      </c>
      <c r="AL283" s="14">
        <f t="shared" si="75"/>
        <v>-1</v>
      </c>
      <c r="AO283" s="19">
        <f>+Tabla22[[#This Row],[Web + APP 2025]]+Tabla22[[#This Row],[Afiliados 2025]]+Tabla22[[#This Row],[TMK 2025]]+Tabla22[[#This Row],[WA 2025]]+Tabla22[[#This Row],[Ent. en Tienda 2025]]</f>
        <v>3830717.8965517241</v>
      </c>
      <c r="AP283" s="19">
        <f>+Tabla22[[#This Row],[Meli Drop 2025]]+Tabla22[[#This Row],[Meli Full 2025]]+Tabla22[[#This Row],[Amazon Drop 2025]]+Tabla22[[#This Row],[Amazon Full 2025]]+Tabla22[[#This Row],[TikTok 2025]]+Tabla22[[#This Row],[Shein 2025]]</f>
        <v>731627.82758620684</v>
      </c>
    </row>
    <row r="284" spans="1:42" hidden="1" x14ac:dyDescent="0.3">
      <c r="A284" s="63">
        <v>45938</v>
      </c>
      <c r="B284" s="3">
        <f>+'BD MD'!B283</f>
        <v>34762879</v>
      </c>
      <c r="C284" s="3">
        <f t="shared" si="71"/>
        <v>5138301.1034482755</v>
      </c>
      <c r="D284" s="4">
        <f t="shared" si="76"/>
        <v>3.810760434855661E-2</v>
      </c>
      <c r="E284" s="3"/>
      <c r="F284" s="7">
        <v>46303</v>
      </c>
      <c r="G284" s="3">
        <f>+Tabla22[[#This Row],[Meta Digital]]+Tabla22[[#This Row],[Meta MKPlace]]</f>
        <v>6779910.9901104299</v>
      </c>
      <c r="H284" s="3">
        <f>+Tabla2[[#This Row],[Meta Digital]]</f>
        <v>5497590.1037814999</v>
      </c>
      <c r="I284" s="3">
        <f>+Tabla2[[#This Row],[Meta MKPlace]]</f>
        <v>1282320.88632893</v>
      </c>
      <c r="J284" s="3">
        <v>4043316</v>
      </c>
      <c r="K284" s="3"/>
      <c r="L284" s="3">
        <v>36340.51724137929</v>
      </c>
      <c r="M284" s="3"/>
      <c r="N284" s="3">
        <v>109501</v>
      </c>
      <c r="O284" s="3"/>
      <c r="P284" s="3">
        <v>1656</v>
      </c>
      <c r="Q284" s="3"/>
      <c r="R284" s="3">
        <v>105227</v>
      </c>
      <c r="S284" s="3"/>
      <c r="T284" s="3">
        <v>614752</v>
      </c>
      <c r="U284" s="3"/>
      <c r="V284" s="3">
        <v>153038</v>
      </c>
      <c r="W284" s="3"/>
      <c r="X284" s="3">
        <v>62307</v>
      </c>
      <c r="Y284" s="3"/>
      <c r="Z284" s="3">
        <v>10011</v>
      </c>
      <c r="AA284" s="3"/>
      <c r="AB284" s="3">
        <v>1463.7931034482758</v>
      </c>
      <c r="AC284" s="3"/>
      <c r="AD284" s="3">
        <v>688.79310344827593</v>
      </c>
      <c r="AE284" s="3"/>
      <c r="AF284" s="5">
        <f t="shared" si="68"/>
        <v>0</v>
      </c>
      <c r="AG284" s="4">
        <f t="shared" si="69"/>
        <v>0</v>
      </c>
      <c r="AH284" s="5">
        <f t="shared" si="70"/>
        <v>-6779910.9901104299</v>
      </c>
      <c r="AI284" s="17">
        <f t="shared" si="72"/>
        <v>-1</v>
      </c>
      <c r="AJ284" s="17">
        <f t="shared" si="73"/>
        <v>9.9308740370839338E-2</v>
      </c>
      <c r="AK284" s="14" t="e">
        <f t="shared" si="74"/>
        <v>#DIV/0!</v>
      </c>
      <c r="AL284" s="14">
        <f t="shared" si="75"/>
        <v>-1</v>
      </c>
      <c r="AO284" s="19">
        <f>+Tabla22[[#This Row],[Web + APP 2025]]+Tabla22[[#This Row],[Afiliados 2025]]+Tabla22[[#This Row],[TMK 2025]]+Tabla22[[#This Row],[WA 2025]]+Tabla22[[#This Row],[Ent. en Tienda 2025]]</f>
        <v>4296040.5172413792</v>
      </c>
      <c r="AP284" s="19">
        <f>+Tabla22[[#This Row],[Meli Drop 2025]]+Tabla22[[#This Row],[Meli Full 2025]]+Tabla22[[#This Row],[Amazon Drop 2025]]+Tabla22[[#This Row],[Amazon Full 2025]]+Tabla22[[#This Row],[TikTok 2025]]+Tabla22[[#This Row],[Shein 2025]]</f>
        <v>842260.58620689646</v>
      </c>
    </row>
    <row r="285" spans="1:42" hidden="1" x14ac:dyDescent="0.3">
      <c r="A285" s="7">
        <v>45939</v>
      </c>
      <c r="B285" s="3">
        <f>+'BD MD'!B284</f>
        <v>39983455</v>
      </c>
      <c r="C285" s="3">
        <f t="shared" si="71"/>
        <v>3970706.5517241382</v>
      </c>
      <c r="D285" s="4">
        <f t="shared" si="76"/>
        <v>2.9448277010426509E-2</v>
      </c>
      <c r="E285" s="3"/>
      <c r="F285" s="7">
        <v>46304</v>
      </c>
      <c r="G285" s="3">
        <f>+Tabla22[[#This Row],[Meta Digital]]+Tabla22[[#This Row],[Meta MKPlace]]</f>
        <v>5239287.5478767622</v>
      </c>
      <c r="H285" s="3">
        <f>+Tabla2[[#This Row],[Meta Digital]]</f>
        <v>4248353.0264759101</v>
      </c>
      <c r="I285" s="3">
        <f>+Tabla2[[#This Row],[Meta MKPlace]]</f>
        <v>990934.52140085201</v>
      </c>
      <c r="J285" s="3">
        <v>2935762</v>
      </c>
      <c r="K285" s="3"/>
      <c r="L285" s="3">
        <v>36452.586206896536</v>
      </c>
      <c r="M285" s="3"/>
      <c r="N285" s="3">
        <v>11636</v>
      </c>
      <c r="O285" s="3"/>
      <c r="P285" s="3">
        <v>6503</v>
      </c>
      <c r="Q285" s="3"/>
      <c r="R285" s="3">
        <v>141860</v>
      </c>
      <c r="S285" s="3"/>
      <c r="T285" s="3">
        <v>640869</v>
      </c>
      <c r="U285" s="3"/>
      <c r="V285" s="3">
        <v>128902</v>
      </c>
      <c r="W285" s="3"/>
      <c r="X285" s="3">
        <v>53273</v>
      </c>
      <c r="Y285" s="3"/>
      <c r="Z285" s="3">
        <v>14605</v>
      </c>
      <c r="AA285" s="3"/>
      <c r="AB285" s="3">
        <v>843.96551724137942</v>
      </c>
      <c r="AC285" s="3"/>
      <c r="AD285" s="3">
        <v>0</v>
      </c>
      <c r="AE285" s="3"/>
      <c r="AF285" s="5">
        <f t="shared" si="68"/>
        <v>0</v>
      </c>
      <c r="AG285" s="4">
        <f t="shared" si="69"/>
        <v>0</v>
      </c>
      <c r="AH285" s="5">
        <f t="shared" si="70"/>
        <v>-5239287.5478767622</v>
      </c>
      <c r="AI285" s="17">
        <f t="shared" si="72"/>
        <v>-1</v>
      </c>
      <c r="AJ285" s="17">
        <f t="shared" si="73"/>
        <v>0.10905444500159932</v>
      </c>
      <c r="AK285" s="14" t="e">
        <f t="shared" si="74"/>
        <v>#DIV/0!</v>
      </c>
      <c r="AL285" s="14">
        <f t="shared" si="75"/>
        <v>-1</v>
      </c>
      <c r="AO285" s="19">
        <f>+Tabla22[[#This Row],[Web + APP 2025]]+Tabla22[[#This Row],[Afiliados 2025]]+Tabla22[[#This Row],[TMK 2025]]+Tabla22[[#This Row],[WA 2025]]+Tabla22[[#This Row],[Ent. en Tienda 2025]]</f>
        <v>3132213.5862068967</v>
      </c>
      <c r="AP285" s="19">
        <f>+Tabla22[[#This Row],[Meli Drop 2025]]+Tabla22[[#This Row],[Meli Full 2025]]+Tabla22[[#This Row],[Amazon Drop 2025]]+Tabla22[[#This Row],[Amazon Full 2025]]+Tabla22[[#This Row],[TikTok 2025]]+Tabla22[[#This Row],[Shein 2025]]</f>
        <v>838492.96551724139</v>
      </c>
    </row>
    <row r="286" spans="1:42" hidden="1" x14ac:dyDescent="0.3">
      <c r="A286" s="63">
        <v>45940</v>
      </c>
      <c r="B286" s="3">
        <f>+'BD MD'!B285</f>
        <v>42763583</v>
      </c>
      <c r="C286" s="3">
        <f t="shared" si="71"/>
        <v>4663558.8103448274</v>
      </c>
      <c r="D286" s="4">
        <f t="shared" si="76"/>
        <v>3.4586734101974187E-2</v>
      </c>
      <c r="E286" s="3"/>
      <c r="F286" s="7">
        <v>46305</v>
      </c>
      <c r="G286" s="3">
        <f>+Tabla22[[#This Row],[Meta Digital]]+Tabla22[[#This Row],[Meta MKPlace]]</f>
        <v>6153495.6777959689</v>
      </c>
      <c r="H286" s="3">
        <f>+Tabla2[[#This Row],[Meta Digital]]</f>
        <v>4989652.0752645377</v>
      </c>
      <c r="I286" s="3">
        <f>+Tabla2[[#This Row],[Meta MKPlace]]</f>
        <v>1163843.6025314315</v>
      </c>
      <c r="J286" s="3">
        <v>3483391</v>
      </c>
      <c r="K286" s="3"/>
      <c r="L286" s="3">
        <v>38299.999999999978</v>
      </c>
      <c r="M286" s="3"/>
      <c r="N286" s="3">
        <v>25004</v>
      </c>
      <c r="O286" s="3"/>
      <c r="P286" s="3">
        <v>0</v>
      </c>
      <c r="Q286" s="3"/>
      <c r="R286" s="3">
        <v>186430</v>
      </c>
      <c r="S286" s="3"/>
      <c r="T286" s="3">
        <v>732700</v>
      </c>
      <c r="U286" s="3"/>
      <c r="V286" s="3">
        <v>129327</v>
      </c>
      <c r="W286" s="3"/>
      <c r="X286" s="3">
        <v>38381</v>
      </c>
      <c r="Y286" s="3"/>
      <c r="Z286" s="3">
        <v>15134</v>
      </c>
      <c r="AA286" s="3"/>
      <c r="AB286" s="3">
        <v>14030.603448275864</v>
      </c>
      <c r="AC286" s="3"/>
      <c r="AD286" s="3">
        <v>861.20689655172418</v>
      </c>
      <c r="AE286" s="3"/>
      <c r="AF286" s="5">
        <f t="shared" si="68"/>
        <v>0</v>
      </c>
      <c r="AG286" s="4">
        <f t="shared" si="69"/>
        <v>0</v>
      </c>
      <c r="AH286" s="5">
        <f t="shared" si="70"/>
        <v>-6153495.6777959689</v>
      </c>
      <c r="AI286" s="17">
        <f t="shared" si="72"/>
        <v>-1</v>
      </c>
      <c r="AJ286" s="17">
        <f t="shared" si="73"/>
        <v>7.7202167829212284E-2</v>
      </c>
      <c r="AK286" s="14" t="e">
        <f t="shared" si="74"/>
        <v>#DIV/0!</v>
      </c>
      <c r="AL286" s="14">
        <f t="shared" si="75"/>
        <v>-1</v>
      </c>
      <c r="AO286" s="19">
        <f>+Tabla22[[#This Row],[Web + APP 2025]]+Tabla22[[#This Row],[Afiliados 2025]]+Tabla22[[#This Row],[TMK 2025]]+Tabla22[[#This Row],[WA 2025]]+Tabla22[[#This Row],[Ent. en Tienda 2025]]</f>
        <v>3733125</v>
      </c>
      <c r="AP286" s="19">
        <f>+Tabla22[[#This Row],[Meli Drop 2025]]+Tabla22[[#This Row],[Meli Full 2025]]+Tabla22[[#This Row],[Amazon Drop 2025]]+Tabla22[[#This Row],[Amazon Full 2025]]+Tabla22[[#This Row],[TikTok 2025]]+Tabla22[[#This Row],[Shein 2025]]</f>
        <v>930433.81034482759</v>
      </c>
    </row>
    <row r="287" spans="1:42" hidden="1" x14ac:dyDescent="0.3">
      <c r="A287" s="7">
        <v>45941</v>
      </c>
      <c r="B287" s="3">
        <f>+'BD MD'!B286</f>
        <v>58985064</v>
      </c>
      <c r="C287" s="3">
        <f t="shared" si="71"/>
        <v>4553774.8103448274</v>
      </c>
      <c r="D287" s="4">
        <f t="shared" si="76"/>
        <v>3.3772534009069093E-2</v>
      </c>
      <c r="E287" s="3"/>
      <c r="F287" s="7">
        <v>46306</v>
      </c>
      <c r="G287" s="3">
        <f>+Tabla22[[#This Row],[Meta Digital]]+Tabla22[[#This Row],[Meta MKPlace]]</f>
        <v>6008637.3417131007</v>
      </c>
      <c r="H287" s="3">
        <f>+Tabla2[[#This Row],[Meta Digital]]</f>
        <v>4872191.5723079257</v>
      </c>
      <c r="I287" s="3">
        <f>+Tabla2[[#This Row],[Meta MKPlace]]</f>
        <v>1136445.769405175</v>
      </c>
      <c r="J287" s="3">
        <v>3555883</v>
      </c>
      <c r="K287" s="3"/>
      <c r="L287" s="3">
        <v>40308.620689655152</v>
      </c>
      <c r="M287" s="3"/>
      <c r="N287" s="3">
        <v>31280</v>
      </c>
      <c r="O287" s="3"/>
      <c r="P287" s="3">
        <v>2597</v>
      </c>
      <c r="Q287" s="3"/>
      <c r="R287" s="3">
        <v>177906</v>
      </c>
      <c r="S287" s="3"/>
      <c r="T287" s="3">
        <v>582185</v>
      </c>
      <c r="U287" s="3"/>
      <c r="V287" s="3">
        <v>99364</v>
      </c>
      <c r="W287" s="3"/>
      <c r="X287" s="3">
        <v>49257</v>
      </c>
      <c r="Y287" s="3"/>
      <c r="Z287" s="3">
        <v>13284</v>
      </c>
      <c r="AA287" s="3"/>
      <c r="AB287" s="3">
        <v>1710.1896551724139</v>
      </c>
      <c r="AC287" s="3"/>
      <c r="AD287" s="3">
        <v>0</v>
      </c>
      <c r="AE287" s="3"/>
      <c r="AF287" s="5">
        <f t="shared" si="68"/>
        <v>0</v>
      </c>
      <c r="AG287" s="4">
        <f t="shared" si="69"/>
        <v>0</v>
      </c>
      <c r="AH287" s="5">
        <f t="shared" si="70"/>
        <v>-6008637.3417131007</v>
      </c>
      <c r="AI287" s="17">
        <f t="shared" si="72"/>
        <v>-1</v>
      </c>
      <c r="AJ287" s="17">
        <f t="shared" si="73"/>
        <v>0.10004550558837402</v>
      </c>
      <c r="AK287" s="14" t="e">
        <f t="shared" si="74"/>
        <v>#DIV/0!</v>
      </c>
      <c r="AL287" s="14">
        <f t="shared" si="75"/>
        <v>-1</v>
      </c>
      <c r="AO287" s="19">
        <f>+Tabla22[[#This Row],[Web + APP 2025]]+Tabla22[[#This Row],[Afiliados 2025]]+Tabla22[[#This Row],[TMK 2025]]+Tabla22[[#This Row],[WA 2025]]+Tabla22[[#This Row],[Ent. en Tienda 2025]]</f>
        <v>3807974.6206896552</v>
      </c>
      <c r="AP287" s="19">
        <f>+Tabla22[[#This Row],[Meli Drop 2025]]+Tabla22[[#This Row],[Meli Full 2025]]+Tabla22[[#This Row],[Amazon Drop 2025]]+Tabla22[[#This Row],[Amazon Full 2025]]+Tabla22[[#This Row],[TikTok 2025]]+Tabla22[[#This Row],[Shein 2025]]</f>
        <v>745800.18965517241</v>
      </c>
    </row>
    <row r="288" spans="1:42" hidden="1" x14ac:dyDescent="0.3">
      <c r="A288" s="63">
        <v>45942</v>
      </c>
      <c r="B288" s="3">
        <f>+'BD MD'!B287</f>
        <v>59452948</v>
      </c>
      <c r="C288" s="3">
        <f t="shared" si="71"/>
        <v>5948000.2413793104</v>
      </c>
      <c r="D288" s="4">
        <f t="shared" si="76"/>
        <v>4.4112642544729318E-2</v>
      </c>
      <c r="E288" s="3"/>
      <c r="F288" s="7">
        <v>46307</v>
      </c>
      <c r="G288" s="3">
        <f>+Tabla22[[#This Row],[Meta Digital]]+Tabla22[[#This Row],[Meta MKPlace]]</f>
        <v>7848296.8190875361</v>
      </c>
      <c r="H288" s="3">
        <f>+Tabla2[[#This Row],[Meta Digital]]</f>
        <v>6363906.3974573947</v>
      </c>
      <c r="I288" s="3">
        <f>+Tabla2[[#This Row],[Meta MKPlace]]</f>
        <v>1484390.4216301416</v>
      </c>
      <c r="J288" s="3">
        <v>5079374</v>
      </c>
      <c r="K288" s="3"/>
      <c r="L288" s="3">
        <v>33968.10344827584</v>
      </c>
      <c r="M288" s="3"/>
      <c r="N288" s="3">
        <v>0</v>
      </c>
      <c r="O288" s="3"/>
      <c r="P288" s="3">
        <v>7846</v>
      </c>
      <c r="Q288" s="3"/>
      <c r="R288" s="3">
        <v>241390</v>
      </c>
      <c r="S288" s="3"/>
      <c r="T288" s="3">
        <v>416113</v>
      </c>
      <c r="U288" s="3"/>
      <c r="V288" s="3">
        <v>102685</v>
      </c>
      <c r="W288" s="3"/>
      <c r="X288" s="3">
        <v>46963</v>
      </c>
      <c r="Y288" s="3"/>
      <c r="Z288" s="3">
        <v>17337</v>
      </c>
      <c r="AA288" s="3"/>
      <c r="AB288" s="3">
        <v>1118.9655172413795</v>
      </c>
      <c r="AC288" s="3"/>
      <c r="AD288" s="3">
        <v>1205.1724137931035</v>
      </c>
      <c r="AE288" s="3"/>
      <c r="AF288" s="5">
        <f t="shared" si="68"/>
        <v>0</v>
      </c>
      <c r="AG288" s="4">
        <f t="shared" si="69"/>
        <v>0</v>
      </c>
      <c r="AH288" s="5">
        <f t="shared" si="70"/>
        <v>-7848296.8190875361</v>
      </c>
      <c r="AI288" s="17">
        <f t="shared" si="72"/>
        <v>-1</v>
      </c>
      <c r="AJ288" s="17">
        <f t="shared" si="73"/>
        <v>0.15647554353299239</v>
      </c>
      <c r="AK288" s="14" t="e">
        <f t="shared" si="74"/>
        <v>#DIV/0!</v>
      </c>
      <c r="AL288" s="14">
        <f t="shared" si="75"/>
        <v>-1</v>
      </c>
      <c r="AO288" s="19">
        <f>+Tabla22[[#This Row],[Web + APP 2025]]+Tabla22[[#This Row],[Afiliados 2025]]+Tabla22[[#This Row],[TMK 2025]]+Tabla22[[#This Row],[WA 2025]]+Tabla22[[#This Row],[Ent. en Tienda 2025]]</f>
        <v>5362578.1034482755</v>
      </c>
      <c r="AP288" s="19">
        <f>+Tabla22[[#This Row],[Meli Drop 2025]]+Tabla22[[#This Row],[Meli Full 2025]]+Tabla22[[#This Row],[Amazon Drop 2025]]+Tabla22[[#This Row],[Amazon Full 2025]]+Tabla22[[#This Row],[TikTok 2025]]+Tabla22[[#This Row],[Shein 2025]]</f>
        <v>585422.13793103455</v>
      </c>
    </row>
    <row r="289" spans="1:42" hidden="1" x14ac:dyDescent="0.3">
      <c r="A289" s="7">
        <v>45943</v>
      </c>
      <c r="B289" s="3">
        <f>+'BD MD'!B288</f>
        <v>30334126</v>
      </c>
      <c r="C289" s="3">
        <f t="shared" si="71"/>
        <v>4746548.8534482764</v>
      </c>
      <c r="D289" s="4">
        <f t="shared" si="76"/>
        <v>3.5202219972456462E-2</v>
      </c>
      <c r="E289" s="3"/>
      <c r="F289" s="7">
        <v>46308</v>
      </c>
      <c r="G289" s="3">
        <f>+Tabla22[[#This Row],[Meta Digital]]+Tabla22[[#This Row],[Meta MKPlace]]</f>
        <v>6262999.7909218445</v>
      </c>
      <c r="H289" s="3">
        <f>+Tabla2[[#This Row],[Meta Digital]]</f>
        <v>5078445.0888486849</v>
      </c>
      <c r="I289" s="3">
        <f>+Tabla2[[#This Row],[Meta MKPlace]]</f>
        <v>1184554.7020731599</v>
      </c>
      <c r="J289" s="3">
        <v>3532434</v>
      </c>
      <c r="K289" s="3"/>
      <c r="L289" s="3">
        <v>27835.344827586196</v>
      </c>
      <c r="M289" s="3"/>
      <c r="N289" s="3">
        <v>56747</v>
      </c>
      <c r="O289" s="3"/>
      <c r="P289" s="3">
        <v>6296</v>
      </c>
      <c r="Q289" s="3"/>
      <c r="R289" s="3">
        <v>260947</v>
      </c>
      <c r="S289" s="3"/>
      <c r="T289" s="3">
        <v>696035</v>
      </c>
      <c r="U289" s="3"/>
      <c r="V289" s="3">
        <v>89849</v>
      </c>
      <c r="W289" s="3"/>
      <c r="X289" s="3">
        <v>44082</v>
      </c>
      <c r="Y289" s="3"/>
      <c r="Z289" s="3">
        <v>19797</v>
      </c>
      <c r="AA289" s="3"/>
      <c r="AB289" s="3">
        <v>12526.508620689656</v>
      </c>
      <c r="AC289" s="3"/>
      <c r="AD289" s="3">
        <v>0</v>
      </c>
      <c r="AE289" s="3"/>
      <c r="AF289" s="5">
        <f t="shared" si="68"/>
        <v>0</v>
      </c>
      <c r="AG289" s="4">
        <f t="shared" si="69"/>
        <v>0</v>
      </c>
      <c r="AH289" s="5">
        <f t="shared" si="70"/>
        <v>-6262999.7909218445</v>
      </c>
      <c r="AI289" s="17">
        <f t="shared" si="72"/>
        <v>-1</v>
      </c>
      <c r="AJ289" s="17">
        <f t="shared" si="73"/>
        <v>0.19690160847885563</v>
      </c>
      <c r="AK289" s="14" t="e">
        <f t="shared" si="74"/>
        <v>#DIV/0!</v>
      </c>
      <c r="AL289" s="14">
        <f t="shared" si="75"/>
        <v>-1</v>
      </c>
      <c r="AO289" s="19">
        <f>+Tabla22[[#This Row],[Web + APP 2025]]+Tabla22[[#This Row],[Afiliados 2025]]+Tabla22[[#This Row],[TMK 2025]]+Tabla22[[#This Row],[WA 2025]]+Tabla22[[#This Row],[Ent. en Tienda 2025]]</f>
        <v>3884259.3448275863</v>
      </c>
      <c r="AP289" s="19">
        <f>+Tabla22[[#This Row],[Meli Drop 2025]]+Tabla22[[#This Row],[Meli Full 2025]]+Tabla22[[#This Row],[Amazon Drop 2025]]+Tabla22[[#This Row],[Amazon Full 2025]]+Tabla22[[#This Row],[TikTok 2025]]+Tabla22[[#This Row],[Shein 2025]]</f>
        <v>862289.50862068962</v>
      </c>
    </row>
    <row r="290" spans="1:42" hidden="1" x14ac:dyDescent="0.3">
      <c r="A290" s="63">
        <v>45944</v>
      </c>
      <c r="B290" s="3">
        <f>+'BD MD'!B289</f>
        <v>36736864</v>
      </c>
      <c r="C290" s="3">
        <f t="shared" si="71"/>
        <v>7233547.612068966</v>
      </c>
      <c r="D290" s="4">
        <f t="shared" si="76"/>
        <v>5.3646753058551176E-2</v>
      </c>
      <c r="E290" s="3"/>
      <c r="F290" s="7">
        <v>46309</v>
      </c>
      <c r="G290" s="3">
        <f>+Tabla22[[#This Row],[Meta Digital]]+Tabla22[[#This Row],[Meta MKPlace]]</f>
        <v>9544557.2311130576</v>
      </c>
      <c r="H290" s="3">
        <f>+Tabla2[[#This Row],[Meta Digital]]</f>
        <v>7739343.9906928111</v>
      </c>
      <c r="I290" s="3">
        <f>+Tabla2[[#This Row],[Meta MKPlace]]</f>
        <v>1805213.2404202472</v>
      </c>
      <c r="J290" s="3">
        <v>5860826</v>
      </c>
      <c r="K290" s="3"/>
      <c r="L290" s="3">
        <v>34962.931034482739</v>
      </c>
      <c r="M290" s="3"/>
      <c r="N290" s="3">
        <v>51290</v>
      </c>
      <c r="O290" s="3"/>
      <c r="P290" s="3">
        <v>8434</v>
      </c>
      <c r="Q290" s="3"/>
      <c r="R290" s="3">
        <v>268072</v>
      </c>
      <c r="S290" s="3"/>
      <c r="T290" s="3">
        <v>843210</v>
      </c>
      <c r="U290" s="3"/>
      <c r="V290" s="3">
        <v>87564</v>
      </c>
      <c r="W290" s="3"/>
      <c r="X290" s="3">
        <v>54009</v>
      </c>
      <c r="Y290" s="3"/>
      <c r="Z290" s="3">
        <v>8460</v>
      </c>
      <c r="AA290" s="3"/>
      <c r="AB290" s="3">
        <v>16719.681034482761</v>
      </c>
      <c r="AC290" s="3"/>
      <c r="AD290" s="3">
        <v>0</v>
      </c>
      <c r="AE290" s="3"/>
      <c r="AF290" s="5">
        <f t="shared" si="68"/>
        <v>0</v>
      </c>
      <c r="AG290" s="4">
        <f t="shared" si="69"/>
        <v>0</v>
      </c>
      <c r="AH290" s="5">
        <f t="shared" si="70"/>
        <v>-9544557.2311130576</v>
      </c>
      <c r="AI290" s="17">
        <f t="shared" si="72"/>
        <v>-1</v>
      </c>
      <c r="AJ290" s="17">
        <f t="shared" si="73"/>
        <v>0.14362521307931883</v>
      </c>
      <c r="AK290" s="14" t="e">
        <f t="shared" si="74"/>
        <v>#DIV/0!</v>
      </c>
      <c r="AL290" s="14">
        <f t="shared" si="75"/>
        <v>-1</v>
      </c>
      <c r="AO290" s="19">
        <f>+Tabla22[[#This Row],[Web + APP 2025]]+Tabla22[[#This Row],[Afiliados 2025]]+Tabla22[[#This Row],[TMK 2025]]+Tabla22[[#This Row],[WA 2025]]+Tabla22[[#This Row],[Ent. en Tienda 2025]]</f>
        <v>6223584.931034483</v>
      </c>
      <c r="AP290" s="19">
        <f>+Tabla22[[#This Row],[Meli Drop 2025]]+Tabla22[[#This Row],[Meli Full 2025]]+Tabla22[[#This Row],[Amazon Drop 2025]]+Tabla22[[#This Row],[Amazon Full 2025]]+Tabla22[[#This Row],[TikTok 2025]]+Tabla22[[#This Row],[Shein 2025]]</f>
        <v>1009962.6810344828</v>
      </c>
    </row>
    <row r="291" spans="1:42" hidden="1" x14ac:dyDescent="0.3">
      <c r="A291" s="7">
        <v>45945</v>
      </c>
      <c r="B291" s="3">
        <f>+'BD MD'!B290</f>
        <v>38912618</v>
      </c>
      <c r="C291" s="3">
        <f t="shared" si="71"/>
        <v>5588833.0517241377</v>
      </c>
      <c r="D291" s="4">
        <f t="shared" si="76"/>
        <v>4.1448921427028163E-2</v>
      </c>
      <c r="E291" s="3"/>
      <c r="F291" s="7">
        <v>46310</v>
      </c>
      <c r="G291" s="3">
        <f>+Tabla22[[#This Row],[Meta Digital]]+Tabla22[[#This Row],[Meta MKPlace]]</f>
        <v>7374381.1167173516</v>
      </c>
      <c r="H291" s="3">
        <f>+Tabla2[[#This Row],[Meta Digital]]</f>
        <v>5979624.9106978541</v>
      </c>
      <c r="I291" s="3">
        <f>+Tabla2[[#This Row],[Meta MKPlace]]</f>
        <v>1394756.2060194977</v>
      </c>
      <c r="J291" s="3">
        <v>4393558</v>
      </c>
      <c r="K291" s="3"/>
      <c r="L291" s="3">
        <v>34782.758620689638</v>
      </c>
      <c r="M291" s="3"/>
      <c r="N291" s="3">
        <v>52617</v>
      </c>
      <c r="O291" s="3"/>
      <c r="P291" s="3">
        <v>5393</v>
      </c>
      <c r="Q291" s="3"/>
      <c r="R291" s="3">
        <v>279705</v>
      </c>
      <c r="S291" s="3"/>
      <c r="T291" s="3">
        <v>668950</v>
      </c>
      <c r="U291" s="3"/>
      <c r="V291" s="3">
        <v>93705</v>
      </c>
      <c r="W291" s="3"/>
      <c r="X291" s="3">
        <v>42427</v>
      </c>
      <c r="Y291" s="3"/>
      <c r="Z291" s="3">
        <v>12416</v>
      </c>
      <c r="AA291" s="3"/>
      <c r="AB291" s="3">
        <v>4590.5</v>
      </c>
      <c r="AC291" s="3"/>
      <c r="AD291" s="3">
        <v>688.79310344827593</v>
      </c>
      <c r="AE291" s="3"/>
      <c r="AF291" s="5">
        <f t="shared" si="68"/>
        <v>0</v>
      </c>
      <c r="AG291" s="4">
        <f t="shared" si="69"/>
        <v>0</v>
      </c>
      <c r="AH291" s="5">
        <f t="shared" si="70"/>
        <v>-7374381.1167173516</v>
      </c>
      <c r="AI291" s="17">
        <f t="shared" si="72"/>
        <v>-1</v>
      </c>
      <c r="AJ291" s="17">
        <f t="shared" si="73"/>
        <v>0.10456272839443309</v>
      </c>
      <c r="AK291" s="14" t="e">
        <f t="shared" si="74"/>
        <v>#DIV/0!</v>
      </c>
      <c r="AL291" s="14">
        <f t="shared" si="75"/>
        <v>-1</v>
      </c>
      <c r="AO291" s="19">
        <f>+Tabla22[[#This Row],[Web + APP 2025]]+Tabla22[[#This Row],[Afiliados 2025]]+Tabla22[[#This Row],[TMK 2025]]+Tabla22[[#This Row],[WA 2025]]+Tabla22[[#This Row],[Ent. en Tienda 2025]]</f>
        <v>4766055.7586206896</v>
      </c>
      <c r="AP291" s="19">
        <f>+Tabla22[[#This Row],[Meli Drop 2025]]+Tabla22[[#This Row],[Meli Full 2025]]+Tabla22[[#This Row],[Amazon Drop 2025]]+Tabla22[[#This Row],[Amazon Full 2025]]+Tabla22[[#This Row],[TikTok 2025]]+Tabla22[[#This Row],[Shein 2025]]</f>
        <v>822777.29310344823</v>
      </c>
    </row>
    <row r="292" spans="1:42" hidden="1" x14ac:dyDescent="0.3">
      <c r="A292" s="63">
        <v>45946</v>
      </c>
      <c r="B292" s="3">
        <f>+'BD MD'!B291</f>
        <v>46278011</v>
      </c>
      <c r="C292" s="3">
        <f t="shared" si="71"/>
        <v>4838955.0948275868</v>
      </c>
      <c r="D292" s="4">
        <f t="shared" si="76"/>
        <v>3.5887539967319512E-2</v>
      </c>
      <c r="E292" s="3"/>
      <c r="F292" s="7">
        <v>46311</v>
      </c>
      <c r="G292" s="3">
        <f>+Tabla22[[#This Row],[Meta Digital]]+Tabla22[[#This Row],[Meta MKPlace]]</f>
        <v>6384928.4359874176</v>
      </c>
      <c r="H292" s="3">
        <f>+Tabla2[[#This Row],[Meta Digital]]</f>
        <v>5177312.7160871159</v>
      </c>
      <c r="I292" s="3">
        <f>+Tabla2[[#This Row],[Meta MKPlace]]</f>
        <v>1207615.7199003017</v>
      </c>
      <c r="J292" s="3">
        <v>3659618</v>
      </c>
      <c r="K292" s="3"/>
      <c r="L292" s="3">
        <v>37947.413793103435</v>
      </c>
      <c r="M292" s="3"/>
      <c r="N292" s="3">
        <v>37369</v>
      </c>
      <c r="O292" s="3"/>
      <c r="P292" s="3">
        <v>9908</v>
      </c>
      <c r="Q292" s="3"/>
      <c r="R292" s="3">
        <v>321653</v>
      </c>
      <c r="S292" s="3"/>
      <c r="T292" s="3">
        <v>573332</v>
      </c>
      <c r="U292" s="3"/>
      <c r="V292" s="3">
        <v>132053</v>
      </c>
      <c r="W292" s="3"/>
      <c r="X292" s="3">
        <v>44310</v>
      </c>
      <c r="Y292" s="3"/>
      <c r="Z292" s="3">
        <v>14263</v>
      </c>
      <c r="AA292" s="3"/>
      <c r="AB292" s="3">
        <v>6779.2672413793107</v>
      </c>
      <c r="AC292" s="3"/>
      <c r="AD292" s="3">
        <v>1722.4137931034484</v>
      </c>
      <c r="AE292" s="3"/>
      <c r="AF292" s="5">
        <f t="shared" si="68"/>
        <v>0</v>
      </c>
      <c r="AG292" s="4">
        <f t="shared" si="69"/>
        <v>0</v>
      </c>
      <c r="AH292" s="5">
        <f t="shared" si="70"/>
        <v>-6384928.4359874176</v>
      </c>
      <c r="AI292" s="17">
        <f t="shared" si="72"/>
        <v>-1</v>
      </c>
      <c r="AJ292" s="17">
        <f t="shared" si="73"/>
        <v>8.949790217765427E-2</v>
      </c>
      <c r="AK292" s="14" t="e">
        <f t="shared" si="74"/>
        <v>#DIV/0!</v>
      </c>
      <c r="AL292" s="14">
        <f t="shared" si="75"/>
        <v>-1</v>
      </c>
      <c r="AO292" s="19">
        <f>+Tabla22[[#This Row],[Web + APP 2025]]+Tabla22[[#This Row],[Afiliados 2025]]+Tabla22[[#This Row],[TMK 2025]]+Tabla22[[#This Row],[WA 2025]]+Tabla22[[#This Row],[Ent. en Tienda 2025]]</f>
        <v>4066495.4137931033</v>
      </c>
      <c r="AP292" s="19">
        <f>+Tabla22[[#This Row],[Meli Drop 2025]]+Tabla22[[#This Row],[Meli Full 2025]]+Tabla22[[#This Row],[Amazon Drop 2025]]+Tabla22[[#This Row],[Amazon Full 2025]]+Tabla22[[#This Row],[TikTok 2025]]+Tabla22[[#This Row],[Shein 2025]]</f>
        <v>772459.68103448278</v>
      </c>
    </row>
    <row r="293" spans="1:42" hidden="1" x14ac:dyDescent="0.3">
      <c r="A293" s="7">
        <v>45947</v>
      </c>
      <c r="B293" s="3">
        <f>+'BD MD'!B292</f>
        <v>43693955</v>
      </c>
      <c r="C293" s="3">
        <f t="shared" si="71"/>
        <v>3910517.3103448278</v>
      </c>
      <c r="D293" s="4">
        <f t="shared" si="76"/>
        <v>2.9001890597807896E-2</v>
      </c>
      <c r="E293" s="3"/>
      <c r="F293" s="7">
        <v>46312</v>
      </c>
      <c r="G293" s="3">
        <f>+Tabla22[[#This Row],[Meta Digital]]+Tabla22[[#This Row],[Meta MKPlace]]</f>
        <v>5159868.7495427877</v>
      </c>
      <c r="H293" s="3">
        <f>+Tabla2[[#This Row],[Meta Digital]]</f>
        <v>4183955.1309265522</v>
      </c>
      <c r="I293" s="3">
        <f>+Tabla2[[#This Row],[Meta MKPlace]]</f>
        <v>975913.61861623568</v>
      </c>
      <c r="J293" s="3">
        <v>2757514</v>
      </c>
      <c r="K293" s="3"/>
      <c r="L293" s="3">
        <v>38559.482758620667</v>
      </c>
      <c r="M293" s="3"/>
      <c r="N293" s="3">
        <v>28828</v>
      </c>
      <c r="O293" s="3"/>
      <c r="P293" s="3">
        <v>2569</v>
      </c>
      <c r="Q293" s="3"/>
      <c r="R293" s="3">
        <v>249589</v>
      </c>
      <c r="S293" s="3"/>
      <c r="T293" s="3">
        <v>603059</v>
      </c>
      <c r="U293" s="3"/>
      <c r="V293" s="3">
        <v>182555</v>
      </c>
      <c r="W293" s="3"/>
      <c r="X293" s="3">
        <v>33984</v>
      </c>
      <c r="Y293" s="3"/>
      <c r="Z293" s="3">
        <v>6959</v>
      </c>
      <c r="AA293" s="3"/>
      <c r="AB293" s="3">
        <v>6900.8275862068967</v>
      </c>
      <c r="AC293" s="3"/>
      <c r="AD293" s="3">
        <v>0</v>
      </c>
      <c r="AE293" s="3"/>
      <c r="AF293" s="5">
        <f t="shared" si="68"/>
        <v>0</v>
      </c>
      <c r="AG293" s="4">
        <f t="shared" si="69"/>
        <v>0</v>
      </c>
      <c r="AH293" s="5">
        <f t="shared" si="70"/>
        <v>-5159868.7495427877</v>
      </c>
      <c r="AI293" s="17">
        <f t="shared" si="72"/>
        <v>-1</v>
      </c>
      <c r="AJ293" s="17">
        <f t="shared" si="73"/>
        <v>5.2087410632322077E-2</v>
      </c>
      <c r="AK293" s="14" t="e">
        <f t="shared" si="74"/>
        <v>#DIV/0!</v>
      </c>
      <c r="AL293" s="14">
        <f t="shared" si="75"/>
        <v>-1</v>
      </c>
      <c r="AO293" s="19">
        <f>+Tabla22[[#This Row],[Web + APP 2025]]+Tabla22[[#This Row],[Afiliados 2025]]+Tabla22[[#This Row],[TMK 2025]]+Tabla22[[#This Row],[WA 2025]]+Tabla22[[#This Row],[Ent. en Tienda 2025]]</f>
        <v>3077059.4827586208</v>
      </c>
      <c r="AP293" s="19">
        <f>+Tabla22[[#This Row],[Meli Drop 2025]]+Tabla22[[#This Row],[Meli Full 2025]]+Tabla22[[#This Row],[Amazon Drop 2025]]+Tabla22[[#This Row],[Amazon Full 2025]]+Tabla22[[#This Row],[TikTok 2025]]+Tabla22[[#This Row],[Shein 2025]]</f>
        <v>833457.82758620684</v>
      </c>
    </row>
    <row r="294" spans="1:42" hidden="1" x14ac:dyDescent="0.3">
      <c r="A294" s="63">
        <v>45948</v>
      </c>
      <c r="B294" s="3">
        <f>+'BD MD'!B293</f>
        <v>58058265</v>
      </c>
      <c r="C294" s="3">
        <f t="shared" si="71"/>
        <v>3024104.6896551726</v>
      </c>
      <c r="D294" s="4">
        <f t="shared" si="76"/>
        <v>2.2427915900968955E-2</v>
      </c>
      <c r="E294" s="3"/>
      <c r="F294" s="7">
        <v>46313</v>
      </c>
      <c r="G294" s="3">
        <f>+Tabla22[[#This Row],[Meta Digital]]+Tabla22[[#This Row],[Meta MKPlace]]</f>
        <v>3990260.6343715591</v>
      </c>
      <c r="H294" s="3">
        <f>+Tabla2[[#This Row],[Meta Digital]]</f>
        <v>3235561.2643039539</v>
      </c>
      <c r="I294" s="3">
        <f>+Tabla2[[#This Row],[Meta MKPlace]]</f>
        <v>754699.3700676054</v>
      </c>
      <c r="J294" s="3">
        <v>2057157</v>
      </c>
      <c r="K294" s="3"/>
      <c r="L294" s="3">
        <v>39201.724137931014</v>
      </c>
      <c r="M294" s="3"/>
      <c r="N294" s="3">
        <v>21446</v>
      </c>
      <c r="O294" s="3"/>
      <c r="P294" s="3">
        <v>128</v>
      </c>
      <c r="Q294" s="3"/>
      <c r="R294" s="3">
        <v>156666</v>
      </c>
      <c r="S294" s="3"/>
      <c r="T294" s="3">
        <v>518617</v>
      </c>
      <c r="U294" s="3"/>
      <c r="V294" s="3">
        <v>193438</v>
      </c>
      <c r="W294" s="3"/>
      <c r="X294" s="3">
        <v>25309</v>
      </c>
      <c r="Y294" s="3"/>
      <c r="Z294" s="3">
        <v>10273</v>
      </c>
      <c r="AA294" s="3"/>
      <c r="AB294" s="3">
        <v>1868.9655172413795</v>
      </c>
      <c r="AC294" s="3"/>
      <c r="AD294" s="3">
        <v>0</v>
      </c>
      <c r="AE294" s="3"/>
      <c r="AF294" s="5">
        <f t="shared" si="68"/>
        <v>0</v>
      </c>
      <c r="AG294" s="4">
        <f t="shared" si="69"/>
        <v>0</v>
      </c>
      <c r="AH294" s="5">
        <f t="shared" si="70"/>
        <v>-3990260.6343715591</v>
      </c>
      <c r="AI294" s="17">
        <f t="shared" si="72"/>
        <v>-1</v>
      </c>
      <c r="AJ294" s="17">
        <f t="shared" si="73"/>
        <v>6.3572612553030358E-2</v>
      </c>
      <c r="AK294" s="14" t="e">
        <f t="shared" si="74"/>
        <v>#DIV/0!</v>
      </c>
      <c r="AL294" s="14">
        <f t="shared" si="75"/>
        <v>-1</v>
      </c>
      <c r="AO294" s="19">
        <f>+Tabla22[[#This Row],[Web + APP 2025]]+Tabla22[[#This Row],[Afiliados 2025]]+Tabla22[[#This Row],[TMK 2025]]+Tabla22[[#This Row],[WA 2025]]+Tabla22[[#This Row],[Ent. en Tienda 2025]]</f>
        <v>2274598.7241379311</v>
      </c>
      <c r="AP294" s="19">
        <f>+Tabla22[[#This Row],[Meli Drop 2025]]+Tabla22[[#This Row],[Meli Full 2025]]+Tabla22[[#This Row],[Amazon Drop 2025]]+Tabla22[[#This Row],[Amazon Full 2025]]+Tabla22[[#This Row],[TikTok 2025]]+Tabla22[[#This Row],[Shein 2025]]</f>
        <v>749505.96551724139</v>
      </c>
    </row>
    <row r="295" spans="1:42" hidden="1" x14ac:dyDescent="0.3">
      <c r="A295" s="7">
        <v>45949</v>
      </c>
      <c r="B295" s="3">
        <f>+'BD MD'!B294</f>
        <v>57993512</v>
      </c>
      <c r="C295" s="3">
        <f t="shared" si="71"/>
        <v>3686799.068965517</v>
      </c>
      <c r="D295" s="4">
        <f t="shared" si="76"/>
        <v>2.7342710636104921E-2</v>
      </c>
      <c r="E295" s="3"/>
      <c r="F295" s="7">
        <v>46314</v>
      </c>
      <c r="G295" s="3">
        <f>+Tabla22[[#This Row],[Meta Digital]]+Tabla22[[#This Row],[Meta MKPlace]]</f>
        <v>4864675.8963256292</v>
      </c>
      <c r="H295" s="3">
        <f>+Tabla2[[#This Row],[Meta Digital]]</f>
        <v>3944593.6834206991</v>
      </c>
      <c r="I295" s="3">
        <f>+Tabla2[[#This Row],[Meta MKPlace]]</f>
        <v>920082.21290493058</v>
      </c>
      <c r="J295" s="3">
        <v>2619522</v>
      </c>
      <c r="K295" s="3"/>
      <c r="L295" s="3">
        <v>32746.551724137917</v>
      </c>
      <c r="M295" s="3"/>
      <c r="N295" s="3">
        <v>2872</v>
      </c>
      <c r="O295" s="3"/>
      <c r="P295" s="3">
        <v>3770</v>
      </c>
      <c r="Q295" s="3"/>
      <c r="R295" s="3">
        <v>126305</v>
      </c>
      <c r="S295" s="3"/>
      <c r="T295" s="3">
        <v>624995</v>
      </c>
      <c r="U295" s="3"/>
      <c r="V295" s="3">
        <v>224236</v>
      </c>
      <c r="W295" s="3"/>
      <c r="X295" s="3">
        <v>42542</v>
      </c>
      <c r="Y295" s="3"/>
      <c r="Z295" s="3">
        <v>7745</v>
      </c>
      <c r="AA295" s="3"/>
      <c r="AB295" s="3">
        <v>1462.9310344827588</v>
      </c>
      <c r="AC295" s="3"/>
      <c r="AD295" s="3">
        <v>602.58620689655174</v>
      </c>
      <c r="AE295" s="3"/>
      <c r="AF295" s="5">
        <f t="shared" si="68"/>
        <v>0</v>
      </c>
      <c r="AG295" s="4">
        <f t="shared" si="69"/>
        <v>0</v>
      </c>
      <c r="AH295" s="5">
        <f t="shared" si="70"/>
        <v>-4864675.8963256292</v>
      </c>
      <c r="AI295" s="17">
        <f t="shared" si="72"/>
        <v>-1</v>
      </c>
      <c r="AJ295" s="17">
        <f t="shared" si="73"/>
        <v>0.1403258425852103</v>
      </c>
      <c r="AK295" s="14" t="e">
        <f t="shared" si="74"/>
        <v>#DIV/0!</v>
      </c>
      <c r="AL295" s="14">
        <f t="shared" si="75"/>
        <v>-1</v>
      </c>
      <c r="AO295" s="19">
        <f>+Tabla22[[#This Row],[Web + APP 2025]]+Tabla22[[#This Row],[Afiliados 2025]]+Tabla22[[#This Row],[TMK 2025]]+Tabla22[[#This Row],[WA 2025]]+Tabla22[[#This Row],[Ent. en Tienda 2025]]</f>
        <v>2785215.5517241377</v>
      </c>
      <c r="AP295" s="19">
        <f>+Tabla22[[#This Row],[Meli Drop 2025]]+Tabla22[[#This Row],[Meli Full 2025]]+Tabla22[[#This Row],[Amazon Drop 2025]]+Tabla22[[#This Row],[Amazon Full 2025]]+Tabla22[[#This Row],[TikTok 2025]]+Tabla22[[#This Row],[Shein 2025]]</f>
        <v>901583.51724137936</v>
      </c>
    </row>
    <row r="296" spans="1:42" hidden="1" x14ac:dyDescent="0.3">
      <c r="A296" s="63">
        <v>45950</v>
      </c>
      <c r="B296" s="3">
        <f>+'BD MD'!B295</f>
        <v>32252775</v>
      </c>
      <c r="C296" s="3">
        <f t="shared" si="71"/>
        <v>4525897.8275862066</v>
      </c>
      <c r="D296" s="4">
        <f t="shared" si="76"/>
        <v>3.3565787653024648E-2</v>
      </c>
      <c r="E296" s="3"/>
      <c r="F296" s="7">
        <v>46315</v>
      </c>
      <c r="G296" s="3">
        <f>+Tabla22[[#This Row],[Meta Digital]]+Tabla22[[#This Row],[Meta MKPlace]]</f>
        <v>5971854.0824273694</v>
      </c>
      <c r="H296" s="3">
        <f>+Tabla2[[#This Row],[Meta Digital]]</f>
        <v>4842365.32790309</v>
      </c>
      <c r="I296" s="3">
        <f>+Tabla2[[#This Row],[Meta MKPlace]]</f>
        <v>1129488.7545242794</v>
      </c>
      <c r="J296" s="3">
        <v>3847226</v>
      </c>
      <c r="K296" s="3"/>
      <c r="L296" s="3">
        <v>31251.724137931025</v>
      </c>
      <c r="M296" s="3"/>
      <c r="N296" s="3">
        <v>55327</v>
      </c>
      <c r="O296" s="3"/>
      <c r="P296" s="3">
        <v>3409</v>
      </c>
      <c r="Q296" s="3"/>
      <c r="R296" s="3">
        <v>170272</v>
      </c>
      <c r="S296" s="3"/>
      <c r="T296" s="3">
        <v>271999</v>
      </c>
      <c r="U296" s="3"/>
      <c r="V296" s="3">
        <v>100871</v>
      </c>
      <c r="W296" s="3"/>
      <c r="X296" s="3">
        <v>38995</v>
      </c>
      <c r="Y296" s="3"/>
      <c r="Z296" s="3">
        <v>5429</v>
      </c>
      <c r="AA296" s="3"/>
      <c r="AB296" s="3">
        <v>429.31034482758622</v>
      </c>
      <c r="AC296" s="3"/>
      <c r="AD296" s="3">
        <v>688.79310344827593</v>
      </c>
      <c r="AE296" s="3"/>
      <c r="AF296" s="5">
        <f t="shared" si="68"/>
        <v>0</v>
      </c>
      <c r="AG296" s="4">
        <f t="shared" si="69"/>
        <v>0</v>
      </c>
      <c r="AH296" s="5">
        <f t="shared" si="70"/>
        <v>-5971854.0824273694</v>
      </c>
      <c r="AI296" s="17">
        <f t="shared" si="72"/>
        <v>-1</v>
      </c>
      <c r="AJ296" s="17">
        <f t="shared" si="73"/>
        <v>0.15297330886264721</v>
      </c>
      <c r="AK296" s="14" t="e">
        <f t="shared" si="74"/>
        <v>#DIV/0!</v>
      </c>
      <c r="AL296" s="14">
        <f t="shared" si="75"/>
        <v>-1</v>
      </c>
      <c r="AO296" s="19">
        <f>+Tabla22[[#This Row],[Web + APP 2025]]+Tabla22[[#This Row],[Afiliados 2025]]+Tabla22[[#This Row],[TMK 2025]]+Tabla22[[#This Row],[WA 2025]]+Tabla22[[#This Row],[Ent. en Tienda 2025]]</f>
        <v>4107485.7241379311</v>
      </c>
      <c r="AP296" s="19">
        <f>+Tabla22[[#This Row],[Meli Drop 2025]]+Tabla22[[#This Row],[Meli Full 2025]]+Tabla22[[#This Row],[Amazon Drop 2025]]+Tabla22[[#This Row],[Amazon Full 2025]]+Tabla22[[#This Row],[TikTok 2025]]+Tabla22[[#This Row],[Shein 2025]]</f>
        <v>418412.10344827588</v>
      </c>
    </row>
    <row r="297" spans="1:42" hidden="1" x14ac:dyDescent="0.3">
      <c r="A297" s="7">
        <v>45951</v>
      </c>
      <c r="B297" s="3">
        <f>+'BD MD'!B296</f>
        <v>35044736</v>
      </c>
      <c r="C297" s="3">
        <f t="shared" si="71"/>
        <v>5360909.2241379311</v>
      </c>
      <c r="D297" s="4">
        <f t="shared" si="76"/>
        <v>3.9758551231043555E-2</v>
      </c>
      <c r="E297" s="3"/>
      <c r="F297" s="7">
        <v>46316</v>
      </c>
      <c r="G297" s="3">
        <f>+Tabla22[[#This Row],[Meta Digital]]+Tabla22[[#This Row],[Meta MKPlace]]</f>
        <v>7073639.055781547</v>
      </c>
      <c r="H297" s="3">
        <f>+Tabla2[[#This Row],[Meta Digital]]</f>
        <v>5735763.8068569312</v>
      </c>
      <c r="I297" s="3">
        <f>+Tabla2[[#This Row],[Meta MKPlace]]</f>
        <v>1337875.2489246156</v>
      </c>
      <c r="J297" s="3">
        <v>3931017</v>
      </c>
      <c r="K297" s="3"/>
      <c r="L297" s="3">
        <v>32601.724137931022</v>
      </c>
      <c r="M297" s="3"/>
      <c r="N297" s="3">
        <v>9294</v>
      </c>
      <c r="O297" s="3"/>
      <c r="P297" s="3">
        <v>2891</v>
      </c>
      <c r="Q297" s="3"/>
      <c r="R297" s="3">
        <v>155173</v>
      </c>
      <c r="S297" s="3"/>
      <c r="T297" s="3">
        <v>877636</v>
      </c>
      <c r="U297" s="3"/>
      <c r="V297" s="3">
        <v>293673</v>
      </c>
      <c r="W297" s="3"/>
      <c r="X297" s="3">
        <v>44439</v>
      </c>
      <c r="Y297" s="3"/>
      <c r="Z297" s="3">
        <v>6738</v>
      </c>
      <c r="AA297" s="3"/>
      <c r="AB297" s="3">
        <v>7446.5</v>
      </c>
      <c r="AC297" s="3"/>
      <c r="AD297" s="3">
        <v>0</v>
      </c>
      <c r="AE297" s="3"/>
      <c r="AF297" s="5">
        <f t="shared" si="68"/>
        <v>0</v>
      </c>
      <c r="AG297" s="4">
        <f t="shared" si="69"/>
        <v>0</v>
      </c>
      <c r="AH297" s="5">
        <f t="shared" si="70"/>
        <v>-7073639.055781547</v>
      </c>
      <c r="AI297" s="17">
        <f t="shared" si="72"/>
        <v>-1</v>
      </c>
      <c r="AJ297" s="17">
        <f t="shared" si="73"/>
        <v>0.14335070901016397</v>
      </c>
      <c r="AK297" s="14" t="e">
        <f t="shared" si="74"/>
        <v>#DIV/0!</v>
      </c>
      <c r="AL297" s="14">
        <f t="shared" si="75"/>
        <v>-1</v>
      </c>
      <c r="AO297" s="19">
        <f>+Tabla22[[#This Row],[Web + APP 2025]]+Tabla22[[#This Row],[Afiliados 2025]]+Tabla22[[#This Row],[TMK 2025]]+Tabla22[[#This Row],[WA 2025]]+Tabla22[[#This Row],[Ent. en Tienda 2025]]</f>
        <v>4130976.7241379311</v>
      </c>
      <c r="AP297" s="19">
        <f>+Tabla22[[#This Row],[Meli Drop 2025]]+Tabla22[[#This Row],[Meli Full 2025]]+Tabla22[[#This Row],[Amazon Drop 2025]]+Tabla22[[#This Row],[Amazon Full 2025]]+Tabla22[[#This Row],[TikTok 2025]]+Tabla22[[#This Row],[Shein 2025]]</f>
        <v>1229932.5</v>
      </c>
    </row>
    <row r="298" spans="1:42" hidden="1" x14ac:dyDescent="0.3">
      <c r="A298" s="63">
        <v>45952</v>
      </c>
      <c r="B298" s="3">
        <f>+'BD MD'!B297</f>
        <v>38948520</v>
      </c>
      <c r="C298" s="3">
        <f t="shared" si="71"/>
        <v>5583297.9568965519</v>
      </c>
      <c r="D298" s="4">
        <f t="shared" si="76"/>
        <v>4.1407871048804938E-2</v>
      </c>
      <c r="E298" s="3"/>
      <c r="F298" s="7">
        <v>46317</v>
      </c>
      <c r="G298" s="3">
        <f>+Tabla22[[#This Row],[Meta Digital]]+Tabla22[[#This Row],[Meta MKPlace]]</f>
        <v>7367077.6423787884</v>
      </c>
      <c r="H298" s="3">
        <f>+Tabla2[[#This Row],[Meta Digital]]</f>
        <v>5973702.7815865017</v>
      </c>
      <c r="I298" s="3">
        <f>+Tabla2[[#This Row],[Meta MKPlace]]</f>
        <v>1393374.8607922862</v>
      </c>
      <c r="J298" s="3">
        <v>4257253</v>
      </c>
      <c r="K298" s="3"/>
      <c r="L298" s="3">
        <v>28862.931034482746</v>
      </c>
      <c r="M298" s="3"/>
      <c r="N298" s="3">
        <v>58162</v>
      </c>
      <c r="O298" s="3"/>
      <c r="P298" s="3">
        <v>4241</v>
      </c>
      <c r="Q298" s="3"/>
      <c r="R298" s="3">
        <v>134909</v>
      </c>
      <c r="S298" s="3"/>
      <c r="T298" s="3">
        <v>802589</v>
      </c>
      <c r="U298" s="3"/>
      <c r="V298" s="3">
        <v>231059</v>
      </c>
      <c r="W298" s="3"/>
      <c r="X298" s="3">
        <v>43400</v>
      </c>
      <c r="Y298" s="3"/>
      <c r="Z298" s="3">
        <v>12873</v>
      </c>
      <c r="AA298" s="3"/>
      <c r="AB298" s="3">
        <v>9949.0258620689674</v>
      </c>
      <c r="AC298" s="3"/>
      <c r="AD298" s="3">
        <v>0</v>
      </c>
      <c r="AE298" s="3"/>
      <c r="AF298" s="5">
        <f t="shared" si="68"/>
        <v>0</v>
      </c>
      <c r="AG298" s="4">
        <f t="shared" si="69"/>
        <v>0</v>
      </c>
      <c r="AH298" s="5">
        <f t="shared" si="70"/>
        <v>-7367077.6423787884</v>
      </c>
      <c r="AI298" s="17">
        <f t="shared" si="72"/>
        <v>-1</v>
      </c>
      <c r="AJ298" s="17">
        <f t="shared" si="73"/>
        <v>0.10721433301361773</v>
      </c>
      <c r="AK298" s="14" t="e">
        <f t="shared" si="74"/>
        <v>#DIV/0!</v>
      </c>
      <c r="AL298" s="14">
        <f t="shared" si="75"/>
        <v>-1</v>
      </c>
      <c r="AO298" s="19">
        <f>+Tabla22[[#This Row],[Web + APP 2025]]+Tabla22[[#This Row],[Afiliados 2025]]+Tabla22[[#This Row],[TMK 2025]]+Tabla22[[#This Row],[WA 2025]]+Tabla22[[#This Row],[Ent. en Tienda 2025]]</f>
        <v>4483427.931034483</v>
      </c>
      <c r="AP298" s="19">
        <f>+Tabla22[[#This Row],[Meli Drop 2025]]+Tabla22[[#This Row],[Meli Full 2025]]+Tabla22[[#This Row],[Amazon Drop 2025]]+Tabla22[[#This Row],[Amazon Full 2025]]+Tabla22[[#This Row],[TikTok 2025]]+Tabla22[[#This Row],[Shein 2025]]</f>
        <v>1099870.0258620689</v>
      </c>
    </row>
    <row r="299" spans="1:42" hidden="1" x14ac:dyDescent="0.3">
      <c r="A299" s="7">
        <v>45953</v>
      </c>
      <c r="B299" s="3">
        <f>+'BD MD'!B298</f>
        <v>43242417</v>
      </c>
      <c r="C299" s="3">
        <f t="shared" si="71"/>
        <v>4636206.8965517245</v>
      </c>
      <c r="D299" s="4">
        <f t="shared" si="76"/>
        <v>3.4383881858008974E-2</v>
      </c>
      <c r="E299" s="3"/>
      <c r="F299" s="7">
        <v>46318</v>
      </c>
      <c r="G299" s="3">
        <f>+Tabla22[[#This Row],[Meta Digital]]+Tabla22[[#This Row],[Meta MKPlace]]</f>
        <v>6117405.2391095385</v>
      </c>
      <c r="H299" s="3">
        <f>+Tabla2[[#This Row],[Meta Digital]]</f>
        <v>4960387.614587537</v>
      </c>
      <c r="I299" s="3">
        <f>+Tabla2[[#This Row],[Meta MKPlace]]</f>
        <v>1157017.6245220019</v>
      </c>
      <c r="J299" s="3">
        <v>3461017</v>
      </c>
      <c r="K299" s="3"/>
      <c r="L299" s="3">
        <v>26515.517241379304</v>
      </c>
      <c r="M299" s="3"/>
      <c r="N299" s="3">
        <v>97029</v>
      </c>
      <c r="O299" s="3"/>
      <c r="P299" s="3">
        <v>4241</v>
      </c>
      <c r="Q299" s="3"/>
      <c r="R299" s="3">
        <v>151103</v>
      </c>
      <c r="S299" s="3"/>
      <c r="T299" s="3">
        <v>627269</v>
      </c>
      <c r="U299" s="3"/>
      <c r="V299" s="3">
        <v>217360</v>
      </c>
      <c r="W299" s="3"/>
      <c r="X299" s="3">
        <v>37546</v>
      </c>
      <c r="Y299" s="3"/>
      <c r="Z299" s="3">
        <v>11591</v>
      </c>
      <c r="AA299" s="3"/>
      <c r="AB299" s="3">
        <v>2535.3793103448279</v>
      </c>
      <c r="AC299" s="3"/>
      <c r="AD299" s="3">
        <v>0</v>
      </c>
      <c r="AE299" s="3"/>
      <c r="AF299" s="5">
        <f t="shared" si="68"/>
        <v>0</v>
      </c>
      <c r="AG299" s="4">
        <f t="shared" si="69"/>
        <v>0</v>
      </c>
      <c r="AH299" s="5">
        <f t="shared" si="70"/>
        <v>-6117405.2391095385</v>
      </c>
      <c r="AI299" s="17">
        <f t="shared" si="72"/>
        <v>-1</v>
      </c>
      <c r="AJ299" s="17">
        <f t="shared" si="73"/>
        <v>8.4929141839281991E-2</v>
      </c>
      <c r="AK299" s="14" t="e">
        <f t="shared" si="74"/>
        <v>#DIV/0!</v>
      </c>
      <c r="AL299" s="14">
        <f t="shared" si="75"/>
        <v>-1</v>
      </c>
      <c r="AO299" s="19">
        <f>+Tabla22[[#This Row],[Web + APP 2025]]+Tabla22[[#This Row],[Afiliados 2025]]+Tabla22[[#This Row],[TMK 2025]]+Tabla22[[#This Row],[WA 2025]]+Tabla22[[#This Row],[Ent. en Tienda 2025]]</f>
        <v>3739905.5172413792</v>
      </c>
      <c r="AP299" s="19">
        <f>+Tabla22[[#This Row],[Meli Drop 2025]]+Tabla22[[#This Row],[Meli Full 2025]]+Tabla22[[#This Row],[Amazon Drop 2025]]+Tabla22[[#This Row],[Amazon Full 2025]]+Tabla22[[#This Row],[TikTok 2025]]+Tabla22[[#This Row],[Shein 2025]]</f>
        <v>896301.37931034481</v>
      </c>
    </row>
    <row r="300" spans="1:42" hidden="1" x14ac:dyDescent="0.3">
      <c r="A300" s="63">
        <v>45954</v>
      </c>
      <c r="B300" s="3">
        <f>+'BD MD'!B299</f>
        <v>42069566</v>
      </c>
      <c r="C300" s="3">
        <f t="shared" si="71"/>
        <v>3572932.1379310349</v>
      </c>
      <c r="D300" s="4">
        <f t="shared" si="76"/>
        <v>2.6498229966543843E-2</v>
      </c>
      <c r="E300" s="3"/>
      <c r="F300" s="7">
        <v>46319</v>
      </c>
      <c r="G300" s="3">
        <f>+Tabla22[[#This Row],[Meta Digital]]+Tabla22[[#This Row],[Meta MKPlace]]</f>
        <v>4714430.1941785244</v>
      </c>
      <c r="H300" s="3">
        <f>+Tabla2[[#This Row],[Meta Digital]]</f>
        <v>3822764.7558043241</v>
      </c>
      <c r="I300" s="3">
        <f>+Tabla2[[#This Row],[Meta MKPlace]]</f>
        <v>891665.43837420037</v>
      </c>
      <c r="J300" s="3">
        <v>2656715</v>
      </c>
      <c r="K300" s="3"/>
      <c r="L300" s="3">
        <v>22585.344827586199</v>
      </c>
      <c r="M300" s="3"/>
      <c r="N300" s="3">
        <v>27735</v>
      </c>
      <c r="O300" s="3"/>
      <c r="P300" s="3">
        <v>1495</v>
      </c>
      <c r="Q300" s="3"/>
      <c r="R300" s="3">
        <v>121228</v>
      </c>
      <c r="S300" s="3"/>
      <c r="T300" s="3">
        <v>505230</v>
      </c>
      <c r="U300" s="3"/>
      <c r="V300" s="3">
        <v>186135</v>
      </c>
      <c r="W300" s="3"/>
      <c r="X300" s="3">
        <v>27757</v>
      </c>
      <c r="Y300" s="3"/>
      <c r="Z300" s="3">
        <v>5852</v>
      </c>
      <c r="AA300" s="3"/>
      <c r="AB300" s="3">
        <v>17338.586206896554</v>
      </c>
      <c r="AC300" s="3"/>
      <c r="AD300" s="3">
        <v>861.20689655172418</v>
      </c>
      <c r="AE300" s="3"/>
      <c r="AF300" s="5">
        <f t="shared" si="68"/>
        <v>0</v>
      </c>
      <c r="AG300" s="4">
        <f t="shared" si="69"/>
        <v>0</v>
      </c>
      <c r="AH300" s="5">
        <f t="shared" si="70"/>
        <v>-4714430.1941785244</v>
      </c>
      <c r="AI300" s="17">
        <f t="shared" si="72"/>
        <v>-1</v>
      </c>
      <c r="AJ300" s="17">
        <f t="shared" si="73"/>
        <v>5.3434890227021067E-2</v>
      </c>
      <c r="AK300" s="14" t="e">
        <f t="shared" si="74"/>
        <v>#DIV/0!</v>
      </c>
      <c r="AL300" s="14">
        <f t="shared" si="75"/>
        <v>-1</v>
      </c>
      <c r="AO300" s="19">
        <f>+Tabla22[[#This Row],[Web + APP 2025]]+Tabla22[[#This Row],[Afiliados 2025]]+Tabla22[[#This Row],[TMK 2025]]+Tabla22[[#This Row],[WA 2025]]+Tabla22[[#This Row],[Ent. en Tienda 2025]]</f>
        <v>2829758.3448275863</v>
      </c>
      <c r="AP300" s="19">
        <f>+Tabla22[[#This Row],[Meli Drop 2025]]+Tabla22[[#This Row],[Meli Full 2025]]+Tabla22[[#This Row],[Amazon Drop 2025]]+Tabla22[[#This Row],[Amazon Full 2025]]+Tabla22[[#This Row],[TikTok 2025]]+Tabla22[[#This Row],[Shein 2025]]</f>
        <v>743173.79310344835</v>
      </c>
    </row>
    <row r="301" spans="1:42" hidden="1" x14ac:dyDescent="0.3">
      <c r="A301" s="7">
        <v>45955</v>
      </c>
      <c r="B301" s="3">
        <f>+'BD MD'!B300</f>
        <v>52693132</v>
      </c>
      <c r="C301" s="3">
        <f t="shared" si="71"/>
        <v>2815651.7241379311</v>
      </c>
      <c r="D301" s="4">
        <f t="shared" si="76"/>
        <v>2.0881949057981995E-2</v>
      </c>
      <c r="E301" s="3"/>
      <c r="F301" s="7">
        <v>46320</v>
      </c>
      <c r="G301" s="3">
        <f>+Tabla22[[#This Row],[Meta Digital]]+Tabla22[[#This Row],[Meta MKPlace]]</f>
        <v>3715210.0829581739</v>
      </c>
      <c r="H301" s="3">
        <f>+Tabla2[[#This Row],[Meta Digital]]</f>
        <v>3012532.4971570796</v>
      </c>
      <c r="I301" s="3">
        <f>+Tabla2[[#This Row],[Meta MKPlace]]</f>
        <v>702677.58580109407</v>
      </c>
      <c r="J301" s="3">
        <v>2019623</v>
      </c>
      <c r="K301" s="3"/>
      <c r="L301" s="3">
        <v>28974.999999999989</v>
      </c>
      <c r="M301" s="3"/>
      <c r="N301" s="3">
        <v>-2410</v>
      </c>
      <c r="O301" s="3"/>
      <c r="P301" s="3">
        <v>41</v>
      </c>
      <c r="Q301" s="3"/>
      <c r="R301" s="3">
        <v>83407</v>
      </c>
      <c r="S301" s="3"/>
      <c r="T301" s="3">
        <v>490357</v>
      </c>
      <c r="U301" s="3"/>
      <c r="V301" s="3">
        <v>162629</v>
      </c>
      <c r="W301" s="3"/>
      <c r="X301" s="3">
        <v>25730</v>
      </c>
      <c r="Y301" s="3"/>
      <c r="Z301" s="3">
        <v>6748</v>
      </c>
      <c r="AA301" s="3"/>
      <c r="AB301" s="3">
        <v>551.72413793103453</v>
      </c>
      <c r="AC301" s="3"/>
      <c r="AD301" s="3">
        <v>0</v>
      </c>
      <c r="AE301" s="3"/>
      <c r="AF301" s="5">
        <f t="shared" si="68"/>
        <v>0</v>
      </c>
      <c r="AG301" s="4">
        <f t="shared" si="69"/>
        <v>0</v>
      </c>
      <c r="AH301" s="5">
        <f t="shared" si="70"/>
        <v>-3715210.0829581739</v>
      </c>
      <c r="AI301" s="17">
        <f t="shared" si="72"/>
        <v>-1</v>
      </c>
      <c r="AJ301" s="17">
        <f t="shared" si="73"/>
        <v>6.9850905135859662E-2</v>
      </c>
      <c r="AK301" s="14" t="e">
        <f t="shared" si="74"/>
        <v>#DIV/0!</v>
      </c>
      <c r="AL301" s="14">
        <f t="shared" si="75"/>
        <v>-1</v>
      </c>
      <c r="AO301" s="19">
        <f>+Tabla22[[#This Row],[Web + APP 2025]]+Tabla22[[#This Row],[Afiliados 2025]]+Tabla22[[#This Row],[TMK 2025]]+Tabla22[[#This Row],[WA 2025]]+Tabla22[[#This Row],[Ent. en Tienda 2025]]</f>
        <v>2129636</v>
      </c>
      <c r="AP301" s="19">
        <f>+Tabla22[[#This Row],[Meli Drop 2025]]+Tabla22[[#This Row],[Meli Full 2025]]+Tabla22[[#This Row],[Amazon Drop 2025]]+Tabla22[[#This Row],[Amazon Full 2025]]+Tabla22[[#This Row],[TikTok 2025]]+Tabla22[[#This Row],[Shein 2025]]</f>
        <v>686015.72413793101</v>
      </c>
    </row>
    <row r="302" spans="1:42" hidden="1" x14ac:dyDescent="0.3">
      <c r="A302" s="63">
        <v>45956</v>
      </c>
      <c r="B302" s="3">
        <f>+'BD MD'!B301</f>
        <v>50632279</v>
      </c>
      <c r="C302" s="3">
        <f t="shared" si="71"/>
        <v>3536710.5172413792</v>
      </c>
      <c r="D302" s="4">
        <f t="shared" si="76"/>
        <v>2.6229596587083348E-2</v>
      </c>
      <c r="E302" s="3"/>
      <c r="F302" s="7">
        <v>46321</v>
      </c>
      <c r="G302" s="3">
        <f>+Tabla22[[#This Row],[Meta Digital]]+Tabla22[[#This Row],[Meta MKPlace]]</f>
        <v>4666636.3107043542</v>
      </c>
      <c r="H302" s="3">
        <f>+Tabla2[[#This Row],[Meta Digital]]</f>
        <v>3784010.3855489991</v>
      </c>
      <c r="I302" s="3">
        <f>+Tabla2[[#This Row],[Meta MKPlace]]</f>
        <v>882625.92515535466</v>
      </c>
      <c r="J302" s="3">
        <v>2657024</v>
      </c>
      <c r="K302" s="3"/>
      <c r="L302" s="3">
        <v>30806.034482758605</v>
      </c>
      <c r="M302" s="3"/>
      <c r="N302" s="3">
        <v>-4552</v>
      </c>
      <c r="O302" s="3"/>
      <c r="P302" s="3">
        <v>130</v>
      </c>
      <c r="Q302" s="3"/>
      <c r="R302" s="3">
        <v>80354</v>
      </c>
      <c r="S302" s="3"/>
      <c r="T302" s="3">
        <v>573146</v>
      </c>
      <c r="U302" s="3"/>
      <c r="V302" s="3">
        <v>162092</v>
      </c>
      <c r="W302" s="3"/>
      <c r="X302" s="3">
        <v>29698</v>
      </c>
      <c r="Y302" s="3"/>
      <c r="Z302" s="3">
        <v>3328</v>
      </c>
      <c r="AA302" s="3"/>
      <c r="AB302" s="3">
        <v>3048.275862068966</v>
      </c>
      <c r="AC302" s="3"/>
      <c r="AD302" s="3">
        <v>1636.2068965517242</v>
      </c>
      <c r="AE302" s="3"/>
      <c r="AF302" s="5">
        <f t="shared" si="68"/>
        <v>0</v>
      </c>
      <c r="AG302" s="4">
        <f t="shared" si="69"/>
        <v>0</v>
      </c>
      <c r="AH302" s="5">
        <f t="shared" si="70"/>
        <v>-4666636.3107043542</v>
      </c>
      <c r="AI302" s="17">
        <f t="shared" si="72"/>
        <v>-1</v>
      </c>
      <c r="AJ302" s="17">
        <f t="shared" si="73"/>
        <v>0.17410433865774433</v>
      </c>
      <c r="AK302" s="14" t="e">
        <f t="shared" si="74"/>
        <v>#DIV/0!</v>
      </c>
      <c r="AL302" s="14">
        <f t="shared" si="75"/>
        <v>-1</v>
      </c>
      <c r="AO302" s="19">
        <f>+Tabla22[[#This Row],[Web + APP 2025]]+Tabla22[[#This Row],[Afiliados 2025]]+Tabla22[[#This Row],[TMK 2025]]+Tabla22[[#This Row],[WA 2025]]+Tabla22[[#This Row],[Ent. en Tienda 2025]]</f>
        <v>2763762.0344827585</v>
      </c>
      <c r="AP302" s="19">
        <f>+Tabla22[[#This Row],[Meli Drop 2025]]+Tabla22[[#This Row],[Meli Full 2025]]+Tabla22[[#This Row],[Amazon Drop 2025]]+Tabla22[[#This Row],[Amazon Full 2025]]+Tabla22[[#This Row],[TikTok 2025]]+Tabla22[[#This Row],[Shein 2025]]</f>
        <v>772948.48275862075</v>
      </c>
    </row>
    <row r="303" spans="1:42" hidden="1" x14ac:dyDescent="0.3">
      <c r="A303" s="7">
        <v>45957</v>
      </c>
      <c r="B303" s="3">
        <f>+'BD MD'!B302</f>
        <v>27179504</v>
      </c>
      <c r="C303" s="3">
        <f t="shared" si="71"/>
        <v>4732069.568965517</v>
      </c>
      <c r="D303" s="4">
        <f t="shared" si="76"/>
        <v>3.5094836066139855E-2</v>
      </c>
      <c r="E303" s="3"/>
      <c r="F303" s="7">
        <v>46322</v>
      </c>
      <c r="G303" s="3">
        <f>+Tabla22[[#This Row],[Meta Digital]]+Tabla22[[#This Row],[Meta MKPlace]]</f>
        <v>6243894.5929162782</v>
      </c>
      <c r="H303" s="3">
        <f>+Tabla2[[#This Row],[Meta Digital]]</f>
        <v>5062953.3592906725</v>
      </c>
      <c r="I303" s="3">
        <f>+Tabla2[[#This Row],[Meta MKPlace]]</f>
        <v>1180941.2336256062</v>
      </c>
      <c r="J303" s="3">
        <v>3776827</v>
      </c>
      <c r="K303" s="3"/>
      <c r="L303" s="3">
        <v>29792.24137931033</v>
      </c>
      <c r="M303" s="3"/>
      <c r="N303" s="3">
        <v>64916</v>
      </c>
      <c r="O303" s="3"/>
      <c r="P303" s="3">
        <v>3260</v>
      </c>
      <c r="Q303" s="3"/>
      <c r="R303" s="3">
        <v>63746</v>
      </c>
      <c r="S303" s="3"/>
      <c r="T303" s="3">
        <v>549556</v>
      </c>
      <c r="U303" s="3"/>
      <c r="V303" s="3">
        <v>173311</v>
      </c>
      <c r="W303" s="3"/>
      <c r="X303" s="3">
        <v>35148</v>
      </c>
      <c r="Y303" s="3"/>
      <c r="Z303" s="3">
        <v>7879</v>
      </c>
      <c r="AA303" s="3"/>
      <c r="AB303" s="3">
        <v>26773.120689655178</v>
      </c>
      <c r="AC303" s="3"/>
      <c r="AD303" s="3">
        <v>861.20689655172418</v>
      </c>
      <c r="AE303" s="3"/>
      <c r="AF303" s="5">
        <f t="shared" si="68"/>
        <v>0</v>
      </c>
      <c r="AG303" s="4">
        <f t="shared" si="69"/>
        <v>0</v>
      </c>
      <c r="AH303" s="5">
        <f t="shared" si="70"/>
        <v>-6243894.5929162782</v>
      </c>
      <c r="AI303" s="17">
        <f t="shared" si="72"/>
        <v>-1</v>
      </c>
      <c r="AJ303" s="17">
        <f t="shared" si="73"/>
        <v>0.15125872381941796</v>
      </c>
      <c r="AK303" s="14" t="e">
        <f t="shared" si="74"/>
        <v>#DIV/0!</v>
      </c>
      <c r="AL303" s="14">
        <f t="shared" si="75"/>
        <v>-1</v>
      </c>
      <c r="AO303" s="19">
        <f>+Tabla22[[#This Row],[Web + APP 2025]]+Tabla22[[#This Row],[Afiliados 2025]]+Tabla22[[#This Row],[TMK 2025]]+Tabla22[[#This Row],[WA 2025]]+Tabla22[[#This Row],[Ent. en Tienda 2025]]</f>
        <v>3938541.2413793104</v>
      </c>
      <c r="AP303" s="19">
        <f>+Tabla22[[#This Row],[Meli Drop 2025]]+Tabla22[[#This Row],[Meli Full 2025]]+Tabla22[[#This Row],[Amazon Drop 2025]]+Tabla22[[#This Row],[Amazon Full 2025]]+Tabla22[[#This Row],[TikTok 2025]]+Tabla22[[#This Row],[Shein 2025]]</f>
        <v>793528.32758620696</v>
      </c>
    </row>
    <row r="304" spans="1:42" hidden="1" x14ac:dyDescent="0.3">
      <c r="A304" s="63">
        <v>45958</v>
      </c>
      <c r="B304" s="3">
        <f>+'BD MD'!B303</f>
        <v>30046512</v>
      </c>
      <c r="C304" s="3">
        <f t="shared" si="71"/>
        <v>4544797.0603448274</v>
      </c>
      <c r="D304" s="4">
        <f t="shared" si="76"/>
        <v>3.3705951584634943E-2</v>
      </c>
      <c r="E304" s="3"/>
      <c r="F304" s="7">
        <v>46323</v>
      </c>
      <c r="G304" s="3">
        <f>+Tabla22[[#This Row],[Meta Digital]]+Tabla22[[#This Row],[Meta MKPlace]]</f>
        <v>5996791.3356760824</v>
      </c>
      <c r="H304" s="3">
        <f>+Tabla2[[#This Row],[Meta Digital]]</f>
        <v>4862586.0648531169</v>
      </c>
      <c r="I304" s="3">
        <f>+Tabla2[[#This Row],[Meta MKPlace]]</f>
        <v>1134205.2708229658</v>
      </c>
      <c r="J304" s="3">
        <v>3810274</v>
      </c>
      <c r="K304" s="3"/>
      <c r="L304" s="3">
        <v>28745.689655172406</v>
      </c>
      <c r="M304" s="3"/>
      <c r="N304" s="3">
        <v>-671</v>
      </c>
      <c r="O304" s="3"/>
      <c r="P304" s="3">
        <v>2634</v>
      </c>
      <c r="Q304" s="3"/>
      <c r="R304" s="3">
        <v>138347</v>
      </c>
      <c r="S304" s="3"/>
      <c r="T304" s="3">
        <v>371112</v>
      </c>
      <c r="U304" s="3"/>
      <c r="V304" s="3">
        <v>145967</v>
      </c>
      <c r="W304" s="3"/>
      <c r="X304" s="3">
        <v>36008</v>
      </c>
      <c r="Y304" s="3"/>
      <c r="Z304" s="3">
        <v>9114</v>
      </c>
      <c r="AA304" s="3"/>
      <c r="AB304" s="3">
        <v>682.75</v>
      </c>
      <c r="AC304" s="3"/>
      <c r="AD304" s="3">
        <v>2583.6206896551726</v>
      </c>
      <c r="AE304" s="3"/>
      <c r="AF304" s="5">
        <f t="shared" si="68"/>
        <v>0</v>
      </c>
      <c r="AG304" s="4">
        <f t="shared" si="69"/>
        <v>0</v>
      </c>
      <c r="AH304" s="5">
        <f t="shared" si="70"/>
        <v>-5996791.3356760824</v>
      </c>
      <c r="AI304" s="17">
        <f t="shared" si="72"/>
        <v>-1</v>
      </c>
      <c r="AJ304" s="17">
        <f t="shared" si="73"/>
        <v>0.13241817960794397</v>
      </c>
      <c r="AK304" s="14" t="e">
        <f t="shared" si="74"/>
        <v>#DIV/0!</v>
      </c>
      <c r="AL304" s="14">
        <f t="shared" si="75"/>
        <v>-1</v>
      </c>
      <c r="AO304" s="19">
        <f>+Tabla22[[#This Row],[Web + APP 2025]]+Tabla22[[#This Row],[Afiliados 2025]]+Tabla22[[#This Row],[TMK 2025]]+Tabla22[[#This Row],[WA 2025]]+Tabla22[[#This Row],[Ent. en Tienda 2025]]</f>
        <v>3979329.6896551726</v>
      </c>
      <c r="AP304" s="19">
        <f>+Tabla22[[#This Row],[Meli Drop 2025]]+Tabla22[[#This Row],[Meli Full 2025]]+Tabla22[[#This Row],[Amazon Drop 2025]]+Tabla22[[#This Row],[Amazon Full 2025]]+Tabla22[[#This Row],[TikTok 2025]]+Tabla22[[#This Row],[Shein 2025]]</f>
        <v>565467.37068965519</v>
      </c>
    </row>
    <row r="305" spans="1:42" hidden="1" x14ac:dyDescent="0.3">
      <c r="A305" s="7">
        <v>45959</v>
      </c>
      <c r="B305" s="3">
        <f>+'BD MD'!B304</f>
        <v>32503062</v>
      </c>
      <c r="C305" s="3">
        <f t="shared" si="71"/>
        <v>4303996.3017241387</v>
      </c>
      <c r="D305" s="4">
        <f t="shared" si="76"/>
        <v>3.1920081147771805E-2</v>
      </c>
      <c r="E305" s="3"/>
      <c r="F305" s="7">
        <v>46324</v>
      </c>
      <c r="G305" s="3">
        <f>+Tabla22[[#This Row],[Meta Digital]]+Tabla22[[#This Row],[Meta MKPlace]]</f>
        <v>5679058.3579991404</v>
      </c>
      <c r="H305" s="3">
        <f>+Tabla2[[#This Row],[Meta Digital]]</f>
        <v>4604947.6273766188</v>
      </c>
      <c r="I305" s="3">
        <f>+Tabla2[[#This Row],[Meta MKPlace]]</f>
        <v>1074110.7306225211</v>
      </c>
      <c r="J305" s="3">
        <v>3411835</v>
      </c>
      <c r="K305" s="3"/>
      <c r="L305" s="3">
        <v>32697.413793103438</v>
      </c>
      <c r="M305" s="3"/>
      <c r="N305" s="3">
        <v>103284</v>
      </c>
      <c r="O305" s="3"/>
      <c r="P305" s="3">
        <v>6626</v>
      </c>
      <c r="Q305" s="3"/>
      <c r="R305" s="3">
        <v>99610</v>
      </c>
      <c r="S305" s="3"/>
      <c r="T305" s="3">
        <v>451504</v>
      </c>
      <c r="U305" s="3"/>
      <c r="V305" s="3">
        <v>161597</v>
      </c>
      <c r="W305" s="3"/>
      <c r="X305" s="3">
        <v>29605</v>
      </c>
      <c r="Y305" s="3"/>
      <c r="Z305" s="3">
        <v>6174</v>
      </c>
      <c r="AA305" s="3"/>
      <c r="AB305" s="3">
        <v>1063.8879310344828</v>
      </c>
      <c r="AC305" s="3"/>
      <c r="AD305" s="3">
        <v>0</v>
      </c>
      <c r="AE305" s="3"/>
      <c r="AF305" s="5">
        <f t="shared" si="68"/>
        <v>0</v>
      </c>
      <c r="AG305" s="4">
        <f t="shared" si="69"/>
        <v>0</v>
      </c>
      <c r="AH305" s="5">
        <f t="shared" si="70"/>
        <v>-5679058.3579991404</v>
      </c>
      <c r="AI305" s="17">
        <f t="shared" si="72"/>
        <v>-1</v>
      </c>
      <c r="AJ305" s="17">
        <f t="shared" si="73"/>
        <v>8.5811165338737158E-2</v>
      </c>
      <c r="AK305" s="14" t="e">
        <f t="shared" si="74"/>
        <v>#DIV/0!</v>
      </c>
      <c r="AL305" s="14">
        <f t="shared" si="75"/>
        <v>-1</v>
      </c>
      <c r="AO305" s="19">
        <f>+Tabla22[[#This Row],[Web + APP 2025]]+Tabla22[[#This Row],[Afiliados 2025]]+Tabla22[[#This Row],[TMK 2025]]+Tabla22[[#This Row],[WA 2025]]+Tabla22[[#This Row],[Ent. en Tienda 2025]]</f>
        <v>3654052.4137931033</v>
      </c>
      <c r="AP305" s="19">
        <f>+Tabla22[[#This Row],[Meli Drop 2025]]+Tabla22[[#This Row],[Meli Full 2025]]+Tabla22[[#This Row],[Amazon Drop 2025]]+Tabla22[[#This Row],[Amazon Full 2025]]+Tabla22[[#This Row],[TikTok 2025]]+Tabla22[[#This Row],[Shein 2025]]</f>
        <v>649943.88793103443</v>
      </c>
    </row>
    <row r="306" spans="1:42" hidden="1" x14ac:dyDescent="0.3">
      <c r="A306" s="63">
        <v>45960</v>
      </c>
      <c r="B306" s="3">
        <f>+'BD MD'!B305</f>
        <v>36140823</v>
      </c>
      <c r="C306" s="3">
        <f t="shared" si="71"/>
        <v>3101286.1379310344</v>
      </c>
      <c r="D306" s="4">
        <f t="shared" si="76"/>
        <v>2.3000323012722548E-2</v>
      </c>
      <c r="E306" s="3"/>
      <c r="F306" s="7">
        <v>46325</v>
      </c>
      <c r="G306" s="3">
        <f>+Tabla22[[#This Row],[Meta Digital]]+Tabla22[[#This Row],[Meta MKPlace]]</f>
        <v>4092100.3940242161</v>
      </c>
      <c r="H306" s="3">
        <f>+Tabla2[[#This Row],[Meta Digital]]</f>
        <v>3318139.5246461025</v>
      </c>
      <c r="I306" s="3">
        <f>+Tabla2[[#This Row],[Meta MKPlace]]</f>
        <v>773960.86937811377</v>
      </c>
      <c r="J306" s="3">
        <v>2388298</v>
      </c>
      <c r="K306" s="3"/>
      <c r="L306" s="3">
        <v>26326.724137931029</v>
      </c>
      <c r="M306" s="3"/>
      <c r="N306" s="3">
        <v>50337</v>
      </c>
      <c r="O306" s="3"/>
      <c r="P306" s="3">
        <v>4122</v>
      </c>
      <c r="Q306" s="3"/>
      <c r="R306" s="3">
        <v>122069</v>
      </c>
      <c r="S306" s="3"/>
      <c r="T306" s="3">
        <v>313708</v>
      </c>
      <c r="U306" s="3"/>
      <c r="V306" s="3">
        <v>168402</v>
      </c>
      <c r="W306" s="3"/>
      <c r="X306" s="3">
        <v>24166</v>
      </c>
      <c r="Y306" s="3"/>
      <c r="Z306" s="3">
        <v>3722</v>
      </c>
      <c r="AA306" s="3"/>
      <c r="AB306" s="3">
        <v>135.41379310344826</v>
      </c>
      <c r="AC306" s="3"/>
      <c r="AD306" s="3">
        <v>0</v>
      </c>
      <c r="AE306" s="3"/>
      <c r="AF306" s="5">
        <f t="shared" si="68"/>
        <v>0</v>
      </c>
      <c r="AG306" s="4">
        <f t="shared" si="69"/>
        <v>0</v>
      </c>
      <c r="AH306" s="5">
        <f t="shared" si="70"/>
        <v>-4092100.3940242161</v>
      </c>
      <c r="AI306" s="17">
        <f t="shared" si="72"/>
        <v>-1</v>
      </c>
      <c r="AJ306" s="17">
        <f t="shared" si="73"/>
        <v>9.2823990611015622E-2</v>
      </c>
      <c r="AK306" s="14" t="e">
        <f t="shared" si="74"/>
        <v>#DIV/0!</v>
      </c>
      <c r="AL306" s="14">
        <f t="shared" si="75"/>
        <v>-1</v>
      </c>
      <c r="AO306" s="19">
        <f>+Tabla22[[#This Row],[Web + APP 2025]]+Tabla22[[#This Row],[Afiliados 2025]]+Tabla22[[#This Row],[TMK 2025]]+Tabla22[[#This Row],[WA 2025]]+Tabla22[[#This Row],[Ent. en Tienda 2025]]</f>
        <v>2591152.7241379311</v>
      </c>
      <c r="AP306" s="19">
        <f>+Tabla22[[#This Row],[Meli Drop 2025]]+Tabla22[[#This Row],[Meli Full 2025]]+Tabla22[[#This Row],[Amazon Drop 2025]]+Tabla22[[#This Row],[Amazon Full 2025]]+Tabla22[[#This Row],[TikTok 2025]]+Tabla22[[#This Row],[Shein 2025]]</f>
        <v>510133.41379310342</v>
      </c>
    </row>
    <row r="307" spans="1:42" hidden="1" x14ac:dyDescent="0.3">
      <c r="A307" s="7">
        <v>45961</v>
      </c>
      <c r="B307" s="3">
        <f>+'BD MD'!B306</f>
        <v>37148684</v>
      </c>
      <c r="C307" s="3">
        <f t="shared" si="71"/>
        <v>3448289.0948275863</v>
      </c>
      <c r="D307" s="4">
        <f>+C307/(SUM($C$277:$C$307))</f>
        <v>2.5573829532283827E-2</v>
      </c>
      <c r="E307" s="3"/>
      <c r="F307" s="7">
        <v>46326</v>
      </c>
      <c r="G307" s="3">
        <f>+Tabla22[[#This Row],[Meta Digital]]+Tabla22[[#This Row],[Meta MKPlace]]</f>
        <v>4549965.5743043097</v>
      </c>
      <c r="H307" s="3">
        <f>+Tabla2[[#This Row],[Meta Digital]]</f>
        <v>3689406.2105429592</v>
      </c>
      <c r="I307" s="3">
        <f>+Tabla2[[#This Row],[Meta MKPlace]]</f>
        <v>860559.36376135075</v>
      </c>
      <c r="J307" s="3">
        <v>2518660</v>
      </c>
      <c r="K307" s="3"/>
      <c r="L307" s="3">
        <v>25826.724137931025</v>
      </c>
      <c r="M307" s="3"/>
      <c r="N307" s="3">
        <v>91252</v>
      </c>
      <c r="O307" s="3"/>
      <c r="P307" s="3">
        <v>2632</v>
      </c>
      <c r="Q307" s="3"/>
      <c r="R307" s="3">
        <v>75677</v>
      </c>
      <c r="S307" s="3"/>
      <c r="T307" s="3">
        <v>539551</v>
      </c>
      <c r="U307" s="3"/>
      <c r="V307" s="3">
        <v>143470</v>
      </c>
      <c r="W307" s="3"/>
      <c r="X307" s="3">
        <v>48956</v>
      </c>
      <c r="Y307" s="3"/>
      <c r="Z307" s="3">
        <v>2157</v>
      </c>
      <c r="AA307" s="3"/>
      <c r="AB307" s="3">
        <v>-667.62931034482745</v>
      </c>
      <c r="AC307" s="3"/>
      <c r="AD307" s="3">
        <v>775</v>
      </c>
      <c r="AE307" s="3"/>
      <c r="AF307" s="5">
        <f t="shared" si="68"/>
        <v>0</v>
      </c>
      <c r="AG307" s="4">
        <f t="shared" si="69"/>
        <v>0</v>
      </c>
      <c r="AH307" s="5">
        <f t="shared" si="70"/>
        <v>-4549965.5743043097</v>
      </c>
      <c r="AI307" s="17">
        <f t="shared" si="72"/>
        <v>-1</v>
      </c>
      <c r="AJ307" s="17">
        <f t="shared" si="73"/>
        <v>6.1332516268645478E-2</v>
      </c>
      <c r="AK307" s="14" t="e">
        <f t="shared" si="74"/>
        <v>#DIV/0!</v>
      </c>
      <c r="AL307" s="14">
        <f t="shared" si="75"/>
        <v>-1</v>
      </c>
      <c r="AO307" s="19">
        <f>+Tabla22[[#This Row],[Web + APP 2025]]+Tabla22[[#This Row],[Afiliados 2025]]+Tabla22[[#This Row],[TMK 2025]]+Tabla22[[#This Row],[WA 2025]]+Tabla22[[#This Row],[Ent. en Tienda 2025]]</f>
        <v>2714047.7241379311</v>
      </c>
      <c r="AP307" s="19">
        <f>+Tabla22[[#This Row],[Meli Drop 2025]]+Tabla22[[#This Row],[Meli Full 2025]]+Tabla22[[#This Row],[Amazon Drop 2025]]+Tabla22[[#This Row],[Amazon Full 2025]]+Tabla22[[#This Row],[TikTok 2025]]+Tabla22[[#This Row],[Shein 2025]]</f>
        <v>734241.37068965519</v>
      </c>
    </row>
    <row r="308" spans="1:42" hidden="1" x14ac:dyDescent="0.3">
      <c r="A308" s="63">
        <v>45962</v>
      </c>
      <c r="B308" s="3">
        <v>38306116</v>
      </c>
      <c r="C308" s="3">
        <f t="shared" si="71"/>
        <v>2349410.4827586208</v>
      </c>
      <c r="D308" s="4">
        <f>+C308/(SUM($C$308:$C$337))</f>
        <v>1.3946712552076792E-2</v>
      </c>
      <c r="E308" s="3"/>
      <c r="F308" s="7">
        <v>46327</v>
      </c>
      <c r="G308" s="3">
        <f>+Tabla22[[#This Row],[Meta Digital]]+Tabla22[[#This Row],[Meta MKPlace]]</f>
        <v>3110764.8606373481</v>
      </c>
      <c r="H308" s="3">
        <f>+Tabla2[[#This Row],[Meta Digital]]</f>
        <v>2347879.6840387476</v>
      </c>
      <c r="I308" s="3">
        <f>+Tabla2[[#This Row],[Meta MKPlace]]</f>
        <v>762885.17659860058</v>
      </c>
      <c r="J308" s="3">
        <v>1683835</v>
      </c>
      <c r="K308" s="3"/>
      <c r="L308" s="3">
        <v>24736.206896551717</v>
      </c>
      <c r="M308" s="3"/>
      <c r="N308" s="3">
        <v>-1342</v>
      </c>
      <c r="O308" s="3"/>
      <c r="P308" s="3">
        <v>3614</v>
      </c>
      <c r="Q308" s="3"/>
      <c r="R308" s="3">
        <v>101714</v>
      </c>
      <c r="S308" s="3"/>
      <c r="T308" s="3">
        <v>370351</v>
      </c>
      <c r="U308" s="3"/>
      <c r="V308" s="3">
        <v>133732</v>
      </c>
      <c r="W308" s="3"/>
      <c r="X308" s="3">
        <v>24368</v>
      </c>
      <c r="Y308" s="3"/>
      <c r="Z308" s="3">
        <v>7154</v>
      </c>
      <c r="AA308" s="3"/>
      <c r="AB308" s="3">
        <v>1248.2758620689656</v>
      </c>
      <c r="AC308" s="3"/>
      <c r="AD308" s="3">
        <v>0</v>
      </c>
      <c r="AE308" s="3"/>
      <c r="AF308" s="5">
        <f t="shared" si="68"/>
        <v>0</v>
      </c>
      <c r="AG308" s="4">
        <f t="shared" si="69"/>
        <v>0</v>
      </c>
      <c r="AH308" s="5">
        <f t="shared" si="70"/>
        <v>-3110764.8606373481</v>
      </c>
      <c r="AI308" s="17">
        <f t="shared" si="72"/>
        <v>-1</v>
      </c>
      <c r="AJ308" s="17">
        <f t="shared" si="73"/>
        <v>7.8516705556695016E-2</v>
      </c>
      <c r="AK308" s="14" t="e">
        <f t="shared" si="74"/>
        <v>#DIV/0!</v>
      </c>
      <c r="AL308" s="14">
        <f t="shared" si="75"/>
        <v>-1</v>
      </c>
      <c r="AO308" s="19">
        <f>+Tabla22[[#This Row],[Web + APP 2025]]+Tabla22[[#This Row],[Afiliados 2025]]+Tabla22[[#This Row],[TMK 2025]]+Tabla22[[#This Row],[WA 2025]]+Tabla22[[#This Row],[Ent. en Tienda 2025]]</f>
        <v>1812557.2068965517</v>
      </c>
      <c r="AP308" s="19">
        <f>+Tabla22[[#This Row],[Meli Drop 2025]]+Tabla22[[#This Row],[Meli Full 2025]]+Tabla22[[#This Row],[Amazon Drop 2025]]+Tabla22[[#This Row],[Amazon Full 2025]]+Tabla22[[#This Row],[TikTok 2025]]+Tabla22[[#This Row],[Shein 2025]]</f>
        <v>536853.27586206899</v>
      </c>
    </row>
    <row r="309" spans="1:42" hidden="1" x14ac:dyDescent="0.3">
      <c r="A309" s="7">
        <v>45963</v>
      </c>
      <c r="B309" s="3">
        <v>39057895</v>
      </c>
      <c r="C309" s="3">
        <f t="shared" si="71"/>
        <v>3066697.2413793104</v>
      </c>
      <c r="D309" s="4">
        <f t="shared" ref="D309:D337" si="77">+C309/(SUM($C$308:$C$337))</f>
        <v>1.8204713575443062E-2</v>
      </c>
      <c r="E309" s="3"/>
      <c r="F309" s="7">
        <v>46328</v>
      </c>
      <c r="G309" s="3">
        <f>+Tabla22[[#This Row],[Meta Digital]]+Tabla22[[#This Row],[Meta MKPlace]]</f>
        <v>4060496.9147387473</v>
      </c>
      <c r="H309" s="3">
        <f>+Tabla2[[#This Row],[Meta Digital]]</f>
        <v>3064699.0821620119</v>
      </c>
      <c r="I309" s="3">
        <f>+Tabla2[[#This Row],[Meta MKPlace]]</f>
        <v>995797.83257673553</v>
      </c>
      <c r="J309" s="3">
        <v>2484015</v>
      </c>
      <c r="K309" s="3"/>
      <c r="L309" s="3">
        <v>31896.551724137917</v>
      </c>
      <c r="M309" s="3"/>
      <c r="N309" s="3">
        <v>5110</v>
      </c>
      <c r="O309" s="3"/>
      <c r="P309" s="3">
        <v>809</v>
      </c>
      <c r="Q309" s="3"/>
      <c r="R309" s="3">
        <v>79521</v>
      </c>
      <c r="S309" s="3"/>
      <c r="T309" s="3">
        <v>252270</v>
      </c>
      <c r="U309" s="3"/>
      <c r="V309" s="3">
        <v>160805</v>
      </c>
      <c r="W309" s="3"/>
      <c r="X309" s="3">
        <v>44223</v>
      </c>
      <c r="Y309" s="3"/>
      <c r="Z309" s="3">
        <v>6928</v>
      </c>
      <c r="AA309" s="3"/>
      <c r="AB309" s="3">
        <v>1119.6896551724139</v>
      </c>
      <c r="AC309" s="3"/>
      <c r="AD309" s="3">
        <v>0</v>
      </c>
      <c r="AE309" s="3"/>
      <c r="AF309" s="5">
        <f t="shared" si="68"/>
        <v>0</v>
      </c>
      <c r="AG309" s="4">
        <f t="shared" si="69"/>
        <v>0</v>
      </c>
      <c r="AH309" s="5">
        <f t="shared" si="70"/>
        <v>-4060496.9147387473</v>
      </c>
      <c r="AI309" s="17">
        <f t="shared" si="72"/>
        <v>-1</v>
      </c>
      <c r="AJ309" s="17">
        <f t="shared" si="73"/>
        <v>0.12197507161805876</v>
      </c>
      <c r="AK309" s="14" t="e">
        <f t="shared" si="74"/>
        <v>#DIV/0!</v>
      </c>
      <c r="AL309" s="14">
        <f t="shared" si="75"/>
        <v>-1</v>
      </c>
      <c r="AO309" s="19">
        <f>+Tabla22[[#This Row],[Web + APP 2025]]+Tabla22[[#This Row],[Afiliados 2025]]+Tabla22[[#This Row],[TMK 2025]]+Tabla22[[#This Row],[WA 2025]]+Tabla22[[#This Row],[Ent. en Tienda 2025]]</f>
        <v>2601351.5517241377</v>
      </c>
      <c r="AP309" s="19">
        <f>+Tabla22[[#This Row],[Meli Drop 2025]]+Tabla22[[#This Row],[Meli Full 2025]]+Tabla22[[#This Row],[Amazon Drop 2025]]+Tabla22[[#This Row],[Amazon Full 2025]]+Tabla22[[#This Row],[TikTok 2025]]+Tabla22[[#This Row],[Shein 2025]]</f>
        <v>465345.68965517241</v>
      </c>
    </row>
    <row r="310" spans="1:42" hidden="1" x14ac:dyDescent="0.3">
      <c r="A310" s="63">
        <v>45964</v>
      </c>
      <c r="B310" s="3">
        <v>34119561</v>
      </c>
      <c r="C310" s="3">
        <f t="shared" si="71"/>
        <v>4161735.8965517245</v>
      </c>
      <c r="D310" s="4">
        <f t="shared" si="77"/>
        <v>2.4705148245833294E-2</v>
      </c>
      <c r="E310" s="3"/>
      <c r="F310" s="7">
        <v>46329</v>
      </c>
      <c r="G310" s="3">
        <f>+Tabla22[[#This Row],[Meta Digital]]+Tabla22[[#This Row],[Meta MKPlace]]</f>
        <v>5510395.8551530261</v>
      </c>
      <c r="H310" s="3">
        <f>+Tabla2[[#This Row],[Meta Digital]]</f>
        <v>4159024.2461059447</v>
      </c>
      <c r="I310" s="3">
        <f>+Tabla2[[#This Row],[Meta MKPlace]]</f>
        <v>1351371.6090470811</v>
      </c>
      <c r="J310" s="3">
        <v>3169867</v>
      </c>
      <c r="K310" s="3"/>
      <c r="L310" s="3">
        <v>37387.068965517225</v>
      </c>
      <c r="M310" s="3"/>
      <c r="N310" s="3">
        <v>28365</v>
      </c>
      <c r="O310" s="3"/>
      <c r="P310" s="3">
        <v>5684</v>
      </c>
      <c r="Q310" s="3"/>
      <c r="R310" s="3">
        <v>68529</v>
      </c>
      <c r="S310" s="3"/>
      <c r="T310" s="3">
        <v>675820</v>
      </c>
      <c r="U310" s="3"/>
      <c r="V310" s="3">
        <v>143167</v>
      </c>
      <c r="W310" s="3"/>
      <c r="X310" s="3">
        <v>26685</v>
      </c>
      <c r="Y310" s="3"/>
      <c r="Z310" s="3">
        <v>6387</v>
      </c>
      <c r="AA310" s="3"/>
      <c r="AB310" s="3">
        <v>-155.17241379310337</v>
      </c>
      <c r="AC310" s="3"/>
      <c r="AD310" s="3">
        <v>0</v>
      </c>
      <c r="AE310" s="3"/>
      <c r="AF310" s="5">
        <f t="shared" si="68"/>
        <v>0</v>
      </c>
      <c r="AG310" s="4">
        <f t="shared" si="69"/>
        <v>0</v>
      </c>
      <c r="AH310" s="5">
        <f t="shared" si="70"/>
        <v>-5510395.8551530261</v>
      </c>
      <c r="AI310" s="17">
        <f t="shared" si="72"/>
        <v>-1</v>
      </c>
      <c r="AJ310" s="17">
        <f t="shared" si="73"/>
        <v>0.17724419127264734</v>
      </c>
      <c r="AK310" s="14" t="e">
        <f t="shared" si="74"/>
        <v>#DIV/0!</v>
      </c>
      <c r="AL310" s="14">
        <f t="shared" si="75"/>
        <v>-1</v>
      </c>
      <c r="AO310" s="19">
        <f>+Tabla22[[#This Row],[Web + APP 2025]]+Tabla22[[#This Row],[Afiliados 2025]]+Tabla22[[#This Row],[TMK 2025]]+Tabla22[[#This Row],[WA 2025]]+Tabla22[[#This Row],[Ent. en Tienda 2025]]</f>
        <v>3309832.0689655175</v>
      </c>
      <c r="AP310" s="19">
        <f>+Tabla22[[#This Row],[Meli Drop 2025]]+Tabla22[[#This Row],[Meli Full 2025]]+Tabla22[[#This Row],[Amazon Drop 2025]]+Tabla22[[#This Row],[Amazon Full 2025]]+Tabla22[[#This Row],[TikTok 2025]]+Tabla22[[#This Row],[Shein 2025]]</f>
        <v>851903.82758620684</v>
      </c>
    </row>
    <row r="311" spans="1:42" hidden="1" x14ac:dyDescent="0.3">
      <c r="A311" s="7">
        <v>45965</v>
      </c>
      <c r="B311" s="3">
        <v>36354046</v>
      </c>
      <c r="C311" s="3">
        <f t="shared" si="71"/>
        <v>6443543.4827586198</v>
      </c>
      <c r="D311" s="4">
        <f t="shared" si="77"/>
        <v>3.8250552396158322E-2</v>
      </c>
      <c r="E311" s="3"/>
      <c r="F311" s="7">
        <v>46330</v>
      </c>
      <c r="G311" s="3">
        <f>+Tabla22[[#This Row],[Meta Digital]]+Tabla22[[#This Row],[Meta MKPlace]]</f>
        <v>8531650.297490254</v>
      </c>
      <c r="H311" s="3">
        <f>+Tabla2[[#This Row],[Meta Digital]]</f>
        <v>6439345.0814203937</v>
      </c>
      <c r="I311" s="3">
        <f>+Tabla2[[#This Row],[Meta MKPlace]]</f>
        <v>2092305.2160698602</v>
      </c>
      <c r="J311" s="3">
        <v>5275115</v>
      </c>
      <c r="K311" s="3"/>
      <c r="L311" s="3">
        <v>48925.862068965485</v>
      </c>
      <c r="M311" s="3"/>
      <c r="N311" s="3">
        <v>61590</v>
      </c>
      <c r="O311" s="3"/>
      <c r="P311" s="3">
        <v>4784</v>
      </c>
      <c r="Q311" s="3"/>
      <c r="R311" s="3">
        <v>164572</v>
      </c>
      <c r="S311" s="3"/>
      <c r="T311" s="3">
        <v>705965</v>
      </c>
      <c r="U311" s="3"/>
      <c r="V311" s="3">
        <v>121452</v>
      </c>
      <c r="W311" s="3"/>
      <c r="X311" s="3">
        <v>50681</v>
      </c>
      <c r="Y311" s="3"/>
      <c r="Z311" s="3">
        <v>6631</v>
      </c>
      <c r="AA311" s="3"/>
      <c r="AB311" s="3">
        <v>2450.0344827586209</v>
      </c>
      <c r="AC311" s="3"/>
      <c r="AD311" s="3">
        <v>1377.5862068965519</v>
      </c>
      <c r="AE311" s="3"/>
      <c r="AF311" s="5">
        <f t="shared" si="68"/>
        <v>0</v>
      </c>
      <c r="AG311" s="4">
        <f t="shared" si="69"/>
        <v>0</v>
      </c>
      <c r="AH311" s="5">
        <f t="shared" si="70"/>
        <v>-8531650.297490254</v>
      </c>
      <c r="AI311" s="17">
        <f t="shared" si="72"/>
        <v>-1</v>
      </c>
      <c r="AJ311" s="17">
        <f t="shared" si="73"/>
        <v>0.14833522180735395</v>
      </c>
      <c r="AK311" s="14" t="e">
        <f t="shared" si="74"/>
        <v>#DIV/0!</v>
      </c>
      <c r="AL311" s="14">
        <f t="shared" si="75"/>
        <v>-1</v>
      </c>
      <c r="AO311" s="19">
        <f>+Tabla22[[#This Row],[Web + APP 2025]]+Tabla22[[#This Row],[Afiliados 2025]]+Tabla22[[#This Row],[TMK 2025]]+Tabla22[[#This Row],[WA 2025]]+Tabla22[[#This Row],[Ent. en Tienda 2025]]</f>
        <v>5554986.8620689651</v>
      </c>
      <c r="AP311" s="19">
        <f>+Tabla22[[#This Row],[Meli Drop 2025]]+Tabla22[[#This Row],[Meli Full 2025]]+Tabla22[[#This Row],[Amazon Drop 2025]]+Tabla22[[#This Row],[Amazon Full 2025]]+Tabla22[[#This Row],[TikTok 2025]]+Tabla22[[#This Row],[Shein 2025]]</f>
        <v>888556.62068965519</v>
      </c>
    </row>
    <row r="312" spans="1:42" hidden="1" x14ac:dyDescent="0.3">
      <c r="A312" s="63">
        <v>45966</v>
      </c>
      <c r="B312" s="3">
        <v>40657652</v>
      </c>
      <c r="C312" s="3">
        <f t="shared" si="71"/>
        <v>6030961.8275862075</v>
      </c>
      <c r="D312" s="4">
        <f t="shared" si="77"/>
        <v>3.5801360230218335E-2</v>
      </c>
      <c r="E312" s="3"/>
      <c r="F312" s="7">
        <v>46331</v>
      </c>
      <c r="G312" s="3">
        <f>+Tabla22[[#This Row],[Meta Digital]]+Tabla22[[#This Row],[Meta MKPlace]]</f>
        <v>7985366.6554989479</v>
      </c>
      <c r="H312" s="3">
        <f>+Tabla2[[#This Row],[Meta Digital]]</f>
        <v>6027032.2509060046</v>
      </c>
      <c r="I312" s="3">
        <f>+Tabla2[[#This Row],[Meta MKPlace]]</f>
        <v>1958334.4045929429</v>
      </c>
      <c r="J312" s="3">
        <v>4794794</v>
      </c>
      <c r="K312" s="3"/>
      <c r="L312" s="3">
        <v>47206.896551724116</v>
      </c>
      <c r="M312" s="3"/>
      <c r="N312" s="3">
        <v>52913</v>
      </c>
      <c r="O312" s="3"/>
      <c r="P312" s="3">
        <v>9080</v>
      </c>
      <c r="Q312" s="3"/>
      <c r="R312" s="3">
        <v>121112</v>
      </c>
      <c r="S312" s="3"/>
      <c r="T312" s="3">
        <v>807271</v>
      </c>
      <c r="U312" s="3"/>
      <c r="V312" s="3">
        <v>136768</v>
      </c>
      <c r="W312" s="3"/>
      <c r="X312" s="3">
        <v>42494</v>
      </c>
      <c r="Y312" s="3"/>
      <c r="Z312" s="3">
        <v>12012</v>
      </c>
      <c r="AA312" s="3"/>
      <c r="AB312" s="3">
        <v>7310.9310344827591</v>
      </c>
      <c r="AC312" s="3"/>
      <c r="AD312" s="3">
        <v>0</v>
      </c>
      <c r="AE312" s="3"/>
      <c r="AF312" s="5">
        <f t="shared" si="68"/>
        <v>0</v>
      </c>
      <c r="AG312" s="4">
        <f t="shared" si="69"/>
        <v>0</v>
      </c>
      <c r="AH312" s="5">
        <f t="shared" si="70"/>
        <v>-7985366.6554989479</v>
      </c>
      <c r="AI312" s="17">
        <f t="shared" si="72"/>
        <v>-1</v>
      </c>
      <c r="AJ312" s="17">
        <f t="shared" si="73"/>
        <v>0.1053779513559948</v>
      </c>
      <c r="AK312" s="14" t="e">
        <f t="shared" si="74"/>
        <v>#DIV/0!</v>
      </c>
      <c r="AL312" s="14">
        <f t="shared" si="75"/>
        <v>-1</v>
      </c>
      <c r="AO312" s="19">
        <f>+Tabla22[[#This Row],[Web + APP 2025]]+Tabla22[[#This Row],[Afiliados 2025]]+Tabla22[[#This Row],[TMK 2025]]+Tabla22[[#This Row],[WA 2025]]+Tabla22[[#This Row],[Ent. en Tienda 2025]]</f>
        <v>5025105.8965517245</v>
      </c>
      <c r="AP312" s="19">
        <f>+Tabla22[[#This Row],[Meli Drop 2025]]+Tabla22[[#This Row],[Meli Full 2025]]+Tabla22[[#This Row],[Amazon Drop 2025]]+Tabla22[[#This Row],[Amazon Full 2025]]+Tabla22[[#This Row],[TikTok 2025]]+Tabla22[[#This Row],[Shein 2025]]</f>
        <v>1005855.9310344828</v>
      </c>
    </row>
    <row r="313" spans="1:42" hidden="1" x14ac:dyDescent="0.3">
      <c r="A313" s="7">
        <v>45967</v>
      </c>
      <c r="B313" s="3">
        <v>45608200</v>
      </c>
      <c r="C313" s="3">
        <f t="shared" si="71"/>
        <v>4806098.6810344821</v>
      </c>
      <c r="D313" s="4">
        <f t="shared" si="77"/>
        <v>2.8530253564970551E-2</v>
      </c>
      <c r="E313" s="3"/>
      <c r="F313" s="7">
        <v>46332</v>
      </c>
      <c r="G313" s="3">
        <f>+Tabla22[[#This Row],[Meta Digital]]+Tabla22[[#This Row],[Meta MKPlace]]</f>
        <v>6363572.0549620138</v>
      </c>
      <c r="H313" s="3">
        <f>+Tabla2[[#This Row],[Meta Digital]]</f>
        <v>4802967.1849581245</v>
      </c>
      <c r="I313" s="3">
        <f>+Tabla2[[#This Row],[Meta MKPlace]]</f>
        <v>1560604.8700038891</v>
      </c>
      <c r="J313" s="3">
        <v>3788708</v>
      </c>
      <c r="K313" s="3"/>
      <c r="L313" s="3">
        <v>42858.620689655145</v>
      </c>
      <c r="M313" s="3"/>
      <c r="N313" s="3">
        <v>75396</v>
      </c>
      <c r="O313" s="3"/>
      <c r="P313" s="3">
        <v>1642</v>
      </c>
      <c r="Q313" s="3"/>
      <c r="R313" s="3">
        <v>128834</v>
      </c>
      <c r="S313" s="3"/>
      <c r="T313" s="3">
        <v>597718</v>
      </c>
      <c r="U313" s="3"/>
      <c r="V313" s="3">
        <v>113410</v>
      </c>
      <c r="W313" s="3"/>
      <c r="X313" s="3">
        <v>31381</v>
      </c>
      <c r="Y313" s="3"/>
      <c r="Z313" s="3">
        <v>18407</v>
      </c>
      <c r="AA313" s="3"/>
      <c r="AB313" s="3">
        <v>7744.0603448275879</v>
      </c>
      <c r="AC313" s="3"/>
      <c r="AD313" s="3">
        <v>0</v>
      </c>
      <c r="AE313" s="3"/>
      <c r="AF313" s="5">
        <f t="shared" si="68"/>
        <v>0</v>
      </c>
      <c r="AG313" s="4">
        <f t="shared" si="69"/>
        <v>0</v>
      </c>
      <c r="AH313" s="5">
        <f t="shared" si="70"/>
        <v>-6363572.0549620138</v>
      </c>
      <c r="AI313" s="17">
        <f t="shared" si="72"/>
        <v>-1</v>
      </c>
      <c r="AJ313" s="17">
        <f t="shared" si="73"/>
        <v>9.5761168337127792E-2</v>
      </c>
      <c r="AK313" s="14" t="e">
        <f t="shared" si="74"/>
        <v>#DIV/0!</v>
      </c>
      <c r="AL313" s="14">
        <f t="shared" si="75"/>
        <v>-1</v>
      </c>
      <c r="AO313" s="19">
        <f>+Tabla22[[#This Row],[Web + APP 2025]]+Tabla22[[#This Row],[Afiliados 2025]]+Tabla22[[#This Row],[TMK 2025]]+Tabla22[[#This Row],[WA 2025]]+Tabla22[[#This Row],[Ent. en Tienda 2025]]</f>
        <v>4037438.6206896552</v>
      </c>
      <c r="AP313" s="19">
        <f>+Tabla22[[#This Row],[Meli Drop 2025]]+Tabla22[[#This Row],[Meli Full 2025]]+Tabla22[[#This Row],[Amazon Drop 2025]]+Tabla22[[#This Row],[Amazon Full 2025]]+Tabla22[[#This Row],[TikTok 2025]]+Tabla22[[#This Row],[Shein 2025]]</f>
        <v>768660.06034482759</v>
      </c>
    </row>
    <row r="314" spans="1:42" hidden="1" x14ac:dyDescent="0.3">
      <c r="A314" s="63">
        <v>45968</v>
      </c>
      <c r="B314" s="3">
        <v>47127819</v>
      </c>
      <c r="C314" s="3">
        <f t="shared" si="71"/>
        <v>4513015.0086206896</v>
      </c>
      <c r="D314" s="4">
        <f t="shared" si="77"/>
        <v>2.6790432549077793E-2</v>
      </c>
      <c r="E314" s="3"/>
      <c r="F314" s="7">
        <v>46333</v>
      </c>
      <c r="G314" s="3">
        <f>+Tabla22[[#This Row],[Meta Digital]]+Tabla22[[#This Row],[Meta MKPlace]]</f>
        <v>5975511.1366754575</v>
      </c>
      <c r="H314" s="3">
        <f>+Tabla2[[#This Row],[Meta Digital]]</f>
        <v>4510074.4762409022</v>
      </c>
      <c r="I314" s="3">
        <f>+Tabla2[[#This Row],[Meta MKPlace]]</f>
        <v>1465436.6604345553</v>
      </c>
      <c r="J314" s="3">
        <v>3647018</v>
      </c>
      <c r="K314" s="3"/>
      <c r="L314" s="3">
        <v>44673.275862068956</v>
      </c>
      <c r="M314" s="3"/>
      <c r="N314" s="3">
        <v>12603</v>
      </c>
      <c r="O314" s="3"/>
      <c r="P314" s="3">
        <v>6822</v>
      </c>
      <c r="Q314" s="3"/>
      <c r="R314" s="3">
        <v>111646</v>
      </c>
      <c r="S314" s="3"/>
      <c r="T314" s="3">
        <v>548934</v>
      </c>
      <c r="U314" s="3"/>
      <c r="V314" s="3">
        <v>88083</v>
      </c>
      <c r="W314" s="3"/>
      <c r="X314" s="3">
        <v>26380</v>
      </c>
      <c r="Y314" s="3"/>
      <c r="Z314" s="3">
        <v>13005</v>
      </c>
      <c r="AA314" s="3"/>
      <c r="AB314" s="3">
        <v>13850.732758620694</v>
      </c>
      <c r="AC314" s="3"/>
      <c r="AD314" s="3">
        <v>0</v>
      </c>
      <c r="AE314" s="3"/>
      <c r="AF314" s="5">
        <f t="shared" si="68"/>
        <v>0</v>
      </c>
      <c r="AG314" s="4">
        <f t="shared" si="69"/>
        <v>0</v>
      </c>
      <c r="AH314" s="5">
        <f t="shared" si="70"/>
        <v>-5975511.1366754575</v>
      </c>
      <c r="AI314" s="17">
        <f t="shared" si="72"/>
        <v>-1</v>
      </c>
      <c r="AJ314" s="17">
        <f t="shared" si="73"/>
        <v>6.4292534381886979E-2</v>
      </c>
      <c r="AK314" s="14" t="e">
        <f t="shared" si="74"/>
        <v>#DIV/0!</v>
      </c>
      <c r="AL314" s="14">
        <f t="shared" si="75"/>
        <v>-1</v>
      </c>
      <c r="AO314" s="19">
        <f>+Tabla22[[#This Row],[Web + APP 2025]]+Tabla22[[#This Row],[Afiliados 2025]]+Tabla22[[#This Row],[TMK 2025]]+Tabla22[[#This Row],[WA 2025]]+Tabla22[[#This Row],[Ent. en Tienda 2025]]</f>
        <v>3822762.2758620689</v>
      </c>
      <c r="AP314" s="19">
        <f>+Tabla22[[#This Row],[Meli Drop 2025]]+Tabla22[[#This Row],[Meli Full 2025]]+Tabla22[[#This Row],[Amazon Drop 2025]]+Tabla22[[#This Row],[Amazon Full 2025]]+Tabla22[[#This Row],[TikTok 2025]]+Tabla22[[#This Row],[Shein 2025]]</f>
        <v>690252.73275862064</v>
      </c>
    </row>
    <row r="315" spans="1:42" hidden="1" x14ac:dyDescent="0.3">
      <c r="A315" s="7">
        <v>45969</v>
      </c>
      <c r="B315" s="3">
        <v>65744526</v>
      </c>
      <c r="C315" s="3">
        <f t="shared" si="71"/>
        <v>4226882.1982758623</v>
      </c>
      <c r="D315" s="4">
        <f t="shared" si="77"/>
        <v>2.509187366084489E-2</v>
      </c>
      <c r="E315" s="3"/>
      <c r="F315" s="7">
        <v>46334</v>
      </c>
      <c r="G315" s="3">
        <f>+Tabla22[[#This Row],[Meta Digital]]+Tabla22[[#This Row],[Meta MKPlace]]</f>
        <v>5596653.5898873899</v>
      </c>
      <c r="H315" s="3">
        <f>+Tabla2[[#This Row],[Meta Digital]]</f>
        <v>4224128.1006391747</v>
      </c>
      <c r="I315" s="3">
        <f>+Tabla2[[#This Row],[Meta MKPlace]]</f>
        <v>1372525.4892482155</v>
      </c>
      <c r="J315" s="3">
        <v>3186164</v>
      </c>
      <c r="K315" s="3"/>
      <c r="L315" s="3">
        <v>55446.551724137913</v>
      </c>
      <c r="M315" s="3"/>
      <c r="N315" s="3">
        <v>74700</v>
      </c>
      <c r="O315" s="3"/>
      <c r="P315" s="3">
        <v>1403</v>
      </c>
      <c r="Q315" s="3"/>
      <c r="R315" s="3">
        <v>56983</v>
      </c>
      <c r="S315" s="3"/>
      <c r="T315" s="3">
        <v>714555</v>
      </c>
      <c r="U315" s="3"/>
      <c r="V315" s="3">
        <v>94071</v>
      </c>
      <c r="W315" s="3"/>
      <c r="X315" s="3">
        <v>34042</v>
      </c>
      <c r="Y315" s="3"/>
      <c r="Z315" s="3">
        <v>8377</v>
      </c>
      <c r="AA315" s="3"/>
      <c r="AB315" s="3">
        <v>1140.6465517241381</v>
      </c>
      <c r="AC315" s="3"/>
      <c r="AD315" s="3">
        <v>0</v>
      </c>
      <c r="AE315" s="3"/>
      <c r="AF315" s="5">
        <f t="shared" si="68"/>
        <v>0</v>
      </c>
      <c r="AG315" s="4">
        <f t="shared" si="69"/>
        <v>0</v>
      </c>
      <c r="AH315" s="5">
        <f t="shared" si="70"/>
        <v>-5596653.5898873899</v>
      </c>
      <c r="AI315" s="17">
        <f t="shared" si="72"/>
        <v>-1</v>
      </c>
      <c r="AJ315" s="17">
        <f t="shared" si="73"/>
        <v>6.0114361707572443E-2</v>
      </c>
      <c r="AK315" s="14" t="e">
        <f t="shared" si="74"/>
        <v>#DIV/0!</v>
      </c>
      <c r="AL315" s="14">
        <f t="shared" si="75"/>
        <v>-1</v>
      </c>
      <c r="AO315" s="19">
        <f>+Tabla22[[#This Row],[Web + APP 2025]]+Tabla22[[#This Row],[Afiliados 2025]]+Tabla22[[#This Row],[TMK 2025]]+Tabla22[[#This Row],[WA 2025]]+Tabla22[[#This Row],[Ent. en Tienda 2025]]</f>
        <v>3374696.5517241377</v>
      </c>
      <c r="AP315" s="19">
        <f>+Tabla22[[#This Row],[Meli Drop 2025]]+Tabla22[[#This Row],[Meli Full 2025]]+Tabla22[[#This Row],[Amazon Drop 2025]]+Tabla22[[#This Row],[Amazon Full 2025]]+Tabla22[[#This Row],[TikTok 2025]]+Tabla22[[#This Row],[Shein 2025]]</f>
        <v>852185.64655172417</v>
      </c>
    </row>
    <row r="316" spans="1:42" hidden="1" x14ac:dyDescent="0.3">
      <c r="A316" s="63">
        <v>45970</v>
      </c>
      <c r="B316" s="3">
        <v>67492039</v>
      </c>
      <c r="C316" s="3">
        <f t="shared" si="71"/>
        <v>4057240.8448275859</v>
      </c>
      <c r="D316" s="4">
        <f t="shared" si="77"/>
        <v>2.4084838402063567E-2</v>
      </c>
      <c r="E316" s="3"/>
      <c r="F316" s="7">
        <v>46335</v>
      </c>
      <c r="G316" s="3">
        <f>+Tabla22[[#This Row],[Meta Digital]]+Tabla22[[#This Row],[Meta MKPlace]]</f>
        <v>5372037.9405189445</v>
      </c>
      <c r="H316" s="3">
        <f>+Tabla2[[#This Row],[Meta Digital]]</f>
        <v>4054597.2799260677</v>
      </c>
      <c r="I316" s="3">
        <f>+Tabla2[[#This Row],[Meta MKPlace]]</f>
        <v>1317440.6605928771</v>
      </c>
      <c r="J316" s="3">
        <v>2924037</v>
      </c>
      <c r="K316" s="3"/>
      <c r="L316" s="3">
        <v>54995.689655172391</v>
      </c>
      <c r="M316" s="3"/>
      <c r="N316" s="3">
        <v>1732</v>
      </c>
      <c r="O316" s="3"/>
      <c r="P316" s="3">
        <v>3073</v>
      </c>
      <c r="Q316" s="3"/>
      <c r="R316" s="3">
        <v>199350</v>
      </c>
      <c r="S316" s="3"/>
      <c r="T316" s="3">
        <v>711297</v>
      </c>
      <c r="U316" s="3"/>
      <c r="V316" s="3">
        <v>107725</v>
      </c>
      <c r="W316" s="3"/>
      <c r="X316" s="3">
        <v>34480</v>
      </c>
      <c r="Y316" s="3"/>
      <c r="Z316" s="3">
        <v>17056</v>
      </c>
      <c r="AA316" s="3"/>
      <c r="AB316" s="3">
        <v>1686.5344827586209</v>
      </c>
      <c r="AC316" s="3"/>
      <c r="AD316" s="3">
        <v>1808.6206896551726</v>
      </c>
      <c r="AE316" s="3"/>
      <c r="AF316" s="5">
        <f t="shared" si="68"/>
        <v>0</v>
      </c>
      <c r="AG316" s="4">
        <f t="shared" si="69"/>
        <v>0</v>
      </c>
      <c r="AH316" s="5">
        <f t="shared" si="70"/>
        <v>-5372037.9405189445</v>
      </c>
      <c r="AI316" s="17">
        <f t="shared" si="72"/>
        <v>-1</v>
      </c>
      <c r="AJ316" s="17">
        <f t="shared" si="73"/>
        <v>0.17611712843177682</v>
      </c>
      <c r="AK316" s="14" t="e">
        <f t="shared" si="74"/>
        <v>#DIV/0!</v>
      </c>
      <c r="AL316" s="14">
        <f t="shared" si="75"/>
        <v>-1</v>
      </c>
      <c r="AO316" s="19">
        <f>+Tabla22[[#This Row],[Web + APP 2025]]+Tabla22[[#This Row],[Afiliados 2025]]+Tabla22[[#This Row],[TMK 2025]]+Tabla22[[#This Row],[WA 2025]]+Tabla22[[#This Row],[Ent. en Tienda 2025]]</f>
        <v>3183187.6896551722</v>
      </c>
      <c r="AP316" s="19">
        <f>+Tabla22[[#This Row],[Meli Drop 2025]]+Tabla22[[#This Row],[Meli Full 2025]]+Tabla22[[#This Row],[Amazon Drop 2025]]+Tabla22[[#This Row],[Amazon Full 2025]]+Tabla22[[#This Row],[TikTok 2025]]+Tabla22[[#This Row],[Shein 2025]]</f>
        <v>874053.1551724138</v>
      </c>
    </row>
    <row r="317" spans="1:42" hidden="1" x14ac:dyDescent="0.3">
      <c r="A317" s="7">
        <v>45971</v>
      </c>
      <c r="B317" s="3">
        <v>40411989</v>
      </c>
      <c r="C317" s="3">
        <f t="shared" si="71"/>
        <v>7117243.4568965519</v>
      </c>
      <c r="D317" s="4">
        <f t="shared" si="77"/>
        <v>4.2249810914240217E-2</v>
      </c>
      <c r="E317" s="3"/>
      <c r="F317" s="7">
        <v>46336</v>
      </c>
      <c r="G317" s="3">
        <f>+Tabla22[[#This Row],[Meta Digital]]+Tabla22[[#This Row],[Meta MKPlace]]</f>
        <v>9423670.7517872937</v>
      </c>
      <c r="H317" s="3">
        <f>+Tabla2[[#This Row],[Meta Digital]]</f>
        <v>7112606.0947783533</v>
      </c>
      <c r="I317" s="3">
        <f>+Tabla2[[#This Row],[Meta MKPlace]]</f>
        <v>2311064.6570089399</v>
      </c>
      <c r="J317" s="3">
        <v>5697624</v>
      </c>
      <c r="K317" s="3"/>
      <c r="L317" s="3">
        <v>67562.068965517217</v>
      </c>
      <c r="M317" s="3"/>
      <c r="N317" s="3">
        <v>81533</v>
      </c>
      <c r="O317" s="3"/>
      <c r="P317" s="3">
        <v>4644</v>
      </c>
      <c r="Q317" s="3"/>
      <c r="R317" s="3">
        <v>102759</v>
      </c>
      <c r="S317" s="3"/>
      <c r="T317" s="3">
        <v>901540</v>
      </c>
      <c r="U317" s="3"/>
      <c r="V317" s="3">
        <v>162599</v>
      </c>
      <c r="W317" s="3"/>
      <c r="X317" s="3">
        <v>39109</v>
      </c>
      <c r="Y317" s="3"/>
      <c r="Z317" s="3">
        <v>22528</v>
      </c>
      <c r="AA317" s="3"/>
      <c r="AB317" s="3">
        <v>35709.181034482775</v>
      </c>
      <c r="AC317" s="3"/>
      <c r="AD317" s="3">
        <v>1636.2068965517242</v>
      </c>
      <c r="AE317" s="3"/>
      <c r="AF317" s="5">
        <f t="shared" si="68"/>
        <v>0</v>
      </c>
      <c r="AG317" s="4">
        <f t="shared" si="69"/>
        <v>0</v>
      </c>
      <c r="AH317" s="5">
        <f t="shared" si="70"/>
        <v>-9423670.7517872937</v>
      </c>
      <c r="AI317" s="17">
        <f t="shared" si="72"/>
        <v>-1</v>
      </c>
      <c r="AJ317" s="17">
        <f t="shared" si="73"/>
        <v>0.15945379925058437</v>
      </c>
      <c r="AK317" s="14" t="e">
        <f t="shared" si="74"/>
        <v>#DIV/0!</v>
      </c>
      <c r="AL317" s="14">
        <f t="shared" si="75"/>
        <v>-1</v>
      </c>
      <c r="AO317" s="19">
        <f>+Tabla22[[#This Row],[Web + APP 2025]]+Tabla22[[#This Row],[Afiliados 2025]]+Tabla22[[#This Row],[TMK 2025]]+Tabla22[[#This Row],[WA 2025]]+Tabla22[[#This Row],[Ent. en Tienda 2025]]</f>
        <v>5954122.068965517</v>
      </c>
      <c r="AP317" s="19">
        <f>+Tabla22[[#This Row],[Meli Drop 2025]]+Tabla22[[#This Row],[Meli Full 2025]]+Tabla22[[#This Row],[Amazon Drop 2025]]+Tabla22[[#This Row],[Amazon Full 2025]]+Tabla22[[#This Row],[TikTok 2025]]+Tabla22[[#This Row],[Shein 2025]]</f>
        <v>1163121.3879310344</v>
      </c>
    </row>
    <row r="318" spans="1:42" hidden="1" x14ac:dyDescent="0.3">
      <c r="A318" s="63">
        <v>45972</v>
      </c>
      <c r="B318" s="3">
        <v>45078912</v>
      </c>
      <c r="C318" s="3">
        <f t="shared" si="71"/>
        <v>7188003.7844827585</v>
      </c>
      <c r="D318" s="4">
        <f t="shared" si="77"/>
        <v>4.2669862648995763E-2</v>
      </c>
      <c r="E318" s="3"/>
      <c r="F318" s="7">
        <v>46337</v>
      </c>
      <c r="G318" s="3">
        <f>+Tabla22[[#This Row],[Meta Digital]]+Tabla22[[#This Row],[Meta MKPlace]]</f>
        <v>9517361.8041588236</v>
      </c>
      <c r="H318" s="3">
        <f>+Tabla2[[#This Row],[Meta Digital]]</f>
        <v>7183320.3172587557</v>
      </c>
      <c r="I318" s="3">
        <f>+Tabla2[[#This Row],[Meta MKPlace]]</f>
        <v>2334041.4869000684</v>
      </c>
      <c r="J318" s="3">
        <v>5483822</v>
      </c>
      <c r="K318" s="3"/>
      <c r="L318" s="3">
        <v>68879.310344827551</v>
      </c>
      <c r="M318" s="3"/>
      <c r="N318" s="3">
        <v>48671</v>
      </c>
      <c r="O318" s="3"/>
      <c r="P318" s="3">
        <v>3768</v>
      </c>
      <c r="Q318" s="3"/>
      <c r="R318" s="3">
        <v>118531</v>
      </c>
      <c r="S318" s="3"/>
      <c r="T318" s="3">
        <v>1226151</v>
      </c>
      <c r="U318" s="3"/>
      <c r="V318" s="3">
        <v>160872</v>
      </c>
      <c r="W318" s="3"/>
      <c r="X318" s="3">
        <v>41738</v>
      </c>
      <c r="Y318" s="3"/>
      <c r="Z318" s="3">
        <v>20120</v>
      </c>
      <c r="AA318" s="3"/>
      <c r="AB318" s="3">
        <v>13470.439655172415</v>
      </c>
      <c r="AC318" s="3"/>
      <c r="AD318" s="3">
        <v>1981.0344827586209</v>
      </c>
      <c r="AE318" s="3"/>
      <c r="AF318" s="5">
        <f t="shared" si="68"/>
        <v>0</v>
      </c>
      <c r="AG318" s="4">
        <f t="shared" si="69"/>
        <v>0</v>
      </c>
      <c r="AH318" s="5">
        <f t="shared" si="70"/>
        <v>-9517361.8041588236</v>
      </c>
      <c r="AI318" s="17">
        <f t="shared" si="72"/>
        <v>-1</v>
      </c>
      <c r="AJ318" s="17">
        <f t="shared" si="73"/>
        <v>0.12992657618915429</v>
      </c>
      <c r="AK318" s="14" t="e">
        <f t="shared" si="74"/>
        <v>#DIV/0!</v>
      </c>
      <c r="AL318" s="14">
        <f t="shared" si="75"/>
        <v>-1</v>
      </c>
      <c r="AO318" s="19">
        <f>+Tabla22[[#This Row],[Web + APP 2025]]+Tabla22[[#This Row],[Afiliados 2025]]+Tabla22[[#This Row],[TMK 2025]]+Tabla22[[#This Row],[WA 2025]]+Tabla22[[#This Row],[Ent. en Tienda 2025]]</f>
        <v>5723671.3103448274</v>
      </c>
      <c r="AP318" s="19">
        <f>+Tabla22[[#This Row],[Meli Drop 2025]]+Tabla22[[#This Row],[Meli Full 2025]]+Tabla22[[#This Row],[Amazon Drop 2025]]+Tabla22[[#This Row],[Amazon Full 2025]]+Tabla22[[#This Row],[TikTok 2025]]+Tabla22[[#This Row],[Shein 2025]]</f>
        <v>1464332.4741379311</v>
      </c>
    </row>
    <row r="319" spans="1:42" hidden="1" x14ac:dyDescent="0.3">
      <c r="A319" s="7">
        <v>45973</v>
      </c>
      <c r="B319" s="3">
        <v>48292081</v>
      </c>
      <c r="C319" s="3">
        <f t="shared" si="71"/>
        <v>6274424.7413793104</v>
      </c>
      <c r="D319" s="4">
        <f t="shared" si="77"/>
        <v>3.7246619498737706E-2</v>
      </c>
      <c r="E319" s="3"/>
      <c r="F319" s="7">
        <v>46338</v>
      </c>
      <c r="G319" s="3">
        <f>+Tabla22[[#This Row],[Meta Digital]]+Tabla22[[#This Row],[Meta MKPlace]]</f>
        <v>8307726.6188403452</v>
      </c>
      <c r="H319" s="3">
        <f>+Tabla2[[#This Row],[Meta Digital]]</f>
        <v>6270336.5322593926</v>
      </c>
      <c r="I319" s="3">
        <f>+Tabla2[[#This Row],[Meta MKPlace]]</f>
        <v>2037390.0865809524</v>
      </c>
      <c r="J319" s="3">
        <v>4822707</v>
      </c>
      <c r="K319" s="3"/>
      <c r="L319" s="3">
        <v>67868.10344827584</v>
      </c>
      <c r="M319" s="3"/>
      <c r="N319" s="3">
        <v>98985</v>
      </c>
      <c r="O319" s="3"/>
      <c r="P319" s="3">
        <v>4095</v>
      </c>
      <c r="Q319" s="3"/>
      <c r="R319" s="3">
        <v>144514</v>
      </c>
      <c r="S319" s="3"/>
      <c r="T319" s="3">
        <v>868042</v>
      </c>
      <c r="U319" s="3"/>
      <c r="V319" s="3">
        <v>187197</v>
      </c>
      <c r="W319" s="3"/>
      <c r="X319" s="3">
        <v>46378</v>
      </c>
      <c r="Y319" s="3"/>
      <c r="Z319" s="3">
        <v>28094</v>
      </c>
      <c r="AA319" s="3"/>
      <c r="AB319" s="3">
        <v>6544.6379310344837</v>
      </c>
      <c r="AC319" s="3"/>
      <c r="AD319" s="3">
        <v>0</v>
      </c>
      <c r="AE319" s="3"/>
      <c r="AF319" s="5">
        <f t="shared" si="68"/>
        <v>0</v>
      </c>
      <c r="AG319" s="4">
        <f t="shared" si="69"/>
        <v>0</v>
      </c>
      <c r="AH319" s="5">
        <f t="shared" si="70"/>
        <v>-8307726.6188403452</v>
      </c>
      <c r="AI319" s="17">
        <f t="shared" si="72"/>
        <v>-1</v>
      </c>
      <c r="AJ319" s="17">
        <f t="shared" si="73"/>
        <v>0.11452765452777235</v>
      </c>
      <c r="AK319" s="14" t="e">
        <f t="shared" si="74"/>
        <v>#DIV/0!</v>
      </c>
      <c r="AL319" s="14">
        <f t="shared" si="75"/>
        <v>-1</v>
      </c>
      <c r="AO319" s="19">
        <f>+Tabla22[[#This Row],[Web + APP 2025]]+Tabla22[[#This Row],[Afiliados 2025]]+Tabla22[[#This Row],[TMK 2025]]+Tabla22[[#This Row],[WA 2025]]+Tabla22[[#This Row],[Ent. en Tienda 2025]]</f>
        <v>5138169.1034482755</v>
      </c>
      <c r="AP319" s="19">
        <f>+Tabla22[[#This Row],[Meli Drop 2025]]+Tabla22[[#This Row],[Meli Full 2025]]+Tabla22[[#This Row],[Amazon Drop 2025]]+Tabla22[[#This Row],[Amazon Full 2025]]+Tabla22[[#This Row],[TikTok 2025]]+Tabla22[[#This Row],[Shein 2025]]</f>
        <v>1136255.6379310344</v>
      </c>
    </row>
    <row r="320" spans="1:42" hidden="1" x14ac:dyDescent="0.3">
      <c r="A320" s="63">
        <v>45974</v>
      </c>
      <c r="B320" s="3">
        <v>65809693</v>
      </c>
      <c r="C320" s="3">
        <f t="shared" si="71"/>
        <v>7537029.7844827585</v>
      </c>
      <c r="D320" s="4">
        <f t="shared" si="77"/>
        <v>4.4741771892154301E-2</v>
      </c>
      <c r="E320" s="3"/>
      <c r="F320" s="7">
        <v>46339</v>
      </c>
      <c r="G320" s="3">
        <f>+Tabla22[[#This Row],[Meta Digital]]+Tabla22[[#This Row],[Meta MKPlace]]</f>
        <v>9979493.8258794229</v>
      </c>
      <c r="H320" s="3">
        <f>+Tabla2[[#This Row],[Meta Digital]]</f>
        <v>7532118.9033785826</v>
      </c>
      <c r="I320" s="3">
        <f>+Tabla2[[#This Row],[Meta MKPlace]]</f>
        <v>2447374.9225008404</v>
      </c>
      <c r="J320" s="3">
        <v>5687818</v>
      </c>
      <c r="K320" s="3"/>
      <c r="L320" s="3">
        <v>65544.827586206869</v>
      </c>
      <c r="M320" s="3"/>
      <c r="N320" s="3">
        <v>82830</v>
      </c>
      <c r="O320" s="3"/>
      <c r="P320" s="3">
        <v>4235</v>
      </c>
      <c r="Q320" s="3"/>
      <c r="R320" s="3">
        <v>151626</v>
      </c>
      <c r="S320" s="3"/>
      <c r="T320" s="3">
        <v>1184601</v>
      </c>
      <c r="U320" s="3"/>
      <c r="V320" s="3">
        <v>265899</v>
      </c>
      <c r="W320" s="3"/>
      <c r="X320" s="3">
        <v>62519</v>
      </c>
      <c r="Y320" s="3"/>
      <c r="Z320" s="3">
        <v>25374</v>
      </c>
      <c r="AA320" s="3"/>
      <c r="AB320" s="3">
        <v>2707.9568965517246</v>
      </c>
      <c r="AC320" s="3"/>
      <c r="AD320" s="3">
        <v>3875</v>
      </c>
      <c r="AE320" s="3"/>
      <c r="AF320" s="5">
        <f t="shared" si="68"/>
        <v>0</v>
      </c>
      <c r="AG320" s="4">
        <f t="shared" si="69"/>
        <v>0</v>
      </c>
      <c r="AH320" s="5">
        <f t="shared" si="70"/>
        <v>-9979493.8258794229</v>
      </c>
      <c r="AI320" s="17">
        <f t="shared" si="72"/>
        <v>-1</v>
      </c>
      <c r="AJ320" s="17">
        <f t="shared" si="73"/>
        <v>0.10664807746096908</v>
      </c>
      <c r="AK320" s="14" t="e">
        <f t="shared" si="74"/>
        <v>#DIV/0!</v>
      </c>
      <c r="AL320" s="14">
        <f t="shared" si="75"/>
        <v>-1</v>
      </c>
      <c r="AO320" s="19">
        <f>+Tabla22[[#This Row],[Web + APP 2025]]+Tabla22[[#This Row],[Afiliados 2025]]+Tabla22[[#This Row],[TMK 2025]]+Tabla22[[#This Row],[WA 2025]]+Tabla22[[#This Row],[Ent. en Tienda 2025]]</f>
        <v>5992053.8275862066</v>
      </c>
      <c r="AP320" s="19">
        <f>+Tabla22[[#This Row],[Meli Drop 2025]]+Tabla22[[#This Row],[Meli Full 2025]]+Tabla22[[#This Row],[Amazon Drop 2025]]+Tabla22[[#This Row],[Amazon Full 2025]]+Tabla22[[#This Row],[TikTok 2025]]+Tabla22[[#This Row],[Shein 2025]]</f>
        <v>1544975.9568965517</v>
      </c>
    </row>
    <row r="321" spans="1:42" hidden="1" x14ac:dyDescent="0.3">
      <c r="A321" s="7">
        <v>45975</v>
      </c>
      <c r="B321" s="3">
        <v>75117979</v>
      </c>
      <c r="C321" s="3">
        <f t="shared" si="71"/>
        <v>8011188.0431034481</v>
      </c>
      <c r="D321" s="4">
        <f t="shared" si="77"/>
        <v>4.7556498814378331E-2</v>
      </c>
      <c r="E321" s="3"/>
      <c r="F321" s="7">
        <v>46340</v>
      </c>
      <c r="G321" s="3">
        <f>+Tabla22[[#This Row],[Meta Digital]]+Tabla22[[#This Row],[Meta MKPlace]]</f>
        <v>10607308.701195009</v>
      </c>
      <c r="H321" s="3">
        <f>+Tabla2[[#This Row],[Meta Digital]]</f>
        <v>8005968.2160485154</v>
      </c>
      <c r="I321" s="3">
        <f>+Tabla2[[#This Row],[Meta MKPlace]]</f>
        <v>2601340.4851464946</v>
      </c>
      <c r="J321" s="3">
        <v>5897136</v>
      </c>
      <c r="K321" s="3"/>
      <c r="L321" s="3">
        <v>73120.689655172377</v>
      </c>
      <c r="M321" s="3"/>
      <c r="N321" s="3">
        <v>58945</v>
      </c>
      <c r="O321" s="3"/>
      <c r="P321" s="3">
        <v>7484</v>
      </c>
      <c r="Q321" s="3"/>
      <c r="R321" s="3">
        <v>211561</v>
      </c>
      <c r="S321" s="3"/>
      <c r="T321" s="3">
        <v>1342849</v>
      </c>
      <c r="U321" s="3"/>
      <c r="V321" s="3">
        <v>347316</v>
      </c>
      <c r="W321" s="3"/>
      <c r="X321" s="3">
        <v>17568</v>
      </c>
      <c r="Y321" s="3"/>
      <c r="Z321" s="3">
        <v>34059</v>
      </c>
      <c r="AA321" s="3"/>
      <c r="AB321" s="3">
        <v>18479.525862068964</v>
      </c>
      <c r="AC321" s="3"/>
      <c r="AD321" s="3">
        <v>2669.8275862068967</v>
      </c>
      <c r="AE321" s="3"/>
      <c r="AF321" s="5">
        <f t="shared" si="68"/>
        <v>0</v>
      </c>
      <c r="AG321" s="4">
        <f t="shared" si="69"/>
        <v>0</v>
      </c>
      <c r="AH321" s="5">
        <f t="shared" si="70"/>
        <v>-10607308.701195009</v>
      </c>
      <c r="AI321" s="17">
        <f t="shared" si="72"/>
        <v>-1</v>
      </c>
      <c r="AJ321" s="17">
        <f t="shared" si="73"/>
        <v>7.1044674116166731E-2</v>
      </c>
      <c r="AK321" s="14" t="e">
        <f t="shared" si="74"/>
        <v>#DIV/0!</v>
      </c>
      <c r="AL321" s="14">
        <f t="shared" si="75"/>
        <v>-1</v>
      </c>
      <c r="AO321" s="19">
        <f>+Tabla22[[#This Row],[Web + APP 2025]]+Tabla22[[#This Row],[Afiliados 2025]]+Tabla22[[#This Row],[TMK 2025]]+Tabla22[[#This Row],[WA 2025]]+Tabla22[[#This Row],[Ent. en Tienda 2025]]</f>
        <v>6248246.6896551726</v>
      </c>
      <c r="AP321" s="19">
        <f>+Tabla22[[#This Row],[Meli Drop 2025]]+Tabla22[[#This Row],[Meli Full 2025]]+Tabla22[[#This Row],[Amazon Drop 2025]]+Tabla22[[#This Row],[Amazon Full 2025]]+Tabla22[[#This Row],[TikTok 2025]]+Tabla22[[#This Row],[Shein 2025]]</f>
        <v>1762941.3534482757</v>
      </c>
    </row>
    <row r="322" spans="1:42" hidden="1" x14ac:dyDescent="0.3">
      <c r="A322" s="63">
        <v>45976</v>
      </c>
      <c r="B322" s="3">
        <v>87981274</v>
      </c>
      <c r="C322" s="3">
        <f t="shared" si="71"/>
        <v>6250600.9396551726</v>
      </c>
      <c r="D322" s="4">
        <f t="shared" si="77"/>
        <v>3.7105195206566299E-2</v>
      </c>
      <c r="E322" s="3"/>
      <c r="F322" s="7">
        <v>46341</v>
      </c>
      <c r="G322" s="3">
        <f>+Tabla22[[#This Row],[Meta Digital]]+Tabla22[[#This Row],[Meta MKPlace]]</f>
        <v>8276182.431141302</v>
      </c>
      <c r="H322" s="3">
        <f>+Tabla2[[#This Row],[Meta Digital]]</f>
        <v>6246528.2533421256</v>
      </c>
      <c r="I322" s="3">
        <f>+Tabla2[[#This Row],[Meta MKPlace]]</f>
        <v>2029654.1777991767</v>
      </c>
      <c r="J322" s="3">
        <v>4408030</v>
      </c>
      <c r="K322" s="3"/>
      <c r="L322" s="3">
        <v>69456.034482758594</v>
      </c>
      <c r="M322" s="3"/>
      <c r="N322" s="3">
        <v>25308</v>
      </c>
      <c r="O322" s="3"/>
      <c r="P322" s="3">
        <v>1153</v>
      </c>
      <c r="Q322" s="3"/>
      <c r="R322" s="3">
        <v>256816</v>
      </c>
      <c r="S322" s="3"/>
      <c r="T322" s="3">
        <v>1108972</v>
      </c>
      <c r="U322" s="3"/>
      <c r="V322" s="3">
        <v>362812</v>
      </c>
      <c r="W322" s="3"/>
      <c r="X322" s="3">
        <v>-2259</v>
      </c>
      <c r="Y322" s="3"/>
      <c r="Z322" s="3">
        <v>12703</v>
      </c>
      <c r="AA322" s="3"/>
      <c r="AB322" s="3">
        <v>3562.4913793103451</v>
      </c>
      <c r="AC322" s="3"/>
      <c r="AD322" s="3">
        <v>4047.4137931034484</v>
      </c>
      <c r="AE322" s="3"/>
      <c r="AF322" s="5">
        <f t="shared" si="68"/>
        <v>0</v>
      </c>
      <c r="AG322" s="4">
        <f t="shared" si="69"/>
        <v>0</v>
      </c>
      <c r="AH322" s="5">
        <f t="shared" si="70"/>
        <v>-8276182.431141302</v>
      </c>
      <c r="AI322" s="17">
        <f t="shared" si="72"/>
        <v>-1</v>
      </c>
      <c r="AJ322" s="17">
        <f t="shared" si="73"/>
        <v>6.8283459955625625E-2</v>
      </c>
      <c r="AK322" s="14" t="e">
        <f t="shared" si="74"/>
        <v>#DIV/0!</v>
      </c>
      <c r="AL322" s="14">
        <f t="shared" si="75"/>
        <v>-1</v>
      </c>
      <c r="AO322" s="19">
        <f>+Tabla22[[#This Row],[Web + APP 2025]]+Tabla22[[#This Row],[Afiliados 2025]]+Tabla22[[#This Row],[TMK 2025]]+Tabla22[[#This Row],[WA 2025]]+Tabla22[[#This Row],[Ent. en Tienda 2025]]</f>
        <v>4760763.0344827585</v>
      </c>
      <c r="AP322" s="19">
        <f>+Tabla22[[#This Row],[Meli Drop 2025]]+Tabla22[[#This Row],[Meli Full 2025]]+Tabla22[[#This Row],[Amazon Drop 2025]]+Tabla22[[#This Row],[Amazon Full 2025]]+Tabla22[[#This Row],[TikTok 2025]]+Tabla22[[#This Row],[Shein 2025]]</f>
        <v>1489837.9051724139</v>
      </c>
    </row>
    <row r="323" spans="1:42" hidden="1" x14ac:dyDescent="0.3">
      <c r="A323" s="7">
        <v>45977</v>
      </c>
      <c r="B323" s="3">
        <v>90614671</v>
      </c>
      <c r="C323" s="3">
        <f t="shared" si="71"/>
        <v>6187483.2586206906</v>
      </c>
      <c r="D323" s="4">
        <f t="shared" si="77"/>
        <v>3.6730512212342151E-2</v>
      </c>
      <c r="E323" s="3"/>
      <c r="F323" s="7">
        <v>46342</v>
      </c>
      <c r="G323" s="3">
        <f>+Tabla22[[#This Row],[Meta Digital]]+Tabla22[[#This Row],[Meta MKPlace]]</f>
        <v>8192610.7157310415</v>
      </c>
      <c r="H323" s="3">
        <f>+Tabla2[[#This Row],[Meta Digital]]</f>
        <v>6183451.697715926</v>
      </c>
      <c r="I323" s="3">
        <f>+Tabla2[[#This Row],[Meta MKPlace]]</f>
        <v>2009159.0180151158</v>
      </c>
      <c r="J323" s="3">
        <v>4732740</v>
      </c>
      <c r="K323" s="3"/>
      <c r="L323" s="3">
        <v>78706.896551724101</v>
      </c>
      <c r="M323" s="3"/>
      <c r="N323" s="3">
        <v>23936</v>
      </c>
      <c r="O323" s="3"/>
      <c r="P323" s="3">
        <v>4170</v>
      </c>
      <c r="Q323" s="3"/>
      <c r="R323" s="3">
        <v>281033</v>
      </c>
      <c r="S323" s="3"/>
      <c r="T323" s="3">
        <v>434970</v>
      </c>
      <c r="U323" s="3"/>
      <c r="V323" s="3">
        <v>457126</v>
      </c>
      <c r="W323" s="3"/>
      <c r="X323" s="3">
        <v>158214</v>
      </c>
      <c r="Y323" s="3"/>
      <c r="Z323" s="3">
        <v>13795</v>
      </c>
      <c r="AA323" s="3"/>
      <c r="AB323" s="3">
        <v>1069.9482758620691</v>
      </c>
      <c r="AC323" s="3"/>
      <c r="AD323" s="3">
        <v>1722.4137931034484</v>
      </c>
      <c r="AE323" s="3"/>
      <c r="AF323" s="5">
        <f t="shared" si="68"/>
        <v>0</v>
      </c>
      <c r="AG323" s="4">
        <f t="shared" si="69"/>
        <v>0</v>
      </c>
      <c r="AH323" s="5">
        <f t="shared" si="70"/>
        <v>-8192610.7157310415</v>
      </c>
      <c r="AI323" s="17">
        <f t="shared" si="72"/>
        <v>-1</v>
      </c>
      <c r="AJ323" s="17">
        <f t="shared" si="73"/>
        <v>0.10441891513293554</v>
      </c>
      <c r="AK323" s="14" t="e">
        <f t="shared" si="74"/>
        <v>#DIV/0!</v>
      </c>
      <c r="AL323" s="14">
        <f t="shared" si="75"/>
        <v>-1</v>
      </c>
      <c r="AO323" s="19">
        <f>+Tabla22[[#This Row],[Web + APP 2025]]+Tabla22[[#This Row],[Afiliados 2025]]+Tabla22[[#This Row],[TMK 2025]]+Tabla22[[#This Row],[WA 2025]]+Tabla22[[#This Row],[Ent. en Tienda 2025]]</f>
        <v>5120585.8965517245</v>
      </c>
      <c r="AP323" s="19">
        <f>+Tabla22[[#This Row],[Meli Drop 2025]]+Tabla22[[#This Row],[Meli Full 2025]]+Tabla22[[#This Row],[Amazon Drop 2025]]+Tabla22[[#This Row],[Amazon Full 2025]]+Tabla22[[#This Row],[TikTok 2025]]+Tabla22[[#This Row],[Shein 2025]]</f>
        <v>1066897.3620689656</v>
      </c>
    </row>
    <row r="324" spans="1:42" hidden="1" x14ac:dyDescent="0.3">
      <c r="A324" s="63">
        <v>45978</v>
      </c>
      <c r="B324" s="3">
        <v>92083785</v>
      </c>
      <c r="C324" s="3">
        <f t="shared" si="71"/>
        <v>9615288.931034483</v>
      </c>
      <c r="D324" s="4">
        <f t="shared" si="77"/>
        <v>5.7078859488549114E-2</v>
      </c>
      <c r="E324" s="3"/>
      <c r="F324" s="7">
        <v>46343</v>
      </c>
      <c r="G324" s="3">
        <f>+Tabla22[[#This Row],[Meta Digital]]+Tabla22[[#This Row],[Meta MKPlace]]</f>
        <v>12731237.538540589</v>
      </c>
      <c r="H324" s="3">
        <f>+Tabla2[[#This Row],[Meta Digital]]</f>
        <v>9609023.9245169517</v>
      </c>
      <c r="I324" s="3">
        <f>+Tabla2[[#This Row],[Meta MKPlace]]</f>
        <v>3122213.6140236366</v>
      </c>
      <c r="J324" s="3">
        <v>7301102</v>
      </c>
      <c r="K324" s="3"/>
      <c r="L324" s="3">
        <v>73426.724137931</v>
      </c>
      <c r="M324" s="3"/>
      <c r="N324" s="3">
        <v>16174</v>
      </c>
      <c r="O324" s="3"/>
      <c r="P324" s="3">
        <v>2385</v>
      </c>
      <c r="Q324" s="3"/>
      <c r="R324" s="3">
        <v>159658</v>
      </c>
      <c r="S324" s="3"/>
      <c r="T324" s="3">
        <v>1473035</v>
      </c>
      <c r="U324" s="3"/>
      <c r="V324" s="3">
        <v>390070</v>
      </c>
      <c r="W324" s="3"/>
      <c r="X324" s="3">
        <v>88451</v>
      </c>
      <c r="Y324" s="3"/>
      <c r="Z324" s="3">
        <v>106398</v>
      </c>
      <c r="AA324" s="3"/>
      <c r="AB324" s="3">
        <v>886.62068965517255</v>
      </c>
      <c r="AC324" s="3"/>
      <c r="AD324" s="3">
        <v>3702.5862068965516</v>
      </c>
      <c r="AE324" s="3"/>
      <c r="AF324" s="5">
        <f t="shared" ref="AF324:AF368" si="78">+AE324+AC324+AA324+Y324+W324+U324+S324+Q324+O324+M324+K324</f>
        <v>0</v>
      </c>
      <c r="AG324" s="4">
        <f t="shared" ref="AG324:AG367" si="79">+AF324/G324</f>
        <v>0</v>
      </c>
      <c r="AH324" s="5">
        <f t="shared" ref="AH324:AH368" si="80">+AF324-G324</f>
        <v>-12731237.538540589</v>
      </c>
      <c r="AI324" s="17">
        <f t="shared" si="72"/>
        <v>-1</v>
      </c>
      <c r="AJ324" s="17">
        <f t="shared" si="73"/>
        <v>0.16021420753121948</v>
      </c>
      <c r="AK324" s="14" t="e">
        <f t="shared" si="74"/>
        <v>#DIV/0!</v>
      </c>
      <c r="AL324" s="14">
        <f t="shared" si="75"/>
        <v>-1</v>
      </c>
      <c r="AO324" s="19">
        <f>+Tabla22[[#This Row],[Web + APP 2025]]+Tabla22[[#This Row],[Afiliados 2025]]+Tabla22[[#This Row],[TMK 2025]]+Tabla22[[#This Row],[WA 2025]]+Tabla22[[#This Row],[Ent. en Tienda 2025]]</f>
        <v>7552745.7241379311</v>
      </c>
      <c r="AP324" s="19">
        <f>+Tabla22[[#This Row],[Meli Drop 2025]]+Tabla22[[#This Row],[Meli Full 2025]]+Tabla22[[#This Row],[Amazon Drop 2025]]+Tabla22[[#This Row],[Amazon Full 2025]]+Tabla22[[#This Row],[TikTok 2025]]+Tabla22[[#This Row],[Shein 2025]]</f>
        <v>2062543.2068965517</v>
      </c>
    </row>
    <row r="325" spans="1:42" hidden="1" x14ac:dyDescent="0.3">
      <c r="A325" s="7">
        <v>45979</v>
      </c>
      <c r="B325" s="3">
        <v>39600628</v>
      </c>
      <c r="C325" s="3">
        <f t="shared" ref="C325:C368" si="81">+J325+L325+N325+P325+R325+T325+V325+X325+Z325+AB325+AD325</f>
        <v>6344583.2327586208</v>
      </c>
      <c r="D325" s="4">
        <f t="shared" si="77"/>
        <v>3.7663098577015115E-2</v>
      </c>
      <c r="E325" s="3"/>
      <c r="F325" s="7">
        <v>46344</v>
      </c>
      <c r="G325" s="3">
        <f>+Tabla22[[#This Row],[Meta Digital]]+Tabla22[[#This Row],[Meta MKPlace]]</f>
        <v>8400620.8028323352</v>
      </c>
      <c r="H325" s="3">
        <f>+Tabla2[[#This Row],[Meta Digital]]</f>
        <v>6340449.3106696075</v>
      </c>
      <c r="I325" s="3">
        <f>+Tabla2[[#This Row],[Meta MKPlace]]</f>
        <v>2060171.4921627268</v>
      </c>
      <c r="J325" s="3">
        <v>4720959</v>
      </c>
      <c r="K325" s="3"/>
      <c r="L325" s="3">
        <v>47643.965517241362</v>
      </c>
      <c r="M325" s="3"/>
      <c r="N325" s="3">
        <v>95259</v>
      </c>
      <c r="O325" s="3"/>
      <c r="P325" s="3">
        <v>-1341</v>
      </c>
      <c r="Q325" s="3"/>
      <c r="R325" s="3">
        <v>147773</v>
      </c>
      <c r="S325" s="3"/>
      <c r="T325" s="3">
        <v>932318</v>
      </c>
      <c r="U325" s="3"/>
      <c r="V325" s="3">
        <v>326265</v>
      </c>
      <c r="W325" s="3"/>
      <c r="X325" s="3">
        <v>34579</v>
      </c>
      <c r="Y325" s="3"/>
      <c r="Z325" s="3">
        <v>35129</v>
      </c>
      <c r="AA325" s="3"/>
      <c r="AB325" s="3">
        <v>5998.2672413793098</v>
      </c>
      <c r="AC325" s="3"/>
      <c r="AD325" s="3">
        <v>0</v>
      </c>
      <c r="AE325" s="3"/>
      <c r="AF325" s="5">
        <f t="shared" si="78"/>
        <v>0</v>
      </c>
      <c r="AG325" s="4">
        <f t="shared" si="79"/>
        <v>0</v>
      </c>
      <c r="AH325" s="5">
        <f t="shared" si="80"/>
        <v>-8400620.8028323352</v>
      </c>
      <c r="AI325" s="17">
        <f t="shared" si="72"/>
        <v>-1</v>
      </c>
      <c r="AJ325" s="17">
        <f t="shared" si="73"/>
        <v>0.13850719600983555</v>
      </c>
      <c r="AK325" s="14" t="e">
        <f t="shared" si="74"/>
        <v>#DIV/0!</v>
      </c>
      <c r="AL325" s="14">
        <f t="shared" si="75"/>
        <v>-1</v>
      </c>
      <c r="AO325" s="19">
        <f>+Tabla22[[#This Row],[Web + APP 2025]]+Tabla22[[#This Row],[Afiliados 2025]]+Tabla22[[#This Row],[TMK 2025]]+Tabla22[[#This Row],[WA 2025]]+Tabla22[[#This Row],[Ent. en Tienda 2025]]</f>
        <v>5010293.9655172415</v>
      </c>
      <c r="AP325" s="19">
        <f>+Tabla22[[#This Row],[Meli Drop 2025]]+Tabla22[[#This Row],[Meli Full 2025]]+Tabla22[[#This Row],[Amazon Drop 2025]]+Tabla22[[#This Row],[Amazon Full 2025]]+Tabla22[[#This Row],[TikTok 2025]]+Tabla22[[#This Row],[Shein 2025]]</f>
        <v>1334289.2672413792</v>
      </c>
    </row>
    <row r="326" spans="1:42" hidden="1" x14ac:dyDescent="0.3">
      <c r="A326" s="63">
        <v>45980</v>
      </c>
      <c r="B326" s="3">
        <v>44043429</v>
      </c>
      <c r="C326" s="3">
        <f t="shared" si="81"/>
        <v>6100331.8534482755</v>
      </c>
      <c r="D326" s="4">
        <f t="shared" si="77"/>
        <v>3.6213158771822018E-2</v>
      </c>
      <c r="E326" s="3"/>
      <c r="F326" s="7">
        <v>46345</v>
      </c>
      <c r="G326" s="3">
        <f>+Tabla22[[#This Row],[Meta Digital]]+Tabla22[[#This Row],[Meta MKPlace]]</f>
        <v>8077216.8623558804</v>
      </c>
      <c r="H326" s="3">
        <f>+Tabla2[[#This Row],[Meta Digital]]</f>
        <v>6096357.0775372162</v>
      </c>
      <c r="I326" s="3">
        <f>+Tabla2[[#This Row],[Meta MKPlace]]</f>
        <v>1980859.7848186644</v>
      </c>
      <c r="J326" s="3">
        <v>4242519</v>
      </c>
      <c r="K326" s="3"/>
      <c r="L326" s="3">
        <v>49587.068965517217</v>
      </c>
      <c r="M326" s="3"/>
      <c r="N326" s="3">
        <v>76524</v>
      </c>
      <c r="O326" s="3"/>
      <c r="P326" s="3">
        <v>2601</v>
      </c>
      <c r="Q326" s="3"/>
      <c r="R326" s="3">
        <v>240478</v>
      </c>
      <c r="S326" s="3"/>
      <c r="T326" s="3">
        <v>1127916</v>
      </c>
      <c r="U326" s="3"/>
      <c r="V326" s="3">
        <v>278096</v>
      </c>
      <c r="W326" s="3"/>
      <c r="X326" s="3">
        <v>37316</v>
      </c>
      <c r="Y326" s="3"/>
      <c r="Z326" s="3">
        <v>34950</v>
      </c>
      <c r="AA326" s="3"/>
      <c r="AB326" s="3">
        <v>5866.3362068965525</v>
      </c>
      <c r="AC326" s="3"/>
      <c r="AD326" s="3">
        <v>4478.4482758620688</v>
      </c>
      <c r="AE326" s="3"/>
      <c r="AF326" s="5">
        <f t="shared" si="78"/>
        <v>0</v>
      </c>
      <c r="AG326" s="4">
        <f t="shared" si="79"/>
        <v>0</v>
      </c>
      <c r="AH326" s="5">
        <f t="shared" si="80"/>
        <v>-8077216.8623558804</v>
      </c>
      <c r="AI326" s="17">
        <f t="shared" si="72"/>
        <v>-1</v>
      </c>
      <c r="AJ326" s="17">
        <f t="shared" si="73"/>
        <v>9.3308248291307835E-2</v>
      </c>
      <c r="AK326" s="14" t="e">
        <f t="shared" si="74"/>
        <v>#DIV/0!</v>
      </c>
      <c r="AL326" s="14">
        <f t="shared" si="75"/>
        <v>-1</v>
      </c>
      <c r="AO326" s="19">
        <f>+Tabla22[[#This Row],[Web + APP 2025]]+Tabla22[[#This Row],[Afiliados 2025]]+Tabla22[[#This Row],[TMK 2025]]+Tabla22[[#This Row],[WA 2025]]+Tabla22[[#This Row],[Ent. en Tienda 2025]]</f>
        <v>4611709.068965517</v>
      </c>
      <c r="AP326" s="19">
        <f>+Tabla22[[#This Row],[Meli Drop 2025]]+Tabla22[[#This Row],[Meli Full 2025]]+Tabla22[[#This Row],[Amazon Drop 2025]]+Tabla22[[#This Row],[Amazon Full 2025]]+Tabla22[[#This Row],[TikTok 2025]]+Tabla22[[#This Row],[Shein 2025]]</f>
        <v>1488622.7844827585</v>
      </c>
    </row>
    <row r="327" spans="1:42" hidden="1" x14ac:dyDescent="0.3">
      <c r="A327" s="7">
        <v>45981</v>
      </c>
      <c r="B327" s="3">
        <v>45264544</v>
      </c>
      <c r="C327" s="3">
        <f t="shared" si="81"/>
        <v>4223555.3103448283</v>
      </c>
      <c r="D327" s="4">
        <f t="shared" si="77"/>
        <v>2.5072124387566501E-2</v>
      </c>
      <c r="E327" s="3"/>
      <c r="F327" s="7">
        <v>46346</v>
      </c>
      <c r="G327" s="3">
        <f>+Tabla22[[#This Row],[Meta Digital]]+Tabla22[[#This Row],[Meta MKPlace]]</f>
        <v>5592248.5843989532</v>
      </c>
      <c r="H327" s="3">
        <f>+Tabla2[[#This Row],[Meta Digital]]</f>
        <v>4220803.380399066</v>
      </c>
      <c r="I327" s="3">
        <f>+Tabla2[[#This Row],[Meta MKPlace]]</f>
        <v>1371445.2039998877</v>
      </c>
      <c r="J327" s="3">
        <v>3180652</v>
      </c>
      <c r="K327" s="3"/>
      <c r="L327" s="3">
        <v>40595.689655172406</v>
      </c>
      <c r="M327" s="3"/>
      <c r="N327" s="3">
        <v>49953</v>
      </c>
      <c r="O327" s="3"/>
      <c r="P327" s="3">
        <v>6804</v>
      </c>
      <c r="Q327" s="3"/>
      <c r="R327" s="3">
        <v>241917</v>
      </c>
      <c r="S327" s="3"/>
      <c r="T327" s="3">
        <v>322746</v>
      </c>
      <c r="U327" s="3"/>
      <c r="V327" s="3">
        <v>305105</v>
      </c>
      <c r="W327" s="3"/>
      <c r="X327" s="3">
        <v>24957</v>
      </c>
      <c r="Y327" s="3"/>
      <c r="Z327" s="3">
        <v>45711</v>
      </c>
      <c r="AA327" s="3"/>
      <c r="AB327" s="3">
        <v>2272.3793103448279</v>
      </c>
      <c r="AC327" s="3"/>
      <c r="AD327" s="3">
        <v>2842.2413793103451</v>
      </c>
      <c r="AE327" s="3"/>
      <c r="AF327" s="5">
        <f t="shared" si="78"/>
        <v>0</v>
      </c>
      <c r="AG327" s="4">
        <f t="shared" si="79"/>
        <v>0</v>
      </c>
      <c r="AH327" s="5">
        <f t="shared" si="80"/>
        <v>-5592248.5843989532</v>
      </c>
      <c r="AI327" s="17">
        <f t="shared" si="72"/>
        <v>-1</v>
      </c>
      <c r="AJ327" s="17">
        <f t="shared" si="73"/>
        <v>7.8852145747983951E-2</v>
      </c>
      <c r="AK327" s="14" t="e">
        <f t="shared" si="74"/>
        <v>#DIV/0!</v>
      </c>
      <c r="AL327" s="14">
        <f t="shared" si="75"/>
        <v>-1</v>
      </c>
      <c r="AO327" s="19">
        <f>+Tabla22[[#This Row],[Web + APP 2025]]+Tabla22[[#This Row],[Afiliados 2025]]+Tabla22[[#This Row],[TMK 2025]]+Tabla22[[#This Row],[WA 2025]]+Tabla22[[#This Row],[Ent. en Tienda 2025]]</f>
        <v>3519921.6896551726</v>
      </c>
      <c r="AP327" s="19">
        <f>+Tabla22[[#This Row],[Meli Drop 2025]]+Tabla22[[#This Row],[Meli Full 2025]]+Tabla22[[#This Row],[Amazon Drop 2025]]+Tabla22[[#This Row],[Amazon Full 2025]]+Tabla22[[#This Row],[TikTok 2025]]+Tabla22[[#This Row],[Shein 2025]]</f>
        <v>703633.62068965519</v>
      </c>
    </row>
    <row r="328" spans="1:42" hidden="1" x14ac:dyDescent="0.3">
      <c r="A328" s="63">
        <v>45982</v>
      </c>
      <c r="B328" s="3">
        <v>48516289</v>
      </c>
      <c r="C328" s="3">
        <f t="shared" si="81"/>
        <v>3825613.4913793104</v>
      </c>
      <c r="D328" s="4">
        <f t="shared" si="77"/>
        <v>2.2709838102435941E-2</v>
      </c>
      <c r="E328" s="3"/>
      <c r="F328" s="7">
        <v>46347</v>
      </c>
      <c r="G328" s="3">
        <f>+Tabla22[[#This Row],[Meta Digital]]+Tabla22[[#This Row],[Meta MKPlace]]</f>
        <v>5065348.9914582921</v>
      </c>
      <c r="H328" s="3">
        <f>+Tabla2[[#This Row],[Meta Digital]]</f>
        <v>3823120.847255046</v>
      </c>
      <c r="I328" s="3">
        <f>+Tabla2[[#This Row],[Meta MKPlace]]</f>
        <v>1242228.1442032459</v>
      </c>
      <c r="J328" s="3">
        <v>2745907</v>
      </c>
      <c r="K328" s="3"/>
      <c r="L328" s="3">
        <v>33519.827586206884</v>
      </c>
      <c r="M328" s="3"/>
      <c r="N328" s="3">
        <v>17150</v>
      </c>
      <c r="O328" s="3"/>
      <c r="P328" s="3">
        <v>7339</v>
      </c>
      <c r="Q328" s="3"/>
      <c r="R328" s="3">
        <v>206736</v>
      </c>
      <c r="S328" s="3"/>
      <c r="T328" s="3">
        <v>475176</v>
      </c>
      <c r="U328" s="3"/>
      <c r="V328" s="3">
        <v>235742</v>
      </c>
      <c r="W328" s="3"/>
      <c r="X328" s="3">
        <v>25815</v>
      </c>
      <c r="Y328" s="3"/>
      <c r="Z328" s="3">
        <v>62744</v>
      </c>
      <c r="AA328" s="3"/>
      <c r="AB328" s="3">
        <v>14709.663793103451</v>
      </c>
      <c r="AC328" s="3"/>
      <c r="AD328" s="3">
        <v>775</v>
      </c>
      <c r="AE328" s="3"/>
      <c r="AF328" s="5">
        <f t="shared" si="78"/>
        <v>0</v>
      </c>
      <c r="AG328" s="4">
        <f t="shared" si="79"/>
        <v>0</v>
      </c>
      <c r="AH328" s="5">
        <f t="shared" si="80"/>
        <v>-5065348.9914582921</v>
      </c>
      <c r="AI328" s="17">
        <f t="shared" si="72"/>
        <v>-1</v>
      </c>
      <c r="AJ328" s="17">
        <f t="shared" si="73"/>
        <v>9.6721207255750855E-2</v>
      </c>
      <c r="AK328" s="14" t="e">
        <f t="shared" si="74"/>
        <v>#DIV/0!</v>
      </c>
      <c r="AL328" s="14">
        <f t="shared" si="75"/>
        <v>-1</v>
      </c>
      <c r="AO328" s="19">
        <f>+Tabla22[[#This Row],[Web + APP 2025]]+Tabla22[[#This Row],[Afiliados 2025]]+Tabla22[[#This Row],[TMK 2025]]+Tabla22[[#This Row],[WA 2025]]+Tabla22[[#This Row],[Ent. en Tienda 2025]]</f>
        <v>3010651.8275862071</v>
      </c>
      <c r="AP328" s="19">
        <f>+Tabla22[[#This Row],[Meli Drop 2025]]+Tabla22[[#This Row],[Meli Full 2025]]+Tabla22[[#This Row],[Amazon Drop 2025]]+Tabla22[[#This Row],[Amazon Full 2025]]+Tabla22[[#This Row],[TikTok 2025]]+Tabla22[[#This Row],[Shein 2025]]</f>
        <v>814961.66379310342</v>
      </c>
    </row>
    <row r="329" spans="1:42" hidden="1" x14ac:dyDescent="0.3">
      <c r="A329" s="7">
        <v>45983</v>
      </c>
      <c r="B329" s="3">
        <v>62976306</v>
      </c>
      <c r="C329" s="3">
        <f t="shared" si="81"/>
        <v>6091144.3448275859</v>
      </c>
      <c r="D329" s="4">
        <f t="shared" si="77"/>
        <v>3.6158619327675147E-2</v>
      </c>
      <c r="E329" s="3"/>
      <c r="F329" s="7">
        <v>46348</v>
      </c>
      <c r="G329" s="3">
        <f>+Tabla22[[#This Row],[Meta Digital]]+Tabla22[[#This Row],[Meta MKPlace]]</f>
        <v>8065052.0324192718</v>
      </c>
      <c r="H329" s="3">
        <f>+Tabla2[[#This Row],[Meta Digital]]</f>
        <v>6087175.5551954415</v>
      </c>
      <c r="I329" s="3">
        <f>+Tabla2[[#This Row],[Meta MKPlace]]</f>
        <v>1977876.4772238305</v>
      </c>
      <c r="J329" s="3">
        <v>2622616</v>
      </c>
      <c r="K329" s="3"/>
      <c r="L329" s="3">
        <v>47146.551724137913</v>
      </c>
      <c r="M329" s="3"/>
      <c r="N329" s="3">
        <v>58779</v>
      </c>
      <c r="O329" s="3"/>
      <c r="P329" s="3">
        <v>5619</v>
      </c>
      <c r="Q329" s="3"/>
      <c r="R329" s="3">
        <v>218600</v>
      </c>
      <c r="S329" s="3"/>
      <c r="T329" s="3">
        <v>2828747</v>
      </c>
      <c r="U329" s="3"/>
      <c r="V329" s="3">
        <v>232232</v>
      </c>
      <c r="W329" s="3"/>
      <c r="X329" s="3">
        <v>32234</v>
      </c>
      <c r="Y329" s="3"/>
      <c r="Z329" s="3">
        <v>42932</v>
      </c>
      <c r="AA329" s="3"/>
      <c r="AB329" s="3">
        <v>0</v>
      </c>
      <c r="AC329" s="3"/>
      <c r="AD329" s="3">
        <v>2238.7931034482758</v>
      </c>
      <c r="AE329" s="3"/>
      <c r="AF329" s="5">
        <f t="shared" si="78"/>
        <v>0</v>
      </c>
      <c r="AG329" s="4">
        <f t="shared" si="79"/>
        <v>0</v>
      </c>
      <c r="AH329" s="5">
        <f t="shared" si="80"/>
        <v>-8065052.0324192718</v>
      </c>
      <c r="AI329" s="17">
        <f t="shared" si="72"/>
        <v>-1</v>
      </c>
      <c r="AJ329" s="17">
        <f t="shared" si="73"/>
        <v>5.3332503329828654E-2</v>
      </c>
      <c r="AK329" s="14" t="e">
        <f t="shared" si="74"/>
        <v>#DIV/0!</v>
      </c>
      <c r="AL329" s="14">
        <f t="shared" si="75"/>
        <v>-1</v>
      </c>
      <c r="AO329" s="19">
        <f>+Tabla22[[#This Row],[Web + APP 2025]]+Tabla22[[#This Row],[Afiliados 2025]]+Tabla22[[#This Row],[TMK 2025]]+Tabla22[[#This Row],[WA 2025]]+Tabla22[[#This Row],[Ent. en Tienda 2025]]</f>
        <v>2952760.5517241377</v>
      </c>
      <c r="AP329" s="19">
        <f>+Tabla22[[#This Row],[Meli Drop 2025]]+Tabla22[[#This Row],[Meli Full 2025]]+Tabla22[[#This Row],[Amazon Drop 2025]]+Tabla22[[#This Row],[Amazon Full 2025]]+Tabla22[[#This Row],[TikTok 2025]]+Tabla22[[#This Row],[Shein 2025]]</f>
        <v>3138383.7931034481</v>
      </c>
    </row>
    <row r="330" spans="1:42" hidden="1" x14ac:dyDescent="0.3">
      <c r="A330" s="63">
        <v>45984</v>
      </c>
      <c r="B330" s="3">
        <v>64339155</v>
      </c>
      <c r="C330" s="3">
        <f t="shared" si="81"/>
        <v>3431368.1982758618</v>
      </c>
      <c r="D330" s="4">
        <f t="shared" si="77"/>
        <v>2.0369495357618127E-2</v>
      </c>
      <c r="E330" s="3"/>
      <c r="F330" s="7">
        <v>46349</v>
      </c>
      <c r="G330" s="3">
        <f>+Tabla22[[#This Row],[Meta Digital]]+Tabla22[[#This Row],[Meta MKPlace]]</f>
        <v>4543343.8274999429</v>
      </c>
      <c r="H330" s="3">
        <f>+Tabla2[[#This Row],[Meta Digital]]</f>
        <v>3429132.4314382309</v>
      </c>
      <c r="I330" s="3">
        <f>+Tabla2[[#This Row],[Meta MKPlace]]</f>
        <v>1114211.3960617115</v>
      </c>
      <c r="J330" s="3">
        <v>2912051</v>
      </c>
      <c r="K330" s="3"/>
      <c r="L330" s="3">
        <v>50568.10344827584</v>
      </c>
      <c r="M330" s="3"/>
      <c r="N330" s="3">
        <v>-4265</v>
      </c>
      <c r="O330" s="3"/>
      <c r="P330" s="3">
        <v>1723</v>
      </c>
      <c r="Q330" s="3"/>
      <c r="R330" s="3">
        <v>188141</v>
      </c>
      <c r="S330" s="3"/>
      <c r="T330" s="3">
        <v>-35352</v>
      </c>
      <c r="U330" s="3"/>
      <c r="V330" s="3">
        <v>235657</v>
      </c>
      <c r="W330" s="3"/>
      <c r="X330" s="3">
        <v>30424</v>
      </c>
      <c r="Y330" s="3"/>
      <c r="Z330" s="3">
        <v>50063</v>
      </c>
      <c r="AA330" s="3"/>
      <c r="AB330" s="3">
        <v>635.68103448275861</v>
      </c>
      <c r="AC330" s="3"/>
      <c r="AD330" s="3">
        <v>1722.4137931034484</v>
      </c>
      <c r="AE330" s="3"/>
      <c r="AF330" s="5">
        <f t="shared" si="78"/>
        <v>0</v>
      </c>
      <c r="AG330" s="4">
        <f t="shared" si="79"/>
        <v>0</v>
      </c>
      <c r="AH330" s="5">
        <f t="shared" si="80"/>
        <v>-4543343.8274999429</v>
      </c>
      <c r="AI330" s="17">
        <f t="shared" si="72"/>
        <v>-1</v>
      </c>
      <c r="AJ330" s="17">
        <f t="shared" si="73"/>
        <v>0.1789055349773353</v>
      </c>
      <c r="AK330" s="14" t="e">
        <f t="shared" si="74"/>
        <v>#DIV/0!</v>
      </c>
      <c r="AL330" s="14">
        <f t="shared" si="75"/>
        <v>-1</v>
      </c>
      <c r="AO330" s="19">
        <f>+Tabla22[[#This Row],[Web + APP 2025]]+Tabla22[[#This Row],[Afiliados 2025]]+Tabla22[[#This Row],[TMK 2025]]+Tabla22[[#This Row],[WA 2025]]+Tabla22[[#This Row],[Ent. en Tienda 2025]]</f>
        <v>3148218.1034482759</v>
      </c>
      <c r="AP330" s="19">
        <f>+Tabla22[[#This Row],[Meli Drop 2025]]+Tabla22[[#This Row],[Meli Full 2025]]+Tabla22[[#This Row],[Amazon Drop 2025]]+Tabla22[[#This Row],[Amazon Full 2025]]+Tabla22[[#This Row],[TikTok 2025]]+Tabla22[[#This Row],[Shein 2025]]</f>
        <v>283150.0948275862</v>
      </c>
    </row>
    <row r="331" spans="1:42" hidden="1" x14ac:dyDescent="0.3">
      <c r="A331" s="7">
        <v>45985</v>
      </c>
      <c r="B331" s="3">
        <v>34296937</v>
      </c>
      <c r="C331" s="3">
        <f t="shared" si="81"/>
        <v>6135911.8620689651</v>
      </c>
      <c r="D331" s="4">
        <f t="shared" si="77"/>
        <v>3.6424370970147835E-2</v>
      </c>
      <c r="E331" s="3"/>
      <c r="F331" s="7">
        <v>46350</v>
      </c>
      <c r="G331" s="3">
        <f>+Tabla22[[#This Row],[Meta Digital]]+Tabla22[[#This Row],[Meta MKPlace]]</f>
        <v>8124326.9954597633</v>
      </c>
      <c r="H331" s="3">
        <f>+Tabla2[[#This Row],[Meta Digital]]</f>
        <v>6131913.9033926763</v>
      </c>
      <c r="I331" s="3">
        <f>+Tabla2[[#This Row],[Meta MKPlace]]</f>
        <v>1992413.0920670866</v>
      </c>
      <c r="J331" s="3">
        <v>4329304</v>
      </c>
      <c r="K331" s="3"/>
      <c r="L331" s="3">
        <v>41142.241379310333</v>
      </c>
      <c r="M331" s="3"/>
      <c r="N331" s="3">
        <v>88047</v>
      </c>
      <c r="O331" s="3"/>
      <c r="P331" s="3">
        <v>6720</v>
      </c>
      <c r="Q331" s="3"/>
      <c r="R331" s="3">
        <v>71904</v>
      </c>
      <c r="S331" s="3"/>
      <c r="T331" s="3">
        <v>1270753</v>
      </c>
      <c r="U331" s="3"/>
      <c r="V331" s="3">
        <v>227520</v>
      </c>
      <c r="W331" s="3"/>
      <c r="X331" s="3">
        <v>42479</v>
      </c>
      <c r="Y331" s="3"/>
      <c r="Z331" s="3">
        <v>30741</v>
      </c>
      <c r="AA331" s="3"/>
      <c r="AB331" s="3">
        <v>26526.620689655178</v>
      </c>
      <c r="AC331" s="3"/>
      <c r="AD331" s="3">
        <v>775</v>
      </c>
      <c r="AE331" s="3"/>
      <c r="AF331" s="5">
        <f t="shared" si="78"/>
        <v>0</v>
      </c>
      <c r="AG331" s="4">
        <f t="shared" si="79"/>
        <v>0</v>
      </c>
      <c r="AH331" s="5">
        <f t="shared" si="80"/>
        <v>-8124326.9954597633</v>
      </c>
      <c r="AI331" s="17">
        <f t="shared" si="72"/>
        <v>-1</v>
      </c>
      <c r="AJ331" s="17">
        <f t="shared" si="73"/>
        <v>0.14404502982535219</v>
      </c>
      <c r="AK331" s="14" t="e">
        <f t="shared" si="74"/>
        <v>#DIV/0!</v>
      </c>
      <c r="AL331" s="14">
        <f t="shared" si="75"/>
        <v>-1</v>
      </c>
      <c r="AO331" s="19">
        <f>+Tabla22[[#This Row],[Web + APP 2025]]+Tabla22[[#This Row],[Afiliados 2025]]+Tabla22[[#This Row],[TMK 2025]]+Tabla22[[#This Row],[WA 2025]]+Tabla22[[#This Row],[Ent. en Tienda 2025]]</f>
        <v>4537117.2413793104</v>
      </c>
      <c r="AP331" s="19">
        <f>+Tabla22[[#This Row],[Meli Drop 2025]]+Tabla22[[#This Row],[Meli Full 2025]]+Tabla22[[#This Row],[Amazon Drop 2025]]+Tabla22[[#This Row],[Amazon Full 2025]]+Tabla22[[#This Row],[TikTok 2025]]+Tabla22[[#This Row],[Shein 2025]]</f>
        <v>1598794.6206896552</v>
      </c>
    </row>
    <row r="332" spans="1:42" hidden="1" x14ac:dyDescent="0.3">
      <c r="A332" s="63">
        <v>45986</v>
      </c>
      <c r="B332" s="3">
        <v>41221018</v>
      </c>
      <c r="C332" s="3">
        <f t="shared" si="81"/>
        <v>5937682.7672413802</v>
      </c>
      <c r="D332" s="4">
        <f t="shared" si="77"/>
        <v>3.5247631432588383E-2</v>
      </c>
      <c r="E332" s="3"/>
      <c r="F332" s="7">
        <v>46351</v>
      </c>
      <c r="G332" s="3">
        <f>+Tabla22[[#This Row],[Meta Digital]]+Tabla22[[#This Row],[Meta MKPlace]]</f>
        <v>7861859.4074963545</v>
      </c>
      <c r="H332" s="3">
        <f>+Tabla2[[#This Row],[Meta Digital]]</f>
        <v>5933813.9681337699</v>
      </c>
      <c r="I332" s="3">
        <f>+Tabla2[[#This Row],[Meta MKPlace]]</f>
        <v>1928045.4393625846</v>
      </c>
      <c r="J332" s="3">
        <v>4166212</v>
      </c>
      <c r="K332" s="3"/>
      <c r="L332" s="3">
        <v>42426.724137931014</v>
      </c>
      <c r="M332" s="3"/>
      <c r="N332" s="3">
        <v>58241</v>
      </c>
      <c r="O332" s="3"/>
      <c r="P332" s="3">
        <v>1526</v>
      </c>
      <c r="Q332" s="3"/>
      <c r="R332" s="3">
        <v>150921</v>
      </c>
      <c r="S332" s="3"/>
      <c r="T332" s="3">
        <v>1227377</v>
      </c>
      <c r="U332" s="3"/>
      <c r="V332" s="3">
        <v>207275</v>
      </c>
      <c r="W332" s="3"/>
      <c r="X332" s="3">
        <v>45350</v>
      </c>
      <c r="Y332" s="3"/>
      <c r="Z332" s="3">
        <v>31920</v>
      </c>
      <c r="AA332" s="3"/>
      <c r="AB332" s="3">
        <v>5486.6293103448288</v>
      </c>
      <c r="AC332" s="3"/>
      <c r="AD332" s="3">
        <v>947.41379310344837</v>
      </c>
      <c r="AE332" s="3"/>
      <c r="AF332" s="5">
        <f t="shared" si="78"/>
        <v>0</v>
      </c>
      <c r="AG332" s="4">
        <f t="shared" si="79"/>
        <v>0</v>
      </c>
      <c r="AH332" s="5">
        <f t="shared" si="80"/>
        <v>-7861859.4074963545</v>
      </c>
      <c r="AI332" s="17">
        <f t="shared" si="72"/>
        <v>-1</v>
      </c>
      <c r="AJ332" s="17">
        <f t="shared" si="73"/>
        <v>0.13321215599143663</v>
      </c>
      <c r="AK332" s="14" t="e">
        <f t="shared" si="74"/>
        <v>#DIV/0!</v>
      </c>
      <c r="AL332" s="14">
        <f t="shared" si="75"/>
        <v>-1</v>
      </c>
      <c r="AO332" s="19">
        <f>+Tabla22[[#This Row],[Web + APP 2025]]+Tabla22[[#This Row],[Afiliados 2025]]+Tabla22[[#This Row],[TMK 2025]]+Tabla22[[#This Row],[WA 2025]]+Tabla22[[#This Row],[Ent. en Tienda 2025]]</f>
        <v>4419326.7241379311</v>
      </c>
      <c r="AP332" s="19">
        <f>+Tabla22[[#This Row],[Meli Drop 2025]]+Tabla22[[#This Row],[Meli Full 2025]]+Tabla22[[#This Row],[Amazon Drop 2025]]+Tabla22[[#This Row],[Amazon Full 2025]]+Tabla22[[#This Row],[TikTok 2025]]+Tabla22[[#This Row],[Shein 2025]]</f>
        <v>1518356.0431034483</v>
      </c>
    </row>
    <row r="333" spans="1:42" hidden="1" x14ac:dyDescent="0.3">
      <c r="A333" s="7">
        <v>45987</v>
      </c>
      <c r="B333" s="3">
        <v>45570391</v>
      </c>
      <c r="C333" s="3">
        <f t="shared" si="81"/>
        <v>6070530.0344827594</v>
      </c>
      <c r="D333" s="4">
        <f t="shared" si="77"/>
        <v>3.6036247412274042E-2</v>
      </c>
      <c r="E333" s="3"/>
      <c r="F333" s="7">
        <v>46352</v>
      </c>
      <c r="G333" s="3">
        <f>+Tabla22[[#This Row],[Meta Digital]]+Tabla22[[#This Row],[Meta MKPlace]]</f>
        <v>8037757.4099096861</v>
      </c>
      <c r="H333" s="3">
        <f>+Tabla2[[#This Row],[Meta Digital]]</f>
        <v>6066574.6764582954</v>
      </c>
      <c r="I333" s="3">
        <f>+Tabla2[[#This Row],[Meta MKPlace]]</f>
        <v>1971182.7334513902</v>
      </c>
      <c r="J333" s="3">
        <v>4117696</v>
      </c>
      <c r="K333" s="3"/>
      <c r="L333" s="3">
        <v>37900.862068965507</v>
      </c>
      <c r="M333" s="3"/>
      <c r="N333" s="3">
        <v>90470</v>
      </c>
      <c r="O333" s="3"/>
      <c r="P333" s="3">
        <v>6491</v>
      </c>
      <c r="Q333" s="3"/>
      <c r="R333" s="3">
        <v>216552</v>
      </c>
      <c r="S333" s="3"/>
      <c r="T333" s="3">
        <v>1254318</v>
      </c>
      <c r="U333" s="3"/>
      <c r="V333" s="3">
        <v>277281</v>
      </c>
      <c r="W333" s="3"/>
      <c r="X333" s="3">
        <v>43933</v>
      </c>
      <c r="Y333" s="3"/>
      <c r="Z333" s="3">
        <v>18743</v>
      </c>
      <c r="AA333" s="3"/>
      <c r="AB333" s="3">
        <v>6197.7586206896558</v>
      </c>
      <c r="AC333" s="3"/>
      <c r="AD333" s="3">
        <v>947.41379310344837</v>
      </c>
      <c r="AE333" s="3"/>
      <c r="AF333" s="5">
        <f t="shared" si="78"/>
        <v>0</v>
      </c>
      <c r="AG333" s="4">
        <f t="shared" si="79"/>
        <v>0</v>
      </c>
      <c r="AH333" s="5">
        <f t="shared" si="80"/>
        <v>-8037757.4099096861</v>
      </c>
      <c r="AI333" s="17">
        <f t="shared" si="72"/>
        <v>-1</v>
      </c>
      <c r="AJ333" s="17">
        <f t="shared" si="73"/>
        <v>0.10258856545620262</v>
      </c>
      <c r="AK333" s="14" t="e">
        <f t="shared" si="74"/>
        <v>#DIV/0!</v>
      </c>
      <c r="AL333" s="14">
        <f t="shared" si="75"/>
        <v>-1</v>
      </c>
      <c r="AO333" s="19">
        <f>+Tabla22[[#This Row],[Web + APP 2025]]+Tabla22[[#This Row],[Afiliados 2025]]+Tabla22[[#This Row],[TMK 2025]]+Tabla22[[#This Row],[WA 2025]]+Tabla22[[#This Row],[Ent. en Tienda 2025]]</f>
        <v>4469109.862068966</v>
      </c>
      <c r="AP333" s="19">
        <f>+Tabla22[[#This Row],[Meli Drop 2025]]+Tabla22[[#This Row],[Meli Full 2025]]+Tabla22[[#This Row],[Amazon Drop 2025]]+Tabla22[[#This Row],[Amazon Full 2025]]+Tabla22[[#This Row],[TikTok 2025]]+Tabla22[[#This Row],[Shein 2025]]</f>
        <v>1601420.1724137932</v>
      </c>
    </row>
    <row r="334" spans="1:42" hidden="1" x14ac:dyDescent="0.3">
      <c r="A334" s="63">
        <v>45988</v>
      </c>
      <c r="B334" s="3">
        <v>50030169</v>
      </c>
      <c r="C334" s="3">
        <f t="shared" si="81"/>
        <v>5132523.2672413792</v>
      </c>
      <c r="D334" s="4">
        <f t="shared" si="77"/>
        <v>3.0467994929098931E-2</v>
      </c>
      <c r="E334" s="3"/>
      <c r="F334" s="7">
        <v>46353</v>
      </c>
      <c r="G334" s="3">
        <f>+Tabla22[[#This Row],[Meta Digital]]+Tabla22[[#This Row],[Meta MKPlace]]</f>
        <v>6795778.4062455958</v>
      </c>
      <c r="H334" s="3">
        <f>+Tabla2[[#This Row],[Meta Digital]]</f>
        <v>5129179.0836238842</v>
      </c>
      <c r="I334" s="3">
        <f>+Tabla2[[#This Row],[Meta MKPlace]]</f>
        <v>1666599.3226217115</v>
      </c>
      <c r="J334" s="3">
        <v>3604392</v>
      </c>
      <c r="K334" s="3"/>
      <c r="L334" s="3">
        <v>43066.379310344812</v>
      </c>
      <c r="M334" s="3"/>
      <c r="N334" s="3">
        <v>49493</v>
      </c>
      <c r="O334" s="3"/>
      <c r="P334" s="3">
        <v>2376</v>
      </c>
      <c r="Q334" s="3"/>
      <c r="R334" s="3">
        <v>89383</v>
      </c>
      <c r="S334" s="3"/>
      <c r="T334" s="3">
        <v>885777</v>
      </c>
      <c r="U334" s="3"/>
      <c r="V334" s="3">
        <v>367182</v>
      </c>
      <c r="W334" s="3"/>
      <c r="X334" s="3">
        <v>52085</v>
      </c>
      <c r="Y334" s="3"/>
      <c r="Z334" s="3">
        <v>32521</v>
      </c>
      <c r="AA334" s="3"/>
      <c r="AB334" s="3">
        <v>7195.3017241379321</v>
      </c>
      <c r="AC334" s="3"/>
      <c r="AD334" s="3">
        <v>-947.41379310344837</v>
      </c>
      <c r="AE334" s="3"/>
      <c r="AF334" s="5">
        <f t="shared" si="78"/>
        <v>0</v>
      </c>
      <c r="AG334" s="4">
        <f t="shared" si="79"/>
        <v>0</v>
      </c>
      <c r="AH334" s="5">
        <f t="shared" si="80"/>
        <v>-6795778.4062455958</v>
      </c>
      <c r="AI334" s="17">
        <f t="shared" si="72"/>
        <v>-1</v>
      </c>
      <c r="AJ334" s="17">
        <f t="shared" si="73"/>
        <v>0.11336835928654444</v>
      </c>
      <c r="AK334" s="14" t="e">
        <f t="shared" si="74"/>
        <v>#DIV/0!</v>
      </c>
      <c r="AL334" s="14">
        <f t="shared" si="75"/>
        <v>-1</v>
      </c>
      <c r="AO334" s="19">
        <f>+Tabla22[[#This Row],[Web + APP 2025]]+Tabla22[[#This Row],[Afiliados 2025]]+Tabla22[[#This Row],[TMK 2025]]+Tabla22[[#This Row],[WA 2025]]+Tabla22[[#This Row],[Ent. en Tienda 2025]]</f>
        <v>3788710.3793103448</v>
      </c>
      <c r="AP334" s="19">
        <f>+Tabla22[[#This Row],[Meli Drop 2025]]+Tabla22[[#This Row],[Meli Full 2025]]+Tabla22[[#This Row],[Amazon Drop 2025]]+Tabla22[[#This Row],[Amazon Full 2025]]+Tabla22[[#This Row],[TikTok 2025]]+Tabla22[[#This Row],[Shein 2025]]</f>
        <v>1343812.8879310344</v>
      </c>
    </row>
    <row r="335" spans="1:42" hidden="1" x14ac:dyDescent="0.3">
      <c r="A335" s="7">
        <v>45989</v>
      </c>
      <c r="B335" s="3">
        <v>61473070</v>
      </c>
      <c r="C335" s="3">
        <f t="shared" si="81"/>
        <v>6969101.0862068962</v>
      </c>
      <c r="D335" s="4">
        <f t="shared" si="77"/>
        <v>4.1370399216729671E-2</v>
      </c>
      <c r="E335" s="3"/>
      <c r="F335" s="7">
        <v>46354</v>
      </c>
      <c r="G335" s="3">
        <f>+Tabla22[[#This Row],[Meta Digital]]+Tabla22[[#This Row],[Meta MKPlace]]</f>
        <v>9227521.085947806</v>
      </c>
      <c r="H335" s="3">
        <f>+Tabla2[[#This Row],[Meta Digital]]</f>
        <v>6964560.248792693</v>
      </c>
      <c r="I335" s="3">
        <f>+Tabla2[[#This Row],[Meta MKPlace]]</f>
        <v>2262960.837155113</v>
      </c>
      <c r="J335" s="3">
        <v>4096929</v>
      </c>
      <c r="K335" s="3"/>
      <c r="L335" s="3">
        <v>54208.620689655159</v>
      </c>
      <c r="M335" s="3"/>
      <c r="N335" s="3">
        <v>68087</v>
      </c>
      <c r="O335" s="3"/>
      <c r="P335" s="3">
        <v>4812</v>
      </c>
      <c r="Q335" s="3"/>
      <c r="R335" s="3">
        <v>144358</v>
      </c>
      <c r="S335" s="3"/>
      <c r="T335" s="3">
        <v>1726586</v>
      </c>
      <c r="U335" s="3"/>
      <c r="V335" s="3">
        <v>740810</v>
      </c>
      <c r="W335" s="3"/>
      <c r="X335" s="3">
        <v>72416</v>
      </c>
      <c r="Y335" s="3"/>
      <c r="Z335" s="3">
        <v>40806</v>
      </c>
      <c r="AA335" s="3"/>
      <c r="AB335" s="3">
        <v>18624.672413793101</v>
      </c>
      <c r="AC335" s="3"/>
      <c r="AD335" s="3">
        <v>1463.7931034482758</v>
      </c>
      <c r="AE335" s="3"/>
      <c r="AF335" s="5">
        <f t="shared" si="78"/>
        <v>0</v>
      </c>
      <c r="AG335" s="4">
        <f t="shared" si="79"/>
        <v>0</v>
      </c>
      <c r="AH335" s="5">
        <f t="shared" si="80"/>
        <v>-9227521.085947806</v>
      </c>
      <c r="AI335" s="17">
        <f t="shared" si="72"/>
        <v>-1</v>
      </c>
      <c r="AJ335" s="17">
        <f t="shared" si="73"/>
        <v>6.9067686931212319E-2</v>
      </c>
      <c r="AK335" s="14" t="e">
        <f t="shared" si="74"/>
        <v>#DIV/0!</v>
      </c>
      <c r="AL335" s="14">
        <f t="shared" si="75"/>
        <v>-1</v>
      </c>
      <c r="AO335" s="19">
        <f>+Tabla22[[#This Row],[Web + APP 2025]]+Tabla22[[#This Row],[Afiliados 2025]]+Tabla22[[#This Row],[TMK 2025]]+Tabla22[[#This Row],[WA 2025]]+Tabla22[[#This Row],[Ent. en Tienda 2025]]</f>
        <v>4368394.6206896547</v>
      </c>
      <c r="AP335" s="19">
        <f>+Tabla22[[#This Row],[Meli Drop 2025]]+Tabla22[[#This Row],[Meli Full 2025]]+Tabla22[[#This Row],[Amazon Drop 2025]]+Tabla22[[#This Row],[Amazon Full 2025]]+Tabla22[[#This Row],[TikTok 2025]]+Tabla22[[#This Row],[Shein 2025]]</f>
        <v>2600706.465517241</v>
      </c>
    </row>
    <row r="336" spans="1:42" hidden="1" x14ac:dyDescent="0.3">
      <c r="A336" s="63">
        <v>45990</v>
      </c>
      <c r="B336" s="3">
        <v>71412130</v>
      </c>
      <c r="C336" s="3">
        <f t="shared" si="81"/>
        <v>4932270.6379310349</v>
      </c>
      <c r="D336" s="4">
        <f t="shared" si="77"/>
        <v>2.9279243163800921E-2</v>
      </c>
      <c r="E336" s="3"/>
      <c r="F336" s="7">
        <v>46355</v>
      </c>
      <c r="G336" s="3">
        <f>+Tabla22[[#This Row],[Meta Digital]]+Tabla22[[#This Row],[Meta MKPlace]]</f>
        <v>6530631.5334107485</v>
      </c>
      <c r="H336" s="3">
        <f>+Tabla2[[#This Row],[Meta Digital]]</f>
        <v>4929056.9323508386</v>
      </c>
      <c r="I336" s="3">
        <f>+Tabla2[[#This Row],[Meta MKPlace]]</f>
        <v>1601574.6010599104</v>
      </c>
      <c r="J336" s="3">
        <v>2657112</v>
      </c>
      <c r="K336" s="3"/>
      <c r="L336" s="3">
        <v>46651.724137931007</v>
      </c>
      <c r="M336" s="3"/>
      <c r="N336" s="3">
        <v>33620</v>
      </c>
      <c r="O336" s="3"/>
      <c r="P336" s="3">
        <v>-301</v>
      </c>
      <c r="Q336" s="3"/>
      <c r="R336" s="3">
        <v>121072</v>
      </c>
      <c r="S336" s="3"/>
      <c r="T336" s="3">
        <v>1566964</v>
      </c>
      <c r="U336" s="3"/>
      <c r="V336" s="3">
        <v>376748</v>
      </c>
      <c r="W336" s="3"/>
      <c r="X336" s="3">
        <v>87941</v>
      </c>
      <c r="Y336" s="3"/>
      <c r="Z336" s="3">
        <v>21084</v>
      </c>
      <c r="AA336" s="3"/>
      <c r="AB336" s="3">
        <v>21378.913793103449</v>
      </c>
      <c r="AC336" s="3"/>
      <c r="AD336" s="3">
        <v>0</v>
      </c>
      <c r="AE336" s="3"/>
      <c r="AF336" s="5">
        <f t="shared" si="78"/>
        <v>0</v>
      </c>
      <c r="AG336" s="4">
        <f t="shared" si="79"/>
        <v>0</v>
      </c>
      <c r="AH336" s="5">
        <f t="shared" si="80"/>
        <v>-6530631.5334107485</v>
      </c>
      <c r="AI336" s="17">
        <f t="shared" si="72"/>
        <v>-1</v>
      </c>
      <c r="AJ336" s="17">
        <f t="shared" si="73"/>
        <v>7.0656751132996715E-2</v>
      </c>
      <c r="AK336" s="14" t="e">
        <f t="shared" si="74"/>
        <v>#DIV/0!</v>
      </c>
      <c r="AL336" s="14">
        <f t="shared" si="75"/>
        <v>-1</v>
      </c>
      <c r="AO336" s="19">
        <f>+Tabla22[[#This Row],[Web + APP 2025]]+Tabla22[[#This Row],[Afiliados 2025]]+Tabla22[[#This Row],[TMK 2025]]+Tabla22[[#This Row],[WA 2025]]+Tabla22[[#This Row],[Ent. en Tienda 2025]]</f>
        <v>2858154.7241379311</v>
      </c>
      <c r="AP336" s="19">
        <f>+Tabla22[[#This Row],[Meli Drop 2025]]+Tabla22[[#This Row],[Meli Full 2025]]+Tabla22[[#This Row],[Amazon Drop 2025]]+Tabla22[[#This Row],[Amazon Full 2025]]+Tabla22[[#This Row],[TikTok 2025]]+Tabla22[[#This Row],[Shein 2025]]</f>
        <v>2074115.9137931035</v>
      </c>
    </row>
    <row r="337" spans="1:42" hidden="1" x14ac:dyDescent="0.3">
      <c r="A337" s="7">
        <v>45991</v>
      </c>
      <c r="B337" s="3">
        <v>76776183</v>
      </c>
      <c r="C337" s="3">
        <f t="shared" si="81"/>
        <v>5424755.6551724132</v>
      </c>
      <c r="D337" s="4">
        <f t="shared" si="77"/>
        <v>3.2202762498576856E-2</v>
      </c>
      <c r="E337" s="3"/>
      <c r="F337" s="7">
        <v>46356</v>
      </c>
      <c r="G337" s="3">
        <f>+Tabla22[[#This Row],[Meta Digital]]+Tabla22[[#This Row],[Meta MKPlace]]</f>
        <v>7182712.1711995173</v>
      </c>
      <c r="H337" s="3">
        <f>+Tabla2[[#This Row],[Meta Digital]]</f>
        <v>5421221.0625273632</v>
      </c>
      <c r="I337" s="3">
        <f>+Tabla2[[#This Row],[Meta MKPlace]]</f>
        <v>1761491.1086721541</v>
      </c>
      <c r="J337" s="3">
        <v>3541686</v>
      </c>
      <c r="K337" s="3"/>
      <c r="L337" s="3">
        <v>50855.172413793087</v>
      </c>
      <c r="M337" s="3"/>
      <c r="N337" s="3">
        <v>-6179</v>
      </c>
      <c r="O337" s="3"/>
      <c r="P337" s="3">
        <v>2597</v>
      </c>
      <c r="Q337" s="3"/>
      <c r="R337" s="3">
        <v>192231</v>
      </c>
      <c r="S337" s="3"/>
      <c r="T337" s="3">
        <v>1294466</v>
      </c>
      <c r="U337" s="3"/>
      <c r="V337" s="3">
        <v>250269</v>
      </c>
      <c r="W337" s="3"/>
      <c r="X337" s="3">
        <v>68872</v>
      </c>
      <c r="Y337" s="3"/>
      <c r="Z337" s="3">
        <v>26453</v>
      </c>
      <c r="AA337" s="3"/>
      <c r="AB337" s="3">
        <v>2816.6896551724139</v>
      </c>
      <c r="AC337" s="3"/>
      <c r="AD337" s="3">
        <v>688.79310344827593</v>
      </c>
      <c r="AE337" s="3"/>
      <c r="AF337" s="5">
        <f t="shared" si="78"/>
        <v>0</v>
      </c>
      <c r="AG337" s="4">
        <f t="shared" si="79"/>
        <v>0</v>
      </c>
      <c r="AH337" s="5">
        <f t="shared" si="80"/>
        <v>-7182712.1711995173</v>
      </c>
      <c r="AI337" s="17">
        <f t="shared" ref="AI337:AI368" si="82">+AF337/C338-1</f>
        <v>-1</v>
      </c>
      <c r="AJ337" s="17">
        <f t="shared" ref="AJ337:AJ368" si="83">+C338/B338</f>
        <v>0.15851760098190079</v>
      </c>
      <c r="AK337" s="14" t="e">
        <f t="shared" ref="AK337:AK368" si="84">+AF337/E337</f>
        <v>#DIV/0!</v>
      </c>
      <c r="AL337" s="14">
        <f t="shared" ref="AL337:AL368" si="85">+E337/B338-1</f>
        <v>-1</v>
      </c>
      <c r="AO337" s="19">
        <f>+Tabla22[[#This Row],[Web + APP 2025]]+Tabla22[[#This Row],[Afiliados 2025]]+Tabla22[[#This Row],[TMK 2025]]+Tabla22[[#This Row],[WA 2025]]+Tabla22[[#This Row],[Ent. en Tienda 2025]]</f>
        <v>3781190.1724137929</v>
      </c>
      <c r="AP337" s="19">
        <f>+Tabla22[[#This Row],[Meli Drop 2025]]+Tabla22[[#This Row],[Meli Full 2025]]+Tabla22[[#This Row],[Amazon Drop 2025]]+Tabla22[[#This Row],[Amazon Full 2025]]+Tabla22[[#This Row],[TikTok 2025]]+Tabla22[[#This Row],[Shein 2025]]</f>
        <v>1643565.4827586208</v>
      </c>
    </row>
    <row r="338" spans="1:42" hidden="1" x14ac:dyDescent="0.3">
      <c r="A338" s="63">
        <v>45992</v>
      </c>
      <c r="B338" s="3">
        <v>44076818</v>
      </c>
      <c r="C338" s="3">
        <f t="shared" si="81"/>
        <v>6986951.4482758623</v>
      </c>
      <c r="D338" s="4">
        <f>+C338/(SUM($C$338:$C$368))</f>
        <v>3.718505903657026E-2</v>
      </c>
      <c r="E338" s="3"/>
      <c r="F338" s="7">
        <v>46357</v>
      </c>
      <c r="G338" s="3">
        <f>+Tabla22[[#This Row],[Meta Digital]]+Tabla22[[#This Row],[Meta MKPlace]]</f>
        <v>9113382.5833056383</v>
      </c>
      <c r="H338" s="3">
        <f>+Tabla2[[#This Row],[Meta Digital]]</f>
        <v>6250133.0374897271</v>
      </c>
      <c r="I338" s="3">
        <f>+Tabla2[[#This Row],[Meta MKPlace]]</f>
        <v>2863249.5458159102</v>
      </c>
      <c r="J338" s="3">
        <v>4957610</v>
      </c>
      <c r="K338" s="3"/>
      <c r="L338" s="3">
        <v>38026.724137931029</v>
      </c>
      <c r="M338" s="3"/>
      <c r="N338" s="3">
        <v>2176</v>
      </c>
      <c r="O338" s="3"/>
      <c r="P338" s="3">
        <v>2708</v>
      </c>
      <c r="Q338" s="3"/>
      <c r="R338" s="3">
        <v>131176</v>
      </c>
      <c r="S338" s="3"/>
      <c r="T338" s="3">
        <v>1425540</v>
      </c>
      <c r="U338" s="3"/>
      <c r="V338" s="3">
        <v>251615</v>
      </c>
      <c r="W338" s="3"/>
      <c r="X338" s="3">
        <v>71926</v>
      </c>
      <c r="Y338" s="3"/>
      <c r="Z338" s="3">
        <v>87429</v>
      </c>
      <c r="AA338" s="3"/>
      <c r="AB338" s="3">
        <v>17280.931034482761</v>
      </c>
      <c r="AC338" s="3"/>
      <c r="AD338" s="3">
        <v>1463.7931034482758</v>
      </c>
      <c r="AE338" s="3"/>
      <c r="AF338" s="5">
        <f t="shared" si="78"/>
        <v>0</v>
      </c>
      <c r="AG338" s="4">
        <f t="shared" si="79"/>
        <v>0</v>
      </c>
      <c r="AH338" s="5">
        <f t="shared" si="80"/>
        <v>-9113382.5833056383</v>
      </c>
      <c r="AI338" s="17">
        <f t="shared" si="82"/>
        <v>-1</v>
      </c>
      <c r="AJ338" s="17">
        <f t="shared" si="83"/>
        <v>0.15767581007759246</v>
      </c>
      <c r="AK338" s="14" t="e">
        <f t="shared" si="84"/>
        <v>#DIV/0!</v>
      </c>
      <c r="AL338" s="14">
        <f t="shared" si="85"/>
        <v>-1</v>
      </c>
      <c r="AO338" s="19">
        <f>+Tabla22[[#This Row],[Web + APP 2025]]+Tabla22[[#This Row],[Afiliados 2025]]+Tabla22[[#This Row],[TMK 2025]]+Tabla22[[#This Row],[WA 2025]]+Tabla22[[#This Row],[Ent. en Tienda 2025]]</f>
        <v>5131696.7241379311</v>
      </c>
      <c r="AP338" s="19">
        <f>+Tabla22[[#This Row],[Meli Drop 2025]]+Tabla22[[#This Row],[Meli Full 2025]]+Tabla22[[#This Row],[Amazon Drop 2025]]+Tabla22[[#This Row],[Amazon Full 2025]]+Tabla22[[#This Row],[TikTok 2025]]+Tabla22[[#This Row],[Shein 2025]]</f>
        <v>1855254.7241379311</v>
      </c>
    </row>
    <row r="339" spans="1:42" hidden="1" x14ac:dyDescent="0.3">
      <c r="A339" s="7">
        <v>45993</v>
      </c>
      <c r="B339" s="3">
        <v>48777721</v>
      </c>
      <c r="C339" s="3">
        <f t="shared" si="81"/>
        <v>7691066.6724137934</v>
      </c>
      <c r="D339" s="4">
        <f t="shared" ref="D339:D368" si="86">+C339/(SUM($C$338:$C$368))</f>
        <v>4.0932410992848389E-2</v>
      </c>
      <c r="E339" s="3"/>
      <c r="F339" s="7">
        <v>46358</v>
      </c>
      <c r="G339" s="3">
        <f>+Tabla22[[#This Row],[Meta Digital]]+Tabla22[[#This Row],[Meta MKPlace]]</f>
        <v>10031790.485207178</v>
      </c>
      <c r="H339" s="3">
        <f>+Tabla2[[#This Row],[Meta Digital]]</f>
        <v>6879994.8387578521</v>
      </c>
      <c r="I339" s="3">
        <f>+Tabla2[[#This Row],[Meta MKPlace]]</f>
        <v>3151795.6464493261</v>
      </c>
      <c r="J339" s="3">
        <v>5378786</v>
      </c>
      <c r="K339" s="3"/>
      <c r="L339" s="3">
        <v>44301.724137931029</v>
      </c>
      <c r="M339" s="3"/>
      <c r="N339" s="3">
        <v>199752</v>
      </c>
      <c r="O339" s="3"/>
      <c r="P339" s="3">
        <v>8853</v>
      </c>
      <c r="Q339" s="3"/>
      <c r="R339" s="3">
        <v>141161</v>
      </c>
      <c r="S339" s="3"/>
      <c r="T339" s="3">
        <v>1473812</v>
      </c>
      <c r="U339" s="3"/>
      <c r="V339" s="3">
        <v>201559</v>
      </c>
      <c r="W339" s="3"/>
      <c r="X339" s="3">
        <v>90442</v>
      </c>
      <c r="Y339" s="3"/>
      <c r="Z339" s="3">
        <v>143542</v>
      </c>
      <c r="AA339" s="3"/>
      <c r="AB339" s="3">
        <v>7307.9482758620707</v>
      </c>
      <c r="AC339" s="3"/>
      <c r="AD339" s="3">
        <v>1550</v>
      </c>
      <c r="AE339" s="3"/>
      <c r="AF339" s="5">
        <f t="shared" si="78"/>
        <v>0</v>
      </c>
      <c r="AG339" s="4">
        <f t="shared" si="79"/>
        <v>0</v>
      </c>
      <c r="AH339" s="5">
        <f t="shared" si="80"/>
        <v>-10031790.485207178</v>
      </c>
      <c r="AI339" s="17">
        <f t="shared" si="82"/>
        <v>-1</v>
      </c>
      <c r="AJ339" s="17">
        <f t="shared" si="83"/>
        <v>0.12371209374293493</v>
      </c>
      <c r="AK339" s="14" t="e">
        <f t="shared" si="84"/>
        <v>#DIV/0!</v>
      </c>
      <c r="AL339" s="14">
        <f t="shared" si="85"/>
        <v>-1</v>
      </c>
      <c r="AO339" s="19">
        <f>+Tabla22[[#This Row],[Web + APP 2025]]+Tabla22[[#This Row],[Afiliados 2025]]+Tabla22[[#This Row],[TMK 2025]]+Tabla22[[#This Row],[WA 2025]]+Tabla22[[#This Row],[Ent. en Tienda 2025]]</f>
        <v>5772853.7241379311</v>
      </c>
      <c r="AP339" s="19">
        <f>+Tabla22[[#This Row],[Meli Drop 2025]]+Tabla22[[#This Row],[Meli Full 2025]]+Tabla22[[#This Row],[Amazon Drop 2025]]+Tabla22[[#This Row],[Amazon Full 2025]]+Tabla22[[#This Row],[TikTok 2025]]+Tabla22[[#This Row],[Shein 2025]]</f>
        <v>1918212.948275862</v>
      </c>
    </row>
    <row r="340" spans="1:42" hidden="1" x14ac:dyDescent="0.3">
      <c r="A340" s="63">
        <v>45994</v>
      </c>
      <c r="B340" s="3">
        <v>53214752</v>
      </c>
      <c r="C340" s="3">
        <f t="shared" si="81"/>
        <v>6583308.387931034</v>
      </c>
      <c r="D340" s="4">
        <f t="shared" si="86"/>
        <v>3.5036841585835268E-2</v>
      </c>
      <c r="E340" s="3"/>
      <c r="F340" s="7">
        <v>46359</v>
      </c>
      <c r="G340" s="3">
        <f>+Tabla22[[#This Row],[Meta Digital]]+Tabla22[[#This Row],[Meta MKPlace]]</f>
        <v>8586893.5038765129</v>
      </c>
      <c r="H340" s="3">
        <f>+Tabla2[[#This Row],[Meta Digital]]</f>
        <v>5889056.7017671978</v>
      </c>
      <c r="I340" s="3">
        <f>+Tabla2[[#This Row],[Meta MKPlace]]</f>
        <v>2697836.8021093155</v>
      </c>
      <c r="J340" s="3">
        <v>4538987</v>
      </c>
      <c r="K340" s="3"/>
      <c r="L340" s="3">
        <v>41768.103448275855</v>
      </c>
      <c r="M340" s="3"/>
      <c r="N340" s="3">
        <v>-1295</v>
      </c>
      <c r="O340" s="3"/>
      <c r="P340" s="3">
        <v>7445</v>
      </c>
      <c r="Q340" s="3"/>
      <c r="R340" s="3">
        <v>198198</v>
      </c>
      <c r="S340" s="3"/>
      <c r="T340" s="3">
        <v>1463021</v>
      </c>
      <c r="U340" s="3"/>
      <c r="V340" s="3">
        <v>179885</v>
      </c>
      <c r="W340" s="3"/>
      <c r="X340" s="3">
        <v>54687</v>
      </c>
      <c r="Y340" s="3"/>
      <c r="Z340" s="3">
        <v>79303</v>
      </c>
      <c r="AA340" s="3"/>
      <c r="AB340" s="3">
        <v>19759.284482758623</v>
      </c>
      <c r="AC340" s="3"/>
      <c r="AD340" s="3">
        <v>1550</v>
      </c>
      <c r="AE340" s="3"/>
      <c r="AF340" s="5">
        <f t="shared" si="78"/>
        <v>0</v>
      </c>
      <c r="AG340" s="4">
        <f t="shared" si="79"/>
        <v>0</v>
      </c>
      <c r="AH340" s="5">
        <f t="shared" si="80"/>
        <v>-8586893.5038765129</v>
      </c>
      <c r="AI340" s="17">
        <f t="shared" si="82"/>
        <v>-1</v>
      </c>
      <c r="AJ340" s="17">
        <f t="shared" si="83"/>
        <v>0.110556972094325</v>
      </c>
      <c r="AK340" s="14" t="e">
        <f t="shared" si="84"/>
        <v>#DIV/0!</v>
      </c>
      <c r="AL340" s="14">
        <f t="shared" si="85"/>
        <v>-1</v>
      </c>
      <c r="AO340" s="19">
        <f>+Tabla22[[#This Row],[Web + APP 2025]]+Tabla22[[#This Row],[Afiliados 2025]]+Tabla22[[#This Row],[TMK 2025]]+Tabla22[[#This Row],[WA 2025]]+Tabla22[[#This Row],[Ent. en Tienda 2025]]</f>
        <v>4785103.1034482755</v>
      </c>
      <c r="AP340" s="19">
        <f>+Tabla22[[#This Row],[Meli Drop 2025]]+Tabla22[[#This Row],[Meli Full 2025]]+Tabla22[[#This Row],[Amazon Drop 2025]]+Tabla22[[#This Row],[Amazon Full 2025]]+Tabla22[[#This Row],[TikTok 2025]]+Tabla22[[#This Row],[Shein 2025]]</f>
        <v>1798205.2844827587</v>
      </c>
    </row>
    <row r="341" spans="1:42" hidden="1" x14ac:dyDescent="0.3">
      <c r="A341" s="7">
        <v>45995</v>
      </c>
      <c r="B341" s="3">
        <v>60436653</v>
      </c>
      <c r="C341" s="3">
        <f t="shared" si="81"/>
        <v>6681693.3591954028</v>
      </c>
      <c r="D341" s="4">
        <f t="shared" si="86"/>
        <v>3.5560453491808884E-2</v>
      </c>
      <c r="E341" s="3"/>
      <c r="F341" s="7">
        <v>46360</v>
      </c>
      <c r="G341" s="3">
        <f>+Tabla22[[#This Row],[Meta Digital]]+Tabla22[[#This Row],[Meta MKPlace]]</f>
        <v>8715221.2717474326</v>
      </c>
      <c r="H341" s="3">
        <f>+Tabla2[[#This Row],[Meta Digital]]</f>
        <v>5977066.3528781487</v>
      </c>
      <c r="I341" s="3">
        <f>+Tabla2[[#This Row],[Meta MKPlace]]</f>
        <v>2738154.918869284</v>
      </c>
      <c r="J341" s="3">
        <v>3922857</v>
      </c>
      <c r="K341" s="3"/>
      <c r="L341" s="3">
        <v>43610.057471264357</v>
      </c>
      <c r="M341" s="3"/>
      <c r="N341" s="3">
        <v>173906</v>
      </c>
      <c r="O341" s="3"/>
      <c r="P341" s="3">
        <v>5606</v>
      </c>
      <c r="Q341" s="3"/>
      <c r="R341" s="3">
        <v>210399</v>
      </c>
      <c r="S341" s="3"/>
      <c r="T341" s="3">
        <v>1926958</v>
      </c>
      <c r="U341" s="3"/>
      <c r="V341" s="3">
        <v>174968</v>
      </c>
      <c r="W341" s="3"/>
      <c r="X341" s="3">
        <v>92776</v>
      </c>
      <c r="Y341" s="3"/>
      <c r="Z341" s="3">
        <v>116168</v>
      </c>
      <c r="AA341" s="3"/>
      <c r="AB341" s="3">
        <v>13497.887931034484</v>
      </c>
      <c r="AC341" s="3"/>
      <c r="AD341" s="3">
        <v>947.41379310344837</v>
      </c>
      <c r="AE341" s="3"/>
      <c r="AF341" s="5">
        <f t="shared" si="78"/>
        <v>0</v>
      </c>
      <c r="AG341" s="4">
        <f t="shared" si="79"/>
        <v>0</v>
      </c>
      <c r="AH341" s="5">
        <f t="shared" si="80"/>
        <v>-8715221.2717474326</v>
      </c>
      <c r="AI341" s="17">
        <f t="shared" si="82"/>
        <v>-1</v>
      </c>
      <c r="AJ341" s="17">
        <f t="shared" si="83"/>
        <v>9.1394059989951412E-2</v>
      </c>
      <c r="AK341" s="14" t="e">
        <f t="shared" si="84"/>
        <v>#DIV/0!</v>
      </c>
      <c r="AL341" s="14">
        <f t="shared" si="85"/>
        <v>-1</v>
      </c>
      <c r="AO341" s="19">
        <f>+Tabla22[[#This Row],[Web + APP 2025]]+Tabla22[[#This Row],[Afiliados 2025]]+Tabla22[[#This Row],[TMK 2025]]+Tabla22[[#This Row],[WA 2025]]+Tabla22[[#This Row],[Ent. en Tienda 2025]]</f>
        <v>4356378.0574712642</v>
      </c>
      <c r="AP341" s="19">
        <f>+Tabla22[[#This Row],[Meli Drop 2025]]+Tabla22[[#This Row],[Meli Full 2025]]+Tabla22[[#This Row],[Amazon Drop 2025]]+Tabla22[[#This Row],[Amazon Full 2025]]+Tabla22[[#This Row],[TikTok 2025]]+Tabla22[[#This Row],[Shein 2025]]</f>
        <v>2325315.3017241377</v>
      </c>
    </row>
    <row r="342" spans="1:42" hidden="1" x14ac:dyDescent="0.3">
      <c r="A342" s="63">
        <v>45996</v>
      </c>
      <c r="B342" s="3">
        <v>60693345</v>
      </c>
      <c r="C342" s="3">
        <f t="shared" si="81"/>
        <v>5547011.2139208177</v>
      </c>
      <c r="D342" s="4">
        <f t="shared" si="86"/>
        <v>2.95215933577243E-2</v>
      </c>
      <c r="E342" s="3"/>
      <c r="F342" s="7">
        <v>46361</v>
      </c>
      <c r="G342" s="3">
        <f>+Tabla22[[#This Row],[Meta Digital]]+Tabla22[[#This Row],[Meta MKPlace]]</f>
        <v>7235206.3357791808</v>
      </c>
      <c r="H342" s="3">
        <f>+Tabla2[[#This Row],[Meta Digital]]</f>
        <v>4962043.64723441</v>
      </c>
      <c r="I342" s="3">
        <f>+Tabla2[[#This Row],[Meta MKPlace]]</f>
        <v>2273162.6885447712</v>
      </c>
      <c r="J342" s="3">
        <v>3411915</v>
      </c>
      <c r="K342" s="3"/>
      <c r="L342" s="3">
        <v>50703.575989782868</v>
      </c>
      <c r="M342" s="3"/>
      <c r="N342" s="3">
        <v>-24113</v>
      </c>
      <c r="O342" s="3"/>
      <c r="P342" s="3">
        <v>-438</v>
      </c>
      <c r="Q342" s="3"/>
      <c r="R342" s="3">
        <v>159911</v>
      </c>
      <c r="S342" s="3"/>
      <c r="T342" s="3">
        <v>1631283</v>
      </c>
      <c r="U342" s="3"/>
      <c r="V342" s="3">
        <v>157380</v>
      </c>
      <c r="W342" s="3"/>
      <c r="X342" s="3">
        <v>62080</v>
      </c>
      <c r="Y342" s="3"/>
      <c r="Z342" s="3">
        <v>82359</v>
      </c>
      <c r="AA342" s="3"/>
      <c r="AB342" s="3">
        <v>14983.224137931036</v>
      </c>
      <c r="AC342" s="3"/>
      <c r="AD342" s="3">
        <v>947.41379310344837</v>
      </c>
      <c r="AE342" s="3"/>
      <c r="AF342" s="5">
        <f t="shared" si="78"/>
        <v>0</v>
      </c>
      <c r="AG342" s="4">
        <f t="shared" si="79"/>
        <v>0</v>
      </c>
      <c r="AH342" s="5">
        <f t="shared" si="80"/>
        <v>-7235206.3357791808</v>
      </c>
      <c r="AI342" s="17">
        <f t="shared" si="82"/>
        <v>-1</v>
      </c>
      <c r="AJ342" s="17">
        <f t="shared" si="83"/>
        <v>6.5983539802911148E-2</v>
      </c>
      <c r="AK342" s="14" t="e">
        <f t="shared" si="84"/>
        <v>#DIV/0!</v>
      </c>
      <c r="AL342" s="14">
        <f t="shared" si="85"/>
        <v>-1</v>
      </c>
      <c r="AO342" s="19">
        <f>+Tabla22[[#This Row],[Web + APP 2025]]+Tabla22[[#This Row],[Afiliados 2025]]+Tabla22[[#This Row],[TMK 2025]]+Tabla22[[#This Row],[WA 2025]]+Tabla22[[#This Row],[Ent. en Tienda 2025]]</f>
        <v>3597978.5759897828</v>
      </c>
      <c r="AP342" s="19">
        <f>+Tabla22[[#This Row],[Meli Drop 2025]]+Tabla22[[#This Row],[Meli Full 2025]]+Tabla22[[#This Row],[Amazon Drop 2025]]+Tabla22[[#This Row],[Amazon Full 2025]]+Tabla22[[#This Row],[TikTok 2025]]+Tabla22[[#This Row],[Shein 2025]]</f>
        <v>1949032.6379310347</v>
      </c>
    </row>
    <row r="343" spans="1:42" hidden="1" x14ac:dyDescent="0.3">
      <c r="A343" s="7">
        <v>45997</v>
      </c>
      <c r="B343" s="3">
        <v>79744108</v>
      </c>
      <c r="C343" s="3">
        <f t="shared" si="81"/>
        <v>5261798.5242656451</v>
      </c>
      <c r="D343" s="4">
        <f t="shared" si="86"/>
        <v>2.800367087302982E-2</v>
      </c>
      <c r="E343" s="3"/>
      <c r="F343" s="7">
        <v>46362</v>
      </c>
      <c r="G343" s="3">
        <f>+Tabla22[[#This Row],[Meta Digital]]+Tabla22[[#This Row],[Meta MKPlace]]</f>
        <v>6863191.1045752186</v>
      </c>
      <c r="H343" s="3">
        <f>+Tabla2[[#This Row],[Meta Digital]]</f>
        <v>4706908.4473519223</v>
      </c>
      <c r="I343" s="3">
        <f>+Tabla2[[#This Row],[Meta MKPlace]]</f>
        <v>2156282.6572232964</v>
      </c>
      <c r="J343" s="3">
        <v>3024346</v>
      </c>
      <c r="K343" s="3"/>
      <c r="L343" s="3">
        <v>56625.127713920796</v>
      </c>
      <c r="M343" s="3"/>
      <c r="N343" s="3">
        <v>72012</v>
      </c>
      <c r="O343" s="3"/>
      <c r="P343" s="3">
        <v>2160</v>
      </c>
      <c r="Q343" s="3"/>
      <c r="R343" s="3">
        <v>96469</v>
      </c>
      <c r="S343" s="3"/>
      <c r="T343" s="3">
        <v>1700937</v>
      </c>
      <c r="U343" s="3"/>
      <c r="V343" s="3">
        <v>135278</v>
      </c>
      <c r="W343" s="3"/>
      <c r="X343" s="3">
        <v>74970</v>
      </c>
      <c r="Y343" s="3"/>
      <c r="Z343" s="3">
        <v>95661</v>
      </c>
      <c r="AA343" s="3"/>
      <c r="AB343" s="3">
        <v>3340.3965517241381</v>
      </c>
      <c r="AC343" s="3"/>
      <c r="AD343" s="3">
        <v>0</v>
      </c>
      <c r="AE343" s="3"/>
      <c r="AF343" s="5">
        <f t="shared" si="78"/>
        <v>0</v>
      </c>
      <c r="AG343" s="4">
        <f t="shared" si="79"/>
        <v>0</v>
      </c>
      <c r="AH343" s="5">
        <f t="shared" si="80"/>
        <v>-6863191.1045752186</v>
      </c>
      <c r="AI343" s="17">
        <f t="shared" si="82"/>
        <v>-1</v>
      </c>
      <c r="AJ343" s="17">
        <f t="shared" si="83"/>
        <v>7.0008407482111942E-2</v>
      </c>
      <c r="AK343" s="14" t="e">
        <f t="shared" si="84"/>
        <v>#DIV/0!</v>
      </c>
      <c r="AL343" s="14">
        <f t="shared" si="85"/>
        <v>-1</v>
      </c>
      <c r="AO343" s="19">
        <f>+Tabla22[[#This Row],[Web + APP 2025]]+Tabla22[[#This Row],[Afiliados 2025]]+Tabla22[[#This Row],[TMK 2025]]+Tabla22[[#This Row],[WA 2025]]+Tabla22[[#This Row],[Ent. en Tienda 2025]]</f>
        <v>3251612.127713921</v>
      </c>
      <c r="AP343" s="19">
        <f>+Tabla22[[#This Row],[Meli Drop 2025]]+Tabla22[[#This Row],[Meli Full 2025]]+Tabla22[[#This Row],[Amazon Drop 2025]]+Tabla22[[#This Row],[Amazon Full 2025]]+Tabla22[[#This Row],[TikTok 2025]]+Tabla22[[#This Row],[Shein 2025]]</f>
        <v>2010186.3965517241</v>
      </c>
    </row>
    <row r="344" spans="1:42" hidden="1" x14ac:dyDescent="0.3">
      <c r="A344" s="63">
        <v>45998</v>
      </c>
      <c r="B344" s="3">
        <v>90362378</v>
      </c>
      <c r="C344" s="3">
        <f t="shared" si="81"/>
        <v>6326126.180076628</v>
      </c>
      <c r="D344" s="4">
        <f t="shared" si="86"/>
        <v>3.3668099344956882E-2</v>
      </c>
      <c r="E344" s="3"/>
      <c r="F344" s="7">
        <v>46363</v>
      </c>
      <c r="G344" s="3">
        <f>+Tabla22[[#This Row],[Meta Digital]]+Tabla22[[#This Row],[Meta MKPlace]]</f>
        <v>8251439.6408938523</v>
      </c>
      <c r="H344" s="3">
        <f>+Tabla2[[#This Row],[Meta Digital]]</f>
        <v>5658995.9913321724</v>
      </c>
      <c r="I344" s="3">
        <f>+Tabla2[[#This Row],[Meta MKPlace]]</f>
        <v>2592443.6495616799</v>
      </c>
      <c r="J344" s="3">
        <v>3620613</v>
      </c>
      <c r="K344" s="3"/>
      <c r="L344" s="3">
        <v>54843.007662835225</v>
      </c>
      <c r="M344" s="3"/>
      <c r="N344" s="3">
        <v>85835</v>
      </c>
      <c r="O344" s="3"/>
      <c r="P344" s="3">
        <v>2936</v>
      </c>
      <c r="Q344" s="3"/>
      <c r="R344" s="3">
        <v>185798</v>
      </c>
      <c r="S344" s="3"/>
      <c r="T344" s="3">
        <v>1934319</v>
      </c>
      <c r="U344" s="3"/>
      <c r="V344" s="3">
        <v>233864</v>
      </c>
      <c r="W344" s="3"/>
      <c r="X344" s="3">
        <v>92460</v>
      </c>
      <c r="Y344" s="3"/>
      <c r="Z344" s="3">
        <v>115028</v>
      </c>
      <c r="AA344" s="3"/>
      <c r="AB344" s="3">
        <v>430.17241379310349</v>
      </c>
      <c r="AC344" s="3"/>
      <c r="AD344" s="3">
        <v>0</v>
      </c>
      <c r="AE344" s="3"/>
      <c r="AF344" s="5">
        <f t="shared" si="78"/>
        <v>0</v>
      </c>
      <c r="AG344" s="4">
        <f t="shared" si="79"/>
        <v>0</v>
      </c>
      <c r="AH344" s="5">
        <f t="shared" si="80"/>
        <v>-8251439.6408938523</v>
      </c>
      <c r="AI344" s="17">
        <f t="shared" si="82"/>
        <v>-1</v>
      </c>
      <c r="AJ344" s="17">
        <f t="shared" si="83"/>
        <v>0.1637269582896744</v>
      </c>
      <c r="AK344" s="14" t="e">
        <f t="shared" si="84"/>
        <v>#DIV/0!</v>
      </c>
      <c r="AL344" s="14">
        <f t="shared" si="85"/>
        <v>-1</v>
      </c>
      <c r="AO344" s="19">
        <f>+Tabla22[[#This Row],[Web + APP 2025]]+Tabla22[[#This Row],[Afiliados 2025]]+Tabla22[[#This Row],[TMK 2025]]+Tabla22[[#This Row],[WA 2025]]+Tabla22[[#This Row],[Ent. en Tienda 2025]]</f>
        <v>3950025.0076628351</v>
      </c>
      <c r="AP344" s="19">
        <f>+Tabla22[[#This Row],[Meli Drop 2025]]+Tabla22[[#This Row],[Meli Full 2025]]+Tabla22[[#This Row],[Amazon Drop 2025]]+Tabla22[[#This Row],[Amazon Full 2025]]+Tabla22[[#This Row],[TikTok 2025]]+Tabla22[[#This Row],[Shein 2025]]</f>
        <v>2376101.1724137929</v>
      </c>
    </row>
    <row r="345" spans="1:42" hidden="1" x14ac:dyDescent="0.3">
      <c r="A345" s="7">
        <v>45999</v>
      </c>
      <c r="B345" s="3">
        <v>51770672</v>
      </c>
      <c r="C345" s="3">
        <f t="shared" si="81"/>
        <v>8476254.6551724151</v>
      </c>
      <c r="D345" s="4">
        <f t="shared" si="86"/>
        <v>4.5111238012018495E-2</v>
      </c>
      <c r="E345" s="3"/>
      <c r="F345" s="7">
        <v>46364</v>
      </c>
      <c r="G345" s="3">
        <f>+Tabla22[[#This Row],[Meta Digital]]+Tabla22[[#This Row],[Meta MKPlace]]</f>
        <v>11055945.088207761</v>
      </c>
      <c r="H345" s="3">
        <f>+Tabla2[[#This Row],[Meta Digital]]</f>
        <v>7582379.7612823369</v>
      </c>
      <c r="I345" s="3">
        <f>+Tabla2[[#This Row],[Meta MKPlace]]</f>
        <v>3473565.3269254239</v>
      </c>
      <c r="J345" s="3">
        <v>5946618</v>
      </c>
      <c r="K345" s="3"/>
      <c r="L345" s="3">
        <v>48381.896551724116</v>
      </c>
      <c r="M345" s="3"/>
      <c r="N345" s="3">
        <v>16084</v>
      </c>
      <c r="O345" s="3"/>
      <c r="P345" s="3">
        <v>8369</v>
      </c>
      <c r="Q345" s="3"/>
      <c r="R345" s="3">
        <v>168071</v>
      </c>
      <c r="S345" s="3"/>
      <c r="T345" s="3">
        <v>1704520</v>
      </c>
      <c r="U345" s="3"/>
      <c r="V345" s="3">
        <v>319874</v>
      </c>
      <c r="W345" s="3"/>
      <c r="X345" s="3">
        <v>110203</v>
      </c>
      <c r="Y345" s="3"/>
      <c r="Z345" s="3">
        <v>125518</v>
      </c>
      <c r="AA345" s="3"/>
      <c r="AB345" s="3">
        <v>27668.344827586217</v>
      </c>
      <c r="AC345" s="3"/>
      <c r="AD345" s="3">
        <v>947.41379310344837</v>
      </c>
      <c r="AE345" s="3"/>
      <c r="AF345" s="5">
        <f t="shared" si="78"/>
        <v>0</v>
      </c>
      <c r="AG345" s="4">
        <f t="shared" si="79"/>
        <v>0</v>
      </c>
      <c r="AH345" s="5">
        <f t="shared" si="80"/>
        <v>-11055945.088207761</v>
      </c>
      <c r="AI345" s="17">
        <f t="shared" si="82"/>
        <v>-1</v>
      </c>
      <c r="AJ345" s="17">
        <f t="shared" si="83"/>
        <v>0.14667852484588231</v>
      </c>
      <c r="AK345" s="14" t="e">
        <f t="shared" si="84"/>
        <v>#DIV/0!</v>
      </c>
      <c r="AL345" s="14">
        <f t="shared" si="85"/>
        <v>-1</v>
      </c>
      <c r="AO345" s="19">
        <f>+Tabla22[[#This Row],[Web + APP 2025]]+Tabla22[[#This Row],[Afiliados 2025]]+Tabla22[[#This Row],[TMK 2025]]+Tabla22[[#This Row],[WA 2025]]+Tabla22[[#This Row],[Ent. en Tienda 2025]]</f>
        <v>6187523.8965517245</v>
      </c>
      <c r="AP345" s="19">
        <f>+Tabla22[[#This Row],[Meli Drop 2025]]+Tabla22[[#This Row],[Meli Full 2025]]+Tabla22[[#This Row],[Amazon Drop 2025]]+Tabla22[[#This Row],[Amazon Full 2025]]+Tabla22[[#This Row],[TikTok 2025]]+Tabla22[[#This Row],[Shein 2025]]</f>
        <v>2288730.7586206896</v>
      </c>
    </row>
    <row r="346" spans="1:42" hidden="1" x14ac:dyDescent="0.3">
      <c r="A346" s="63">
        <v>46000</v>
      </c>
      <c r="B346" s="3">
        <v>58970219</v>
      </c>
      <c r="C346" s="3">
        <f t="shared" si="81"/>
        <v>8649664.7327586208</v>
      </c>
      <c r="D346" s="4">
        <f t="shared" si="86"/>
        <v>4.6034138939599796E-2</v>
      </c>
      <c r="E346" s="3"/>
      <c r="F346" s="7">
        <v>46365</v>
      </c>
      <c r="G346" s="3">
        <f>+Tabla22[[#This Row],[Meta Digital]]+Tabla22[[#This Row],[Meta MKPlace]]</f>
        <v>11282131.343049103</v>
      </c>
      <c r="H346" s="3">
        <f>+Tabla2[[#This Row],[Meta Digital]]</f>
        <v>7737502.644699919</v>
      </c>
      <c r="I346" s="3">
        <f>+Tabla2[[#This Row],[Meta MKPlace]]</f>
        <v>3544628.6983491844</v>
      </c>
      <c r="J346" s="3">
        <v>6085695</v>
      </c>
      <c r="K346" s="3"/>
      <c r="L346" s="3">
        <v>46312.931034482739</v>
      </c>
      <c r="M346" s="3"/>
      <c r="N346" s="3">
        <v>50291</v>
      </c>
      <c r="O346" s="3"/>
      <c r="P346" s="3">
        <v>6649</v>
      </c>
      <c r="Q346" s="3"/>
      <c r="R346" s="3">
        <v>148217</v>
      </c>
      <c r="S346" s="3"/>
      <c r="T346" s="3">
        <v>1686373</v>
      </c>
      <c r="U346" s="3"/>
      <c r="V346" s="3">
        <v>385223</v>
      </c>
      <c r="W346" s="3"/>
      <c r="X346" s="3">
        <v>96804</v>
      </c>
      <c r="Y346" s="3"/>
      <c r="Z346" s="3">
        <v>119084</v>
      </c>
      <c r="AA346" s="3"/>
      <c r="AB346" s="3">
        <v>25015.801724137931</v>
      </c>
      <c r="AC346" s="3"/>
      <c r="AD346" s="3">
        <v>0</v>
      </c>
      <c r="AE346" s="3"/>
      <c r="AF346" s="5">
        <f t="shared" si="78"/>
        <v>0</v>
      </c>
      <c r="AG346" s="4">
        <f t="shared" si="79"/>
        <v>0</v>
      </c>
      <c r="AH346" s="5">
        <f t="shared" si="80"/>
        <v>-11282131.343049103</v>
      </c>
      <c r="AI346" s="17">
        <f t="shared" si="82"/>
        <v>-1</v>
      </c>
      <c r="AJ346" s="17">
        <f t="shared" si="83"/>
        <v>0.12209324380542291</v>
      </c>
      <c r="AK346" s="14" t="e">
        <f t="shared" si="84"/>
        <v>#DIV/0!</v>
      </c>
      <c r="AL346" s="14">
        <f t="shared" si="85"/>
        <v>-1</v>
      </c>
      <c r="AO346" s="19">
        <f>+Tabla22[[#This Row],[Web + APP 2025]]+Tabla22[[#This Row],[Afiliados 2025]]+Tabla22[[#This Row],[TMK 2025]]+Tabla22[[#This Row],[WA 2025]]+Tabla22[[#This Row],[Ent. en Tienda 2025]]</f>
        <v>6337164.931034483</v>
      </c>
      <c r="AP346" s="19">
        <f>+Tabla22[[#This Row],[Meli Drop 2025]]+Tabla22[[#This Row],[Meli Full 2025]]+Tabla22[[#This Row],[Amazon Drop 2025]]+Tabla22[[#This Row],[Amazon Full 2025]]+Tabla22[[#This Row],[TikTok 2025]]+Tabla22[[#This Row],[Shein 2025]]</f>
        <v>2312499.8017241377</v>
      </c>
    </row>
    <row r="347" spans="1:42" hidden="1" x14ac:dyDescent="0.3">
      <c r="A347" s="7">
        <v>46001</v>
      </c>
      <c r="B347" s="3">
        <v>66302976</v>
      </c>
      <c r="C347" s="3">
        <f t="shared" si="81"/>
        <v>8095145.4137931038</v>
      </c>
      <c r="D347" s="4">
        <f t="shared" si="86"/>
        <v>4.3082947169440902E-2</v>
      </c>
      <c r="E347" s="3"/>
      <c r="F347" s="7">
        <v>46366</v>
      </c>
      <c r="G347" s="3">
        <f>+Tabla22[[#This Row],[Meta Digital]]+Tabla22[[#This Row],[Meta MKPlace]]</f>
        <v>10558847.842229316</v>
      </c>
      <c r="H347" s="3">
        <f>+Tabla2[[#This Row],[Meta Digital]]</f>
        <v>7241460.9101823671</v>
      </c>
      <c r="I347" s="3">
        <f>+Tabla2[[#This Row],[Meta MKPlace]]</f>
        <v>3317386.9320469494</v>
      </c>
      <c r="J347" s="3">
        <v>5484191</v>
      </c>
      <c r="K347" s="3"/>
      <c r="L347" s="3">
        <v>52041.379310344812</v>
      </c>
      <c r="M347" s="3"/>
      <c r="N347" s="3">
        <v>112954</v>
      </c>
      <c r="O347" s="3"/>
      <c r="P347" s="3">
        <v>4560</v>
      </c>
      <c r="Q347" s="3"/>
      <c r="R347" s="3">
        <v>107965</v>
      </c>
      <c r="S347" s="3"/>
      <c r="T347" s="3">
        <v>1680477</v>
      </c>
      <c r="U347" s="3"/>
      <c r="V347" s="3">
        <v>410059</v>
      </c>
      <c r="W347" s="3"/>
      <c r="X347" s="3">
        <v>100505</v>
      </c>
      <c r="Y347" s="3"/>
      <c r="Z347" s="3">
        <v>119493</v>
      </c>
      <c r="AA347" s="3"/>
      <c r="AB347" s="3">
        <v>22211.241379310348</v>
      </c>
      <c r="AC347" s="3"/>
      <c r="AD347" s="3">
        <v>688.79310344827593</v>
      </c>
      <c r="AE347" s="3"/>
      <c r="AF347" s="5">
        <f t="shared" si="78"/>
        <v>0</v>
      </c>
      <c r="AG347" s="4">
        <f t="shared" si="79"/>
        <v>0</v>
      </c>
      <c r="AH347" s="5">
        <f t="shared" si="80"/>
        <v>-10558847.842229316</v>
      </c>
      <c r="AI347" s="17">
        <f t="shared" si="82"/>
        <v>-1</v>
      </c>
      <c r="AJ347" s="17">
        <f t="shared" si="83"/>
        <v>0.12828590531200632</v>
      </c>
      <c r="AK347" s="14" t="e">
        <f t="shared" si="84"/>
        <v>#DIV/0!</v>
      </c>
      <c r="AL347" s="14">
        <f t="shared" si="85"/>
        <v>-1</v>
      </c>
      <c r="AO347" s="19">
        <f>+Tabla22[[#This Row],[Web + APP 2025]]+Tabla22[[#This Row],[Afiliados 2025]]+Tabla22[[#This Row],[TMK 2025]]+Tabla22[[#This Row],[WA 2025]]+Tabla22[[#This Row],[Ent. en Tienda 2025]]</f>
        <v>5761711.3793103453</v>
      </c>
      <c r="AP347" s="19">
        <f>+Tabla22[[#This Row],[Meli Drop 2025]]+Tabla22[[#This Row],[Meli Full 2025]]+Tabla22[[#This Row],[Amazon Drop 2025]]+Tabla22[[#This Row],[Amazon Full 2025]]+Tabla22[[#This Row],[TikTok 2025]]+Tabla22[[#This Row],[Shein 2025]]</f>
        <v>2333434.0344827585</v>
      </c>
    </row>
    <row r="348" spans="1:42" hidden="1" x14ac:dyDescent="0.3">
      <c r="A348" s="63">
        <v>46002</v>
      </c>
      <c r="B348" s="3">
        <v>68556369</v>
      </c>
      <c r="C348" s="3">
        <f t="shared" si="81"/>
        <v>8794815.8620689642</v>
      </c>
      <c r="D348" s="4">
        <f t="shared" si="86"/>
        <v>4.6806643708322909E-2</v>
      </c>
      <c r="E348" s="3"/>
      <c r="F348" s="7">
        <v>46367</v>
      </c>
      <c r="G348" s="3">
        <f>+Tabla22[[#This Row],[Meta Digital]]+Tabla22[[#This Row],[Meta MKPlace]]</f>
        <v>11471458.230976807</v>
      </c>
      <c r="H348" s="3">
        <f>+Tabla2[[#This Row],[Meta Digital]]</f>
        <v>7867346.6654359428</v>
      </c>
      <c r="I348" s="3">
        <f>+Tabla2[[#This Row],[Meta MKPlace]]</f>
        <v>3604111.5655408641</v>
      </c>
      <c r="J348" s="3">
        <v>6211860</v>
      </c>
      <c r="K348" s="3"/>
      <c r="L348" s="3">
        <v>49136.206896551703</v>
      </c>
      <c r="M348" s="3"/>
      <c r="N348" s="3">
        <v>53115</v>
      </c>
      <c r="O348" s="3"/>
      <c r="P348" s="3">
        <v>4450</v>
      </c>
      <c r="Q348" s="3"/>
      <c r="R348" s="3">
        <v>207485</v>
      </c>
      <c r="S348" s="3"/>
      <c r="T348" s="3">
        <v>1665235</v>
      </c>
      <c r="U348" s="3"/>
      <c r="V348" s="3">
        <v>400482</v>
      </c>
      <c r="W348" s="3"/>
      <c r="X348" s="3">
        <v>84857</v>
      </c>
      <c r="Y348" s="3"/>
      <c r="Z348" s="3">
        <v>100371</v>
      </c>
      <c r="AA348" s="3"/>
      <c r="AB348" s="3">
        <v>17824.655172413793</v>
      </c>
      <c r="AC348" s="3"/>
      <c r="AD348" s="3">
        <v>0</v>
      </c>
      <c r="AE348" s="3"/>
      <c r="AF348" s="5">
        <f t="shared" si="78"/>
        <v>0</v>
      </c>
      <c r="AG348" s="4">
        <f t="shared" si="79"/>
        <v>0</v>
      </c>
      <c r="AH348" s="5">
        <f t="shared" si="80"/>
        <v>-11471458.230976807</v>
      </c>
      <c r="AI348" s="17">
        <f t="shared" si="82"/>
        <v>-1</v>
      </c>
      <c r="AJ348" s="17">
        <f t="shared" si="83"/>
        <v>8.346433843313196E-2</v>
      </c>
      <c r="AK348" s="14" t="e">
        <f t="shared" si="84"/>
        <v>#DIV/0!</v>
      </c>
      <c r="AL348" s="14">
        <f t="shared" si="85"/>
        <v>-1</v>
      </c>
      <c r="AO348" s="19">
        <f>+Tabla22[[#This Row],[Web + APP 2025]]+Tabla22[[#This Row],[Afiliados 2025]]+Tabla22[[#This Row],[TMK 2025]]+Tabla22[[#This Row],[WA 2025]]+Tabla22[[#This Row],[Ent. en Tienda 2025]]</f>
        <v>6526046.2068965519</v>
      </c>
      <c r="AP348" s="19">
        <f>+Tabla22[[#This Row],[Meli Drop 2025]]+Tabla22[[#This Row],[Meli Full 2025]]+Tabla22[[#This Row],[Amazon Drop 2025]]+Tabla22[[#This Row],[Amazon Full 2025]]+Tabla22[[#This Row],[TikTok 2025]]+Tabla22[[#This Row],[Shein 2025]]</f>
        <v>2268769.6551724137</v>
      </c>
    </row>
    <row r="349" spans="1:42" hidden="1" x14ac:dyDescent="0.3">
      <c r="A349" s="7">
        <v>46003</v>
      </c>
      <c r="B349" s="3">
        <v>77482550</v>
      </c>
      <c r="C349" s="3">
        <f t="shared" si="81"/>
        <v>6467029.7758620689</v>
      </c>
      <c r="D349" s="4">
        <f t="shared" si="86"/>
        <v>3.4417998434214128E-2</v>
      </c>
      <c r="E349" s="3"/>
      <c r="F349" s="7">
        <v>46368</v>
      </c>
      <c r="G349" s="3">
        <f>+Tabla22[[#This Row],[Meta Digital]]+Tabla22[[#This Row],[Meta MKPlace]]</f>
        <v>8435226.2873679809</v>
      </c>
      <c r="H349" s="3">
        <f>+Tabla2[[#This Row],[Meta Digital]]</f>
        <v>5785040.4079334931</v>
      </c>
      <c r="I349" s="3">
        <f>+Tabla2[[#This Row],[Meta MKPlace]]</f>
        <v>2650185.8794344878</v>
      </c>
      <c r="J349" s="3">
        <v>3784370</v>
      </c>
      <c r="K349" s="3"/>
      <c r="L349" s="3">
        <v>54965.517241379297</v>
      </c>
      <c r="M349" s="3"/>
      <c r="N349" s="3">
        <v>67282</v>
      </c>
      <c r="O349" s="3"/>
      <c r="P349" s="3">
        <v>3570</v>
      </c>
      <c r="Q349" s="3"/>
      <c r="R349" s="3">
        <v>221780</v>
      </c>
      <c r="S349" s="3"/>
      <c r="T349" s="3">
        <v>1763567</v>
      </c>
      <c r="U349" s="3"/>
      <c r="V349" s="3">
        <v>363270</v>
      </c>
      <c r="W349" s="3"/>
      <c r="X349" s="3">
        <v>90425</v>
      </c>
      <c r="Y349" s="3"/>
      <c r="Z349" s="3">
        <v>114050</v>
      </c>
      <c r="AA349" s="3"/>
      <c r="AB349" s="3">
        <v>3750.2586206896549</v>
      </c>
      <c r="AC349" s="3"/>
      <c r="AD349" s="3">
        <v>0</v>
      </c>
      <c r="AE349" s="3"/>
      <c r="AF349" s="5">
        <f t="shared" si="78"/>
        <v>0</v>
      </c>
      <c r="AG349" s="4">
        <f t="shared" si="79"/>
        <v>0</v>
      </c>
      <c r="AH349" s="5">
        <f t="shared" si="80"/>
        <v>-8435226.2873679809</v>
      </c>
      <c r="AI349" s="17">
        <f t="shared" si="82"/>
        <v>-1</v>
      </c>
      <c r="AJ349" s="17">
        <f t="shared" si="83"/>
        <v>5.5650374375691078E-2</v>
      </c>
      <c r="AK349" s="14" t="e">
        <f t="shared" si="84"/>
        <v>#DIV/0!</v>
      </c>
      <c r="AL349" s="14">
        <f t="shared" si="85"/>
        <v>-1</v>
      </c>
      <c r="AO349" s="19">
        <f>+Tabla22[[#This Row],[Web + APP 2025]]+Tabla22[[#This Row],[Afiliados 2025]]+Tabla22[[#This Row],[TMK 2025]]+Tabla22[[#This Row],[WA 2025]]+Tabla22[[#This Row],[Ent. en Tienda 2025]]</f>
        <v>4131967.5172413792</v>
      </c>
      <c r="AP349" s="19">
        <f>+Tabla22[[#This Row],[Meli Drop 2025]]+Tabla22[[#This Row],[Meli Full 2025]]+Tabla22[[#This Row],[Amazon Drop 2025]]+Tabla22[[#This Row],[Amazon Full 2025]]+Tabla22[[#This Row],[TikTok 2025]]+Tabla22[[#This Row],[Shein 2025]]</f>
        <v>2335062.2586206896</v>
      </c>
    </row>
    <row r="350" spans="1:42" hidden="1" x14ac:dyDescent="0.3">
      <c r="A350" s="63">
        <v>46004</v>
      </c>
      <c r="B350" s="3">
        <v>92327737</v>
      </c>
      <c r="C350" s="3">
        <f t="shared" si="81"/>
        <v>5138073.1293103453</v>
      </c>
      <c r="D350" s="4">
        <f t="shared" si="86"/>
        <v>2.7345195406326656E-2</v>
      </c>
      <c r="E350" s="3"/>
      <c r="F350" s="7">
        <v>46369</v>
      </c>
      <c r="G350" s="3">
        <f>+Tabla22[[#This Row],[Meta Digital]]+Tabla22[[#This Row],[Meta MKPlace]]</f>
        <v>6701810.7274757773</v>
      </c>
      <c r="H350" s="3">
        <f>+Tabla2[[#This Row],[Meta Digital]]</f>
        <v>4596230.6811886253</v>
      </c>
      <c r="I350" s="3">
        <f>+Tabla2[[#This Row],[Meta MKPlace]]</f>
        <v>2105580.0462871525</v>
      </c>
      <c r="J350" s="3">
        <v>3236267</v>
      </c>
      <c r="K350" s="3"/>
      <c r="L350" s="3">
        <v>59461.206896551696</v>
      </c>
      <c r="M350" s="3"/>
      <c r="N350" s="3">
        <v>-5517</v>
      </c>
      <c r="O350" s="3"/>
      <c r="P350" s="3">
        <v>1235</v>
      </c>
      <c r="Q350" s="3"/>
      <c r="R350" s="3">
        <v>131578</v>
      </c>
      <c r="S350" s="3"/>
      <c r="T350" s="3">
        <v>1165862</v>
      </c>
      <c r="U350" s="3"/>
      <c r="V350" s="3">
        <v>332613</v>
      </c>
      <c r="W350" s="3"/>
      <c r="X350" s="3">
        <v>91573</v>
      </c>
      <c r="Y350" s="3"/>
      <c r="Z350" s="3">
        <v>125582</v>
      </c>
      <c r="AA350" s="3"/>
      <c r="AB350" s="3">
        <v>-581.07758620689651</v>
      </c>
      <c r="AC350" s="3"/>
      <c r="AD350" s="3">
        <v>0</v>
      </c>
      <c r="AE350" s="3"/>
      <c r="AF350" s="5">
        <f t="shared" si="78"/>
        <v>0</v>
      </c>
      <c r="AG350" s="4">
        <f t="shared" si="79"/>
        <v>0</v>
      </c>
      <c r="AH350" s="5">
        <f t="shared" si="80"/>
        <v>-6701810.7274757773</v>
      </c>
      <c r="AI350" s="17">
        <f t="shared" si="82"/>
        <v>-1</v>
      </c>
      <c r="AJ350" s="17">
        <f t="shared" si="83"/>
        <v>4.8594738625632079E-2</v>
      </c>
      <c r="AK350" s="14" t="e">
        <f t="shared" si="84"/>
        <v>#DIV/0!</v>
      </c>
      <c r="AL350" s="14">
        <f t="shared" si="85"/>
        <v>-1</v>
      </c>
      <c r="AO350" s="19">
        <f>+Tabla22[[#This Row],[Web + APP 2025]]+Tabla22[[#This Row],[Afiliados 2025]]+Tabla22[[#This Row],[TMK 2025]]+Tabla22[[#This Row],[WA 2025]]+Tabla22[[#This Row],[Ent. en Tienda 2025]]</f>
        <v>3423024.2068965519</v>
      </c>
      <c r="AP350" s="19">
        <f>+Tabla22[[#This Row],[Meli Drop 2025]]+Tabla22[[#This Row],[Meli Full 2025]]+Tabla22[[#This Row],[Amazon Drop 2025]]+Tabla22[[#This Row],[Amazon Full 2025]]+Tabla22[[#This Row],[TikTok 2025]]+Tabla22[[#This Row],[Shein 2025]]</f>
        <v>1715048.9224137932</v>
      </c>
    </row>
    <row r="351" spans="1:42" hidden="1" x14ac:dyDescent="0.3">
      <c r="A351" s="7">
        <v>46005</v>
      </c>
      <c r="B351" s="3">
        <v>104292228</v>
      </c>
      <c r="C351" s="3">
        <f t="shared" si="81"/>
        <v>5068053.5603448274</v>
      </c>
      <c r="D351" s="4">
        <f t="shared" si="86"/>
        <v>2.6972546215191875E-2</v>
      </c>
      <c r="E351" s="3"/>
      <c r="F351" s="7">
        <v>46370</v>
      </c>
      <c r="G351" s="3">
        <f>+Tabla22[[#This Row],[Meta Digital]]+Tabla22[[#This Row],[Meta MKPlace]]</f>
        <v>6610481.1790990839</v>
      </c>
      <c r="H351" s="3">
        <f>+Tabla2[[#This Row],[Meta Digital]]</f>
        <v>4533595.1205293098</v>
      </c>
      <c r="I351" s="3">
        <f>+Tabla2[[#This Row],[Meta MKPlace]]</f>
        <v>2076886.0585697743</v>
      </c>
      <c r="J351" s="3">
        <v>4186498</v>
      </c>
      <c r="K351" s="3"/>
      <c r="L351" s="3">
        <v>63377.586206896522</v>
      </c>
      <c r="M351" s="3"/>
      <c r="N351" s="3">
        <v>-2176</v>
      </c>
      <c r="O351" s="3"/>
      <c r="P351" s="3">
        <v>4620</v>
      </c>
      <c r="Q351" s="3"/>
      <c r="R351" s="3">
        <v>163689</v>
      </c>
      <c r="S351" s="3"/>
      <c r="T351" s="3">
        <v>3655</v>
      </c>
      <c r="U351" s="3"/>
      <c r="V351" s="3">
        <v>400332</v>
      </c>
      <c r="W351" s="3"/>
      <c r="X351" s="3">
        <v>101596</v>
      </c>
      <c r="Y351" s="3"/>
      <c r="Z351" s="3">
        <v>147093</v>
      </c>
      <c r="AA351" s="3"/>
      <c r="AB351" s="3">
        <v>-631.02586206896558</v>
      </c>
      <c r="AC351" s="3"/>
      <c r="AD351" s="3">
        <v>0</v>
      </c>
      <c r="AE351" s="3"/>
      <c r="AF351" s="5">
        <f t="shared" si="78"/>
        <v>0</v>
      </c>
      <c r="AG351" s="4">
        <f t="shared" si="79"/>
        <v>0</v>
      </c>
      <c r="AH351" s="5">
        <f t="shared" si="80"/>
        <v>-6610481.1790990839</v>
      </c>
      <c r="AI351" s="17">
        <f t="shared" si="82"/>
        <v>-1</v>
      </c>
      <c r="AJ351" s="17">
        <f t="shared" si="83"/>
        <v>0.14440148476815795</v>
      </c>
      <c r="AK351" s="14" t="e">
        <f t="shared" si="84"/>
        <v>#DIV/0!</v>
      </c>
      <c r="AL351" s="14">
        <f t="shared" si="85"/>
        <v>-1</v>
      </c>
      <c r="AO351" s="19">
        <f>+Tabla22[[#This Row],[Web + APP 2025]]+Tabla22[[#This Row],[Afiliados 2025]]+Tabla22[[#This Row],[TMK 2025]]+Tabla22[[#This Row],[WA 2025]]+Tabla22[[#This Row],[Ent. en Tienda 2025]]</f>
        <v>4416008.5862068962</v>
      </c>
      <c r="AP351" s="19">
        <f>+Tabla22[[#This Row],[Meli Drop 2025]]+Tabla22[[#This Row],[Meli Full 2025]]+Tabla22[[#This Row],[Amazon Drop 2025]]+Tabla22[[#This Row],[Amazon Full 2025]]+Tabla22[[#This Row],[TikTok 2025]]+Tabla22[[#This Row],[Shein 2025]]</f>
        <v>652044.97413793101</v>
      </c>
    </row>
    <row r="352" spans="1:42" hidden="1" x14ac:dyDescent="0.3">
      <c r="A352" s="63">
        <v>46006</v>
      </c>
      <c r="B352" s="3">
        <v>65616616</v>
      </c>
      <c r="C352" s="3">
        <f t="shared" si="81"/>
        <v>9475136.7758620698</v>
      </c>
      <c r="D352" s="4">
        <f t="shared" si="86"/>
        <v>5.0427360630501128E-2</v>
      </c>
      <c r="E352" s="3"/>
      <c r="F352" s="7">
        <v>46371</v>
      </c>
      <c r="G352" s="3">
        <f>+Tabla22[[#This Row],[Meta Digital]]+Tabla22[[#This Row],[Meta MKPlace]]</f>
        <v>12358830.186073277</v>
      </c>
      <c r="H352" s="3">
        <f>+Tabla2[[#This Row],[Meta Digital]]</f>
        <v>8475923.4175246898</v>
      </c>
      <c r="I352" s="3">
        <f>+Tabla2[[#This Row],[Meta MKPlace]]</f>
        <v>3882906.7685485869</v>
      </c>
      <c r="J352" s="3">
        <v>5911164</v>
      </c>
      <c r="K352" s="3"/>
      <c r="L352" s="3">
        <v>55170.689655172406</v>
      </c>
      <c r="M352" s="3"/>
      <c r="N352" s="3">
        <v>96597</v>
      </c>
      <c r="O352" s="3"/>
      <c r="P352" s="3">
        <v>5578</v>
      </c>
      <c r="Q352" s="3"/>
      <c r="R352" s="3">
        <v>174915</v>
      </c>
      <c r="S352" s="3"/>
      <c r="T352" s="3">
        <v>2393939</v>
      </c>
      <c r="U352" s="3"/>
      <c r="V352" s="3">
        <v>492432</v>
      </c>
      <c r="W352" s="3"/>
      <c r="X352" s="3">
        <v>136733</v>
      </c>
      <c r="Y352" s="3"/>
      <c r="Z352" s="3">
        <v>186165</v>
      </c>
      <c r="AA352" s="3"/>
      <c r="AB352" s="3">
        <v>22443.086206896551</v>
      </c>
      <c r="AC352" s="3"/>
      <c r="AD352" s="3">
        <v>0</v>
      </c>
      <c r="AE352" s="3"/>
      <c r="AF352" s="5">
        <f t="shared" si="78"/>
        <v>0</v>
      </c>
      <c r="AG352" s="4">
        <f t="shared" si="79"/>
        <v>0</v>
      </c>
      <c r="AH352" s="5">
        <f t="shared" si="80"/>
        <v>-12358830.186073277</v>
      </c>
      <c r="AI352" s="17">
        <f t="shared" si="82"/>
        <v>-1</v>
      </c>
      <c r="AJ352" s="17">
        <f t="shared" si="83"/>
        <v>0.16264674791345135</v>
      </c>
      <c r="AK352" s="14" t="e">
        <f t="shared" si="84"/>
        <v>#DIV/0!</v>
      </c>
      <c r="AL352" s="14">
        <f t="shared" si="85"/>
        <v>-1</v>
      </c>
      <c r="AO352" s="19">
        <f>+Tabla22[[#This Row],[Web + APP 2025]]+Tabla22[[#This Row],[Afiliados 2025]]+Tabla22[[#This Row],[TMK 2025]]+Tabla22[[#This Row],[WA 2025]]+Tabla22[[#This Row],[Ent. en Tienda 2025]]</f>
        <v>6243424.6896551726</v>
      </c>
      <c r="AP352" s="19">
        <f>+Tabla22[[#This Row],[Meli Drop 2025]]+Tabla22[[#This Row],[Meli Full 2025]]+Tabla22[[#This Row],[Amazon Drop 2025]]+Tabla22[[#This Row],[Amazon Full 2025]]+Tabla22[[#This Row],[TikTok 2025]]+Tabla22[[#This Row],[Shein 2025]]</f>
        <v>3231712.0862068967</v>
      </c>
    </row>
    <row r="353" spans="1:42" hidden="1" x14ac:dyDescent="0.3">
      <c r="A353" s="7">
        <v>46007</v>
      </c>
      <c r="B353" s="3">
        <v>77580854</v>
      </c>
      <c r="C353" s="3">
        <f t="shared" si="81"/>
        <v>12618273.603448274</v>
      </c>
      <c r="D353" s="4">
        <f t="shared" si="86"/>
        <v>6.7155361298468066E-2</v>
      </c>
      <c r="E353" s="3"/>
      <c r="F353" s="7">
        <v>46372</v>
      </c>
      <c r="G353" s="3">
        <f>+Tabla22[[#This Row],[Meta Digital]]+Tabla22[[#This Row],[Meta MKPlace]]</f>
        <v>16458559.321666332</v>
      </c>
      <c r="H353" s="3">
        <f>+Tabla2[[#This Row],[Meta Digital]]</f>
        <v>11287596.501684291</v>
      </c>
      <c r="I353" s="3">
        <f>+Tabla2[[#This Row],[Meta MKPlace]]</f>
        <v>5170962.8199820407</v>
      </c>
      <c r="J353" s="3">
        <v>6852617</v>
      </c>
      <c r="K353" s="3"/>
      <c r="L353" s="3">
        <v>56310.344827586188</v>
      </c>
      <c r="M353" s="3"/>
      <c r="N353" s="3">
        <v>109047</v>
      </c>
      <c r="O353" s="3"/>
      <c r="P353" s="3">
        <v>2019</v>
      </c>
      <c r="Q353" s="3"/>
      <c r="R353" s="3">
        <v>138436</v>
      </c>
      <c r="S353" s="3"/>
      <c r="T353" s="3">
        <v>4615472</v>
      </c>
      <c r="U353" s="3"/>
      <c r="V353" s="3">
        <v>570628</v>
      </c>
      <c r="W353" s="3"/>
      <c r="X353" s="3">
        <v>102615</v>
      </c>
      <c r="Y353" s="3"/>
      <c r="Z353" s="3">
        <v>148024</v>
      </c>
      <c r="AA353" s="3"/>
      <c r="AB353" s="3">
        <v>22071.637931034486</v>
      </c>
      <c r="AC353" s="3"/>
      <c r="AD353" s="3">
        <v>1033.6206896551726</v>
      </c>
      <c r="AE353" s="3"/>
      <c r="AF353" s="5">
        <f t="shared" si="78"/>
        <v>0</v>
      </c>
      <c r="AG353" s="4">
        <f t="shared" si="79"/>
        <v>0</v>
      </c>
      <c r="AH353" s="5">
        <f t="shared" si="80"/>
        <v>-16458559.321666332</v>
      </c>
      <c r="AI353" s="17">
        <f t="shared" si="82"/>
        <v>-1</v>
      </c>
      <c r="AJ353" s="17">
        <f t="shared" si="83"/>
        <v>0.11495336783884401</v>
      </c>
      <c r="AK353" s="14" t="e">
        <f t="shared" si="84"/>
        <v>#DIV/0!</v>
      </c>
      <c r="AL353" s="14">
        <f t="shared" si="85"/>
        <v>-1</v>
      </c>
      <c r="AO353" s="19">
        <f>+Tabla22[[#This Row],[Web + APP 2025]]+Tabla22[[#This Row],[Afiliados 2025]]+Tabla22[[#This Row],[TMK 2025]]+Tabla22[[#This Row],[WA 2025]]+Tabla22[[#This Row],[Ent. en Tienda 2025]]</f>
        <v>7158429.3448275859</v>
      </c>
      <c r="AP353" s="19">
        <f>+Tabla22[[#This Row],[Meli Drop 2025]]+Tabla22[[#This Row],[Meli Full 2025]]+Tabla22[[#This Row],[Amazon Drop 2025]]+Tabla22[[#This Row],[Amazon Full 2025]]+Tabla22[[#This Row],[TikTok 2025]]+Tabla22[[#This Row],[Shein 2025]]</f>
        <v>5459844.2586206896</v>
      </c>
    </row>
    <row r="354" spans="1:42" hidden="1" x14ac:dyDescent="0.3">
      <c r="A354" s="63">
        <v>46008</v>
      </c>
      <c r="B354" s="3">
        <v>80887423</v>
      </c>
      <c r="C354" s="3">
        <f t="shared" si="81"/>
        <v>9298281.6896551717</v>
      </c>
      <c r="D354" s="4">
        <f t="shared" si="86"/>
        <v>4.9486125118818267E-2</v>
      </c>
      <c r="E354" s="3"/>
      <c r="F354" s="7">
        <v>46373</v>
      </c>
      <c r="G354" s="3">
        <f>+Tabla22[[#This Row],[Meta Digital]]+Tabla22[[#This Row],[Meta MKPlace]]</f>
        <v>12128150.457676897</v>
      </c>
      <c r="H354" s="3">
        <f>+Tabla2[[#This Row],[Meta Digital]]</f>
        <v>8317718.8235278903</v>
      </c>
      <c r="I354" s="3">
        <f>+Tabla2[[#This Row],[Meta MKPlace]]</f>
        <v>3810431.6341490066</v>
      </c>
      <c r="J354" s="3">
        <v>5512521</v>
      </c>
      <c r="K354" s="3"/>
      <c r="L354" s="3">
        <v>51579.310344827572</v>
      </c>
      <c r="M354" s="3"/>
      <c r="N354" s="3">
        <v>78025</v>
      </c>
      <c r="O354" s="3"/>
      <c r="P354" s="3">
        <v>134</v>
      </c>
      <c r="Q354" s="3"/>
      <c r="R354" s="3">
        <v>184118</v>
      </c>
      <c r="S354" s="3"/>
      <c r="T354" s="3">
        <v>2496155</v>
      </c>
      <c r="U354" s="3"/>
      <c r="V354" s="3">
        <v>626379</v>
      </c>
      <c r="W354" s="3"/>
      <c r="X354" s="3">
        <v>144053</v>
      </c>
      <c r="Y354" s="3"/>
      <c r="Z354" s="3">
        <v>183327</v>
      </c>
      <c r="AA354" s="3"/>
      <c r="AB354" s="3">
        <v>21990.379310344833</v>
      </c>
      <c r="AC354" s="3"/>
      <c r="AD354" s="3">
        <v>0</v>
      </c>
      <c r="AE354" s="3"/>
      <c r="AF354" s="5">
        <f t="shared" si="78"/>
        <v>0</v>
      </c>
      <c r="AG354" s="4">
        <f t="shared" si="79"/>
        <v>0</v>
      </c>
      <c r="AH354" s="5">
        <f t="shared" si="80"/>
        <v>-12128150.457676897</v>
      </c>
      <c r="AI354" s="17">
        <f t="shared" si="82"/>
        <v>-1</v>
      </c>
      <c r="AJ354" s="17">
        <f t="shared" si="83"/>
        <v>8.3796062506301991E-2</v>
      </c>
      <c r="AK354" s="14" t="e">
        <f t="shared" si="84"/>
        <v>#DIV/0!</v>
      </c>
      <c r="AL354" s="14">
        <f t="shared" si="85"/>
        <v>-1</v>
      </c>
      <c r="AO354" s="19">
        <f>+Tabla22[[#This Row],[Web + APP 2025]]+Tabla22[[#This Row],[Afiliados 2025]]+Tabla22[[#This Row],[TMK 2025]]+Tabla22[[#This Row],[WA 2025]]+Tabla22[[#This Row],[Ent. en Tienda 2025]]</f>
        <v>5826377.3103448274</v>
      </c>
      <c r="AP354" s="19">
        <f>+Tabla22[[#This Row],[Meli Drop 2025]]+Tabla22[[#This Row],[Meli Full 2025]]+Tabla22[[#This Row],[Amazon Drop 2025]]+Tabla22[[#This Row],[Amazon Full 2025]]+Tabla22[[#This Row],[TikTok 2025]]+Tabla22[[#This Row],[Shein 2025]]</f>
        <v>3471904.3793103448</v>
      </c>
    </row>
    <row r="355" spans="1:42" hidden="1" x14ac:dyDescent="0.3">
      <c r="A355" s="7">
        <v>46009</v>
      </c>
      <c r="B355" s="3">
        <v>89154537</v>
      </c>
      <c r="C355" s="3">
        <f t="shared" si="81"/>
        <v>7470799.1551724132</v>
      </c>
      <c r="D355" s="4">
        <f t="shared" si="86"/>
        <v>3.9760131395216343E-2</v>
      </c>
      <c r="E355" s="3"/>
      <c r="F355" s="7">
        <v>46374</v>
      </c>
      <c r="G355" s="3">
        <f>+Tabla22[[#This Row],[Meta Digital]]+Tabla22[[#This Row],[Meta MKPlace]]</f>
        <v>9744486.0477631595</v>
      </c>
      <c r="H355" s="3">
        <f>+Tabla2[[#This Row],[Meta Digital]]</f>
        <v>6682955.9303315012</v>
      </c>
      <c r="I355" s="3">
        <f>+Tabla2[[#This Row],[Meta MKPlace]]</f>
        <v>3061530.1174316583</v>
      </c>
      <c r="J355" s="3">
        <v>4907692</v>
      </c>
      <c r="K355" s="3"/>
      <c r="L355" s="3">
        <v>57534.482758620667</v>
      </c>
      <c r="M355" s="3"/>
      <c r="N355" s="3">
        <v>25079</v>
      </c>
      <c r="O355" s="3"/>
      <c r="P355" s="3">
        <v>0</v>
      </c>
      <c r="Q355" s="3"/>
      <c r="R355" s="3">
        <v>195871</v>
      </c>
      <c r="S355" s="3"/>
      <c r="T355" s="3">
        <v>1595724</v>
      </c>
      <c r="U355" s="3"/>
      <c r="V355" s="3">
        <v>465815</v>
      </c>
      <c r="W355" s="3"/>
      <c r="X355" s="3">
        <v>88159</v>
      </c>
      <c r="Y355" s="3"/>
      <c r="Z355" s="3">
        <v>123030</v>
      </c>
      <c r="AA355" s="3"/>
      <c r="AB355" s="3">
        <v>12842.086206896549</v>
      </c>
      <c r="AC355" s="3"/>
      <c r="AD355" s="3">
        <v>-947.41379310344837</v>
      </c>
      <c r="AE355" s="3"/>
      <c r="AF355" s="5">
        <f t="shared" si="78"/>
        <v>0</v>
      </c>
      <c r="AG355" s="4">
        <f t="shared" si="79"/>
        <v>0</v>
      </c>
      <c r="AH355" s="5">
        <f t="shared" si="80"/>
        <v>-9744486.0477631595</v>
      </c>
      <c r="AI355" s="17">
        <f t="shared" si="82"/>
        <v>-1</v>
      </c>
      <c r="AJ355" s="17">
        <f t="shared" si="83"/>
        <v>6.442840868649688E-2</v>
      </c>
      <c r="AK355" s="14" t="e">
        <f t="shared" si="84"/>
        <v>#DIV/0!</v>
      </c>
      <c r="AL355" s="14">
        <f t="shared" si="85"/>
        <v>-1</v>
      </c>
      <c r="AO355" s="19">
        <f>+Tabla22[[#This Row],[Web + APP 2025]]+Tabla22[[#This Row],[Afiliados 2025]]+Tabla22[[#This Row],[TMK 2025]]+Tabla22[[#This Row],[WA 2025]]+Tabla22[[#This Row],[Ent. en Tienda 2025]]</f>
        <v>5186176.4827586208</v>
      </c>
      <c r="AP355" s="19">
        <f>+Tabla22[[#This Row],[Meli Drop 2025]]+Tabla22[[#This Row],[Meli Full 2025]]+Tabla22[[#This Row],[Amazon Drop 2025]]+Tabla22[[#This Row],[Amazon Full 2025]]+Tabla22[[#This Row],[TikTok 2025]]+Tabla22[[#This Row],[Shein 2025]]</f>
        <v>2284622.6724137934</v>
      </c>
    </row>
    <row r="356" spans="1:42" hidden="1" x14ac:dyDescent="0.3">
      <c r="A356" s="63">
        <v>46010</v>
      </c>
      <c r="B356" s="3">
        <v>93901132</v>
      </c>
      <c r="C356" s="3">
        <f t="shared" si="81"/>
        <v>6049900.5086206896</v>
      </c>
      <c r="D356" s="4">
        <f t="shared" si="86"/>
        <v>3.2198006418657825E-2</v>
      </c>
      <c r="E356" s="3"/>
      <c r="F356" s="7">
        <v>46375</v>
      </c>
      <c r="G356" s="3">
        <f>+Tabla22[[#This Row],[Meta Digital]]+Tabla22[[#This Row],[Meta MKPlace]]</f>
        <v>7891146.5657316307</v>
      </c>
      <c r="H356" s="3">
        <f>+Tabla2[[#This Row],[Meta Digital]]</f>
        <v>5411900.0714949779</v>
      </c>
      <c r="I356" s="3">
        <f>+Tabla2[[#This Row],[Meta MKPlace]]</f>
        <v>2479246.4942366527</v>
      </c>
      <c r="J356" s="3">
        <v>4233630</v>
      </c>
      <c r="K356" s="3"/>
      <c r="L356" s="3">
        <v>55192.241379310333</v>
      </c>
      <c r="M356" s="3"/>
      <c r="N356" s="3">
        <v>61571</v>
      </c>
      <c r="O356" s="3"/>
      <c r="P356" s="3">
        <v>1807</v>
      </c>
      <c r="Q356" s="3"/>
      <c r="R356" s="3">
        <v>260142</v>
      </c>
      <c r="S356" s="3"/>
      <c r="T356" s="3">
        <v>910724</v>
      </c>
      <c r="U356" s="3"/>
      <c r="V356" s="3">
        <v>311790</v>
      </c>
      <c r="W356" s="3"/>
      <c r="X356" s="3">
        <v>88213</v>
      </c>
      <c r="Y356" s="3"/>
      <c r="Z356" s="3">
        <v>121448</v>
      </c>
      <c r="AA356" s="3"/>
      <c r="AB356" s="3">
        <v>5383.2672413793107</v>
      </c>
      <c r="AC356" s="3"/>
      <c r="AD356" s="3">
        <v>0</v>
      </c>
      <c r="AE356" s="3"/>
      <c r="AF356" s="5">
        <f t="shared" si="78"/>
        <v>0</v>
      </c>
      <c r="AG356" s="4">
        <f t="shared" si="79"/>
        <v>0</v>
      </c>
      <c r="AH356" s="5">
        <f t="shared" si="80"/>
        <v>-7891146.5657316307</v>
      </c>
      <c r="AI356" s="17">
        <f t="shared" si="82"/>
        <v>-1</v>
      </c>
      <c r="AJ356" s="17">
        <f t="shared" si="83"/>
        <v>4.7993648997108257E-2</v>
      </c>
      <c r="AK356" s="14" t="e">
        <f t="shared" si="84"/>
        <v>#DIV/0!</v>
      </c>
      <c r="AL356" s="14">
        <f t="shared" si="85"/>
        <v>-1</v>
      </c>
      <c r="AO356" s="19">
        <f>+Tabla22[[#This Row],[Web + APP 2025]]+Tabla22[[#This Row],[Afiliados 2025]]+Tabla22[[#This Row],[TMK 2025]]+Tabla22[[#This Row],[WA 2025]]+Tabla22[[#This Row],[Ent. en Tienda 2025]]</f>
        <v>4612342.2413793104</v>
      </c>
      <c r="AP356" s="19">
        <f>+Tabla22[[#This Row],[Meli Drop 2025]]+Tabla22[[#This Row],[Meli Full 2025]]+Tabla22[[#This Row],[Amazon Drop 2025]]+Tabla22[[#This Row],[Amazon Full 2025]]+Tabla22[[#This Row],[TikTok 2025]]+Tabla22[[#This Row],[Shein 2025]]</f>
        <v>1437558.2672413792</v>
      </c>
    </row>
    <row r="357" spans="1:42" hidden="1" x14ac:dyDescent="0.3">
      <c r="A357" s="7">
        <v>46011</v>
      </c>
      <c r="B357" s="3">
        <v>109415421</v>
      </c>
      <c r="C357" s="3">
        <f t="shared" si="81"/>
        <v>5251245.3103448274</v>
      </c>
      <c r="D357" s="4">
        <f t="shared" si="86"/>
        <v>2.7947505908155475E-2</v>
      </c>
      <c r="E357" s="3"/>
      <c r="F357" s="7">
        <v>46376</v>
      </c>
      <c r="G357" s="3">
        <f>+Tabla22[[#This Row],[Meta Digital]]+Tabla22[[#This Row],[Meta MKPlace]]</f>
        <v>6849426.0918002101</v>
      </c>
      <c r="H357" s="3">
        <f>+Tabla2[[#This Row],[Meta Digital]]</f>
        <v>4697468.1368722385</v>
      </c>
      <c r="I357" s="3">
        <f>+Tabla2[[#This Row],[Meta MKPlace]]</f>
        <v>2151957.9549279716</v>
      </c>
      <c r="J357" s="3">
        <v>3162185</v>
      </c>
      <c r="K357" s="3"/>
      <c r="L357" s="3">
        <v>56364.655172413783</v>
      </c>
      <c r="M357" s="3"/>
      <c r="N357" s="3">
        <v>11112</v>
      </c>
      <c r="O357" s="3"/>
      <c r="P357" s="3">
        <v>6379</v>
      </c>
      <c r="Q357" s="3"/>
      <c r="R357" s="3">
        <v>167453</v>
      </c>
      <c r="S357" s="3"/>
      <c r="T357" s="3">
        <v>1460290</v>
      </c>
      <c r="U357" s="3"/>
      <c r="V357" s="3">
        <v>236261</v>
      </c>
      <c r="W357" s="3"/>
      <c r="X357" s="3">
        <v>60838</v>
      </c>
      <c r="Y357" s="3"/>
      <c r="Z357" s="3">
        <v>88123</v>
      </c>
      <c r="AA357" s="3"/>
      <c r="AB357" s="3">
        <v>2239.6551724137935</v>
      </c>
      <c r="AC357" s="3"/>
      <c r="AD357" s="3">
        <v>0</v>
      </c>
      <c r="AE357" s="3"/>
      <c r="AF357" s="5">
        <f t="shared" si="78"/>
        <v>0</v>
      </c>
      <c r="AG357" s="4">
        <f t="shared" si="79"/>
        <v>0</v>
      </c>
      <c r="AH357" s="5">
        <f t="shared" si="80"/>
        <v>-6849426.0918002101</v>
      </c>
      <c r="AI357" s="17">
        <f t="shared" si="82"/>
        <v>-1</v>
      </c>
      <c r="AJ357" s="17">
        <f t="shared" si="83"/>
        <v>3.6739346674946223E-2</v>
      </c>
      <c r="AK357" s="14" t="e">
        <f t="shared" si="84"/>
        <v>#DIV/0!</v>
      </c>
      <c r="AL357" s="14">
        <f t="shared" si="85"/>
        <v>-1</v>
      </c>
      <c r="AO357" s="19">
        <f>+Tabla22[[#This Row],[Web + APP 2025]]+Tabla22[[#This Row],[Afiliados 2025]]+Tabla22[[#This Row],[TMK 2025]]+Tabla22[[#This Row],[WA 2025]]+Tabla22[[#This Row],[Ent. en Tienda 2025]]</f>
        <v>3403493.6551724137</v>
      </c>
      <c r="AP357" s="19">
        <f>+Tabla22[[#This Row],[Meli Drop 2025]]+Tabla22[[#This Row],[Meli Full 2025]]+Tabla22[[#This Row],[Amazon Drop 2025]]+Tabla22[[#This Row],[Amazon Full 2025]]+Tabla22[[#This Row],[TikTok 2025]]+Tabla22[[#This Row],[Shein 2025]]</f>
        <v>1847751.6551724137</v>
      </c>
    </row>
    <row r="358" spans="1:42" hidden="1" x14ac:dyDescent="0.3">
      <c r="A358" s="63">
        <v>46012</v>
      </c>
      <c r="B358" s="3">
        <v>127581576</v>
      </c>
      <c r="C358" s="3">
        <f t="shared" si="81"/>
        <v>4687263.7499999991</v>
      </c>
      <c r="D358" s="4">
        <f t="shared" si="86"/>
        <v>2.4945955407595675E-2</v>
      </c>
      <c r="E358" s="3"/>
      <c r="F358" s="7">
        <v>46377</v>
      </c>
      <c r="G358" s="3">
        <f>+Tabla22[[#This Row],[Meta Digital]]+Tabla22[[#This Row],[Meta MKPlace]]</f>
        <v>6113800.5808171025</v>
      </c>
      <c r="H358" s="3">
        <f>+Tabla2[[#This Row],[Meta Digital]]</f>
        <v>4192962.0144322356</v>
      </c>
      <c r="I358" s="3">
        <f>+Tabla2[[#This Row],[Meta MKPlace]]</f>
        <v>1920838.5663848671</v>
      </c>
      <c r="J358" s="3">
        <v>3267153</v>
      </c>
      <c r="K358" s="3"/>
      <c r="L358" s="3">
        <v>67824.137931034464</v>
      </c>
      <c r="M358" s="3"/>
      <c r="N358" s="3">
        <v>8034</v>
      </c>
      <c r="O358" s="3"/>
      <c r="P358" s="3">
        <v>4687</v>
      </c>
      <c r="Q358" s="3"/>
      <c r="R358" s="3">
        <v>221631</v>
      </c>
      <c r="S358" s="3"/>
      <c r="T358" s="3">
        <v>682525</v>
      </c>
      <c r="U358" s="3"/>
      <c r="V358" s="3">
        <v>246073</v>
      </c>
      <c r="W358" s="3"/>
      <c r="X358" s="3">
        <v>84110</v>
      </c>
      <c r="Y358" s="3"/>
      <c r="Z358" s="3">
        <v>101881</v>
      </c>
      <c r="AA358" s="3"/>
      <c r="AB358" s="3">
        <v>2570.6120689655172</v>
      </c>
      <c r="AC358" s="3"/>
      <c r="AD358" s="3">
        <v>775</v>
      </c>
      <c r="AE358" s="3"/>
      <c r="AF358" s="5">
        <f t="shared" si="78"/>
        <v>0</v>
      </c>
      <c r="AG358" s="4">
        <f t="shared" si="79"/>
        <v>0</v>
      </c>
      <c r="AH358" s="5">
        <f t="shared" si="80"/>
        <v>-6113800.5808171025</v>
      </c>
      <c r="AI358" s="17">
        <f t="shared" si="82"/>
        <v>-1</v>
      </c>
      <c r="AJ358" s="17">
        <f t="shared" si="83"/>
        <v>5.8856925811919772E-2</v>
      </c>
      <c r="AK358" s="14" t="e">
        <f t="shared" si="84"/>
        <v>#DIV/0!</v>
      </c>
      <c r="AL358" s="14">
        <f t="shared" si="85"/>
        <v>-1</v>
      </c>
      <c r="AO358" s="19">
        <f>+Tabla22[[#This Row],[Web + APP 2025]]+Tabla22[[#This Row],[Afiliados 2025]]+Tabla22[[#This Row],[TMK 2025]]+Tabla22[[#This Row],[WA 2025]]+Tabla22[[#This Row],[Ent. en Tienda 2025]]</f>
        <v>3569329.1379310344</v>
      </c>
      <c r="AP358" s="19">
        <f>+Tabla22[[#This Row],[Meli Drop 2025]]+Tabla22[[#This Row],[Meli Full 2025]]+Tabla22[[#This Row],[Amazon Drop 2025]]+Tabla22[[#This Row],[Amazon Full 2025]]+Tabla22[[#This Row],[TikTok 2025]]+Tabla22[[#This Row],[Shein 2025]]</f>
        <v>1117934.6120689656</v>
      </c>
    </row>
    <row r="359" spans="1:42" hidden="1" x14ac:dyDescent="0.3">
      <c r="A359" s="7">
        <v>46013</v>
      </c>
      <c r="B359" s="3">
        <v>111476439</v>
      </c>
      <c r="C359" s="3">
        <f t="shared" si="81"/>
        <v>6561160.5</v>
      </c>
      <c r="D359" s="4">
        <f t="shared" si="86"/>
        <v>3.4918968930450774E-2</v>
      </c>
      <c r="E359" s="3"/>
      <c r="F359" s="7">
        <v>46378</v>
      </c>
      <c r="G359" s="3">
        <f>+Tabla22[[#This Row],[Meta Digital]]+Tabla22[[#This Row],[Meta MKPlace]]</f>
        <v>8558005.0569448415</v>
      </c>
      <c r="H359" s="3">
        <f>+Tabla2[[#This Row],[Meta Digital]]</f>
        <v>5869244.4493001318</v>
      </c>
      <c r="I359" s="3">
        <f>+Tabla2[[#This Row],[Meta MKPlace]]</f>
        <v>2688760.6076447098</v>
      </c>
      <c r="J359" s="3">
        <v>3485137</v>
      </c>
      <c r="K359" s="3"/>
      <c r="L359" s="3">
        <v>49748.275862068956</v>
      </c>
      <c r="M359" s="3"/>
      <c r="N359" s="3">
        <v>47955</v>
      </c>
      <c r="O359" s="3"/>
      <c r="P359" s="3">
        <v>5639</v>
      </c>
      <c r="Q359" s="3"/>
      <c r="R359" s="3">
        <v>157781</v>
      </c>
      <c r="S359" s="3"/>
      <c r="T359" s="3">
        <v>2394236</v>
      </c>
      <c r="U359" s="3"/>
      <c r="V359" s="3">
        <v>262249</v>
      </c>
      <c r="W359" s="3"/>
      <c r="X359" s="3">
        <v>63093</v>
      </c>
      <c r="Y359" s="3"/>
      <c r="Z359" s="3">
        <v>90524</v>
      </c>
      <c r="AA359" s="3"/>
      <c r="AB359" s="3">
        <v>4798.2241379310353</v>
      </c>
      <c r="AC359" s="3"/>
      <c r="AD359" s="3">
        <v>0</v>
      </c>
      <c r="AE359" s="3"/>
      <c r="AF359" s="5">
        <f t="shared" si="78"/>
        <v>0</v>
      </c>
      <c r="AG359" s="4">
        <f t="shared" si="79"/>
        <v>0</v>
      </c>
      <c r="AH359" s="5">
        <f t="shared" si="80"/>
        <v>-8558005.0569448415</v>
      </c>
      <c r="AI359" s="17">
        <f t="shared" si="82"/>
        <v>-1</v>
      </c>
      <c r="AJ359" s="17">
        <f t="shared" si="83"/>
        <v>3.6723276356476924E-2</v>
      </c>
      <c r="AK359" s="14" t="e">
        <f t="shared" si="84"/>
        <v>#DIV/0!</v>
      </c>
      <c r="AL359" s="14">
        <f t="shared" si="85"/>
        <v>-1</v>
      </c>
      <c r="AO359" s="19">
        <f>+Tabla22[[#This Row],[Web + APP 2025]]+Tabla22[[#This Row],[Afiliados 2025]]+Tabla22[[#This Row],[TMK 2025]]+Tabla22[[#This Row],[WA 2025]]+Tabla22[[#This Row],[Ent. en Tienda 2025]]</f>
        <v>3746260.2758620689</v>
      </c>
      <c r="AP359" s="19">
        <f>+Tabla22[[#This Row],[Meli Drop 2025]]+Tabla22[[#This Row],[Meli Full 2025]]+Tabla22[[#This Row],[Amazon Drop 2025]]+Tabla22[[#This Row],[Amazon Full 2025]]+Tabla22[[#This Row],[TikTok 2025]]+Tabla22[[#This Row],[Shein 2025]]</f>
        <v>2814900.2241379311</v>
      </c>
    </row>
    <row r="360" spans="1:42" hidden="1" x14ac:dyDescent="0.3">
      <c r="A360" s="63">
        <v>46014</v>
      </c>
      <c r="B360" s="3">
        <v>111875362</v>
      </c>
      <c r="C360" s="3">
        <f t="shared" si="81"/>
        <v>4108429.8362068967</v>
      </c>
      <c r="D360" s="4">
        <f t="shared" si="86"/>
        <v>2.1865359611831715E-2</v>
      </c>
      <c r="E360" s="3"/>
      <c r="F360" s="7">
        <v>46379</v>
      </c>
      <c r="G360" s="3">
        <f>+Tabla22[[#This Row],[Meta Digital]]+Tabla22[[#This Row],[Meta MKPlace]]</f>
        <v>5358802.5036671013</v>
      </c>
      <c r="H360" s="3">
        <f>+Tabla2[[#This Row],[Meta Digital]]</f>
        <v>3675169.8135560588</v>
      </c>
      <c r="I360" s="3">
        <f>+Tabla2[[#This Row],[Meta MKPlace]]</f>
        <v>1683632.690111042</v>
      </c>
      <c r="J360" s="3">
        <v>3161304</v>
      </c>
      <c r="K360" s="3"/>
      <c r="L360" s="3">
        <v>49668.96551724137</v>
      </c>
      <c r="M360" s="3"/>
      <c r="N360" s="3">
        <v>40624</v>
      </c>
      <c r="O360" s="3"/>
      <c r="P360" s="3">
        <v>2572</v>
      </c>
      <c r="Q360" s="3"/>
      <c r="R360" s="3">
        <v>106256</v>
      </c>
      <c r="S360" s="3"/>
      <c r="T360" s="3">
        <v>434393</v>
      </c>
      <c r="U360" s="3"/>
      <c r="V360" s="3">
        <v>198282</v>
      </c>
      <c r="W360" s="3"/>
      <c r="X360" s="3">
        <v>42615</v>
      </c>
      <c r="Y360" s="3"/>
      <c r="Z360" s="3">
        <v>57674</v>
      </c>
      <c r="AA360" s="3"/>
      <c r="AB360" s="3">
        <v>15040.870689655176</v>
      </c>
      <c r="AC360" s="3"/>
      <c r="AD360" s="3">
        <v>0</v>
      </c>
      <c r="AE360" s="3"/>
      <c r="AF360" s="5">
        <f t="shared" si="78"/>
        <v>0</v>
      </c>
      <c r="AG360" s="4">
        <f t="shared" si="79"/>
        <v>0</v>
      </c>
      <c r="AH360" s="5">
        <f t="shared" si="80"/>
        <v>-5358802.5036671013</v>
      </c>
      <c r="AI360" s="17">
        <f t="shared" si="82"/>
        <v>-1</v>
      </c>
      <c r="AJ360" s="17">
        <f t="shared" si="83"/>
        <v>4.149018268199136E-2</v>
      </c>
      <c r="AK360" s="14" t="e">
        <f t="shared" si="84"/>
        <v>#DIV/0!</v>
      </c>
      <c r="AL360" s="14">
        <f t="shared" si="85"/>
        <v>-1</v>
      </c>
      <c r="AO360" s="19">
        <f>+Tabla22[[#This Row],[Web + APP 2025]]+Tabla22[[#This Row],[Afiliados 2025]]+Tabla22[[#This Row],[TMK 2025]]+Tabla22[[#This Row],[WA 2025]]+Tabla22[[#This Row],[Ent. en Tienda 2025]]</f>
        <v>3360424.9655172415</v>
      </c>
      <c r="AP360" s="19">
        <f>+Tabla22[[#This Row],[Meli Drop 2025]]+Tabla22[[#This Row],[Meli Full 2025]]+Tabla22[[#This Row],[Amazon Drop 2025]]+Tabla22[[#This Row],[Amazon Full 2025]]+Tabla22[[#This Row],[TikTok 2025]]+Tabla22[[#This Row],[Shein 2025]]</f>
        <v>748004.87068965519</v>
      </c>
    </row>
    <row r="361" spans="1:42" hidden="1" x14ac:dyDescent="0.3">
      <c r="A361" s="7">
        <v>46015</v>
      </c>
      <c r="B361" s="3">
        <v>53918132</v>
      </c>
      <c r="C361" s="3">
        <f t="shared" si="81"/>
        <v>2237073.1465517241</v>
      </c>
      <c r="D361" s="4">
        <f t="shared" si="86"/>
        <v>1.1905864473150047E-2</v>
      </c>
      <c r="E361" s="3"/>
      <c r="F361" s="7">
        <v>46380</v>
      </c>
      <c r="G361" s="3">
        <f>+Tabla22[[#This Row],[Meta Digital]]+Tabla22[[#This Row],[Meta MKPlace]]</f>
        <v>2917911.1379679195</v>
      </c>
      <c r="H361" s="3">
        <f>+Tabla2[[#This Row],[Meta Digital]]</f>
        <v>2001159.5735353658</v>
      </c>
      <c r="I361" s="3">
        <f>+Tabla2[[#This Row],[Meta MKPlace]]</f>
        <v>916751.5644325536</v>
      </c>
      <c r="J361" s="3">
        <v>1627852</v>
      </c>
      <c r="K361" s="3"/>
      <c r="L361" s="3">
        <v>28223.275862068956</v>
      </c>
      <c r="M361" s="3"/>
      <c r="N361" s="3">
        <v>5195</v>
      </c>
      <c r="O361" s="3"/>
      <c r="P361" s="3">
        <v>3081</v>
      </c>
      <c r="Q361" s="3"/>
      <c r="R361" s="3">
        <v>156813</v>
      </c>
      <c r="S361" s="3"/>
      <c r="T361" s="3">
        <v>160817</v>
      </c>
      <c r="U361" s="3"/>
      <c r="V361" s="3">
        <v>185477</v>
      </c>
      <c r="W361" s="3"/>
      <c r="X361" s="3">
        <v>29110</v>
      </c>
      <c r="Y361" s="3"/>
      <c r="Z361" s="3">
        <v>38376</v>
      </c>
      <c r="AA361" s="3"/>
      <c r="AB361" s="3">
        <v>2128.8706896551726</v>
      </c>
      <c r="AC361" s="3"/>
      <c r="AD361" s="3">
        <v>0</v>
      </c>
      <c r="AE361" s="3"/>
      <c r="AF361" s="5">
        <f t="shared" si="78"/>
        <v>0</v>
      </c>
      <c r="AG361" s="4">
        <f t="shared" si="79"/>
        <v>0</v>
      </c>
      <c r="AH361" s="5">
        <f t="shared" si="80"/>
        <v>-2917911.1379679195</v>
      </c>
      <c r="AI361" s="17">
        <f t="shared" si="82"/>
        <v>-1</v>
      </c>
      <c r="AJ361" s="17">
        <f t="shared" si="83"/>
        <v>1.0154091726609289</v>
      </c>
      <c r="AK361" s="14" t="e">
        <f t="shared" si="84"/>
        <v>#DIV/0!</v>
      </c>
      <c r="AL361" s="14">
        <f t="shared" si="85"/>
        <v>-1</v>
      </c>
      <c r="AO361" s="19">
        <f>+Tabla22[[#This Row],[Web + APP 2025]]+Tabla22[[#This Row],[Afiliados 2025]]+Tabla22[[#This Row],[TMK 2025]]+Tabla22[[#This Row],[WA 2025]]+Tabla22[[#This Row],[Ent. en Tienda 2025]]</f>
        <v>1821164.2758620689</v>
      </c>
      <c r="AP361" s="19">
        <f>+Tabla22[[#This Row],[Meli Drop 2025]]+Tabla22[[#This Row],[Meli Full 2025]]+Tabla22[[#This Row],[Amazon Drop 2025]]+Tabla22[[#This Row],[Amazon Full 2025]]+Tabla22[[#This Row],[TikTok 2025]]+Tabla22[[#This Row],[Shein 2025]]</f>
        <v>415908.87068965519</v>
      </c>
    </row>
    <row r="362" spans="1:42" hidden="1" x14ac:dyDescent="0.3">
      <c r="A362" s="63">
        <v>46016</v>
      </c>
      <c r="B362" s="3">
        <v>2799799</v>
      </c>
      <c r="C362" s="3">
        <f t="shared" si="81"/>
        <v>2842941.5862068962</v>
      </c>
      <c r="D362" s="4">
        <f t="shared" si="86"/>
        <v>1.5130339963463024E-2</v>
      </c>
      <c r="E362" s="3"/>
      <c r="F362" s="7">
        <v>46381</v>
      </c>
      <c r="G362" s="3">
        <f>+Tabla22[[#This Row],[Meta Digital]]+Tabla22[[#This Row],[Meta MKPlace]]</f>
        <v>3708171.5149869304</v>
      </c>
      <c r="H362" s="3">
        <f>+Tabla2[[#This Row],[Meta Digital]]</f>
        <v>2543135.3378002774</v>
      </c>
      <c r="I362" s="3">
        <f>+Tabla2[[#This Row],[Meta MKPlace]]</f>
        <v>1165036.1771866528</v>
      </c>
      <c r="J362" s="3">
        <v>1583968</v>
      </c>
      <c r="K362" s="3"/>
      <c r="L362" s="3">
        <v>20177.586206896554</v>
      </c>
      <c r="M362" s="3"/>
      <c r="N362" s="3">
        <v>-301</v>
      </c>
      <c r="O362" s="3"/>
      <c r="P362" s="3">
        <v>875</v>
      </c>
      <c r="Q362" s="3"/>
      <c r="R362" s="3">
        <v>875</v>
      </c>
      <c r="S362" s="3"/>
      <c r="T362" s="3">
        <v>937342</v>
      </c>
      <c r="U362" s="3"/>
      <c r="V362" s="3">
        <v>208467</v>
      </c>
      <c r="W362" s="3"/>
      <c r="X362" s="3">
        <v>42593</v>
      </c>
      <c r="Y362" s="3"/>
      <c r="Z362" s="3">
        <v>48945</v>
      </c>
      <c r="AA362" s="3"/>
      <c r="AB362" s="3">
        <v>0</v>
      </c>
      <c r="AC362" s="3"/>
      <c r="AD362" s="3">
        <v>0</v>
      </c>
      <c r="AE362" s="3"/>
      <c r="AF362" s="5">
        <f t="shared" si="78"/>
        <v>0</v>
      </c>
      <c r="AG362" s="4">
        <f t="shared" si="79"/>
        <v>0</v>
      </c>
      <c r="AH362" s="5">
        <f t="shared" si="80"/>
        <v>-3708171.5149869304</v>
      </c>
      <c r="AI362" s="17">
        <f t="shared" si="82"/>
        <v>-1</v>
      </c>
      <c r="AJ362" s="17">
        <f t="shared" si="83"/>
        <v>7.7717782168641808E-2</v>
      </c>
      <c r="AK362" s="14" t="e">
        <f t="shared" si="84"/>
        <v>#DIV/0!</v>
      </c>
      <c r="AL362" s="14">
        <f t="shared" si="85"/>
        <v>-1</v>
      </c>
      <c r="AO362" s="19">
        <f>+Tabla22[[#This Row],[Web + APP 2025]]+Tabla22[[#This Row],[Afiliados 2025]]+Tabla22[[#This Row],[TMK 2025]]+Tabla22[[#This Row],[WA 2025]]+Tabla22[[#This Row],[Ent. en Tienda 2025]]</f>
        <v>1605594.5862068965</v>
      </c>
      <c r="AP362" s="19">
        <f>+Tabla22[[#This Row],[Meli Drop 2025]]+Tabla22[[#This Row],[Meli Full 2025]]+Tabla22[[#This Row],[Amazon Drop 2025]]+Tabla22[[#This Row],[Amazon Full 2025]]+Tabla22[[#This Row],[TikTok 2025]]+Tabla22[[#This Row],[Shein 2025]]</f>
        <v>1237347</v>
      </c>
    </row>
    <row r="363" spans="1:42" hidden="1" x14ac:dyDescent="0.3">
      <c r="A363" s="7">
        <v>46017</v>
      </c>
      <c r="B363" s="3">
        <v>53118932</v>
      </c>
      <c r="C363" s="3">
        <f t="shared" si="81"/>
        <v>4128285.5862068967</v>
      </c>
      <c r="D363" s="4">
        <f t="shared" si="86"/>
        <v>2.1971033343992481E-2</v>
      </c>
      <c r="E363" s="3"/>
      <c r="F363" s="7">
        <v>46382</v>
      </c>
      <c r="G363" s="3">
        <f>+Tabla22[[#This Row],[Meta Digital]]+Tabla22[[#This Row],[Meta MKPlace]]</f>
        <v>5384701.216083819</v>
      </c>
      <c r="H363" s="3">
        <f>+Tabla2[[#This Row],[Meta Digital]]</f>
        <v>3692931.6485963985</v>
      </c>
      <c r="I363" s="3">
        <f>+Tabla2[[#This Row],[Meta MKPlace]]</f>
        <v>1691769.567487421</v>
      </c>
      <c r="J363" s="3">
        <v>2721769</v>
      </c>
      <c r="K363" s="3"/>
      <c r="L363" s="3">
        <v>46586.20689655171</v>
      </c>
      <c r="M363" s="3"/>
      <c r="N363" s="3">
        <v>3089</v>
      </c>
      <c r="O363" s="3"/>
      <c r="P363" s="3">
        <v>3108</v>
      </c>
      <c r="Q363" s="3"/>
      <c r="R363" s="3">
        <v>141923</v>
      </c>
      <c r="S363" s="3"/>
      <c r="T363" s="3">
        <v>871637</v>
      </c>
      <c r="U363" s="3"/>
      <c r="V363" s="3">
        <v>261080</v>
      </c>
      <c r="W363" s="3"/>
      <c r="X363" s="3">
        <v>31394</v>
      </c>
      <c r="Y363" s="3"/>
      <c r="Z363" s="3">
        <v>47183</v>
      </c>
      <c r="AA363" s="3"/>
      <c r="AB363" s="3">
        <v>516.37931034482767</v>
      </c>
      <c r="AC363" s="3"/>
      <c r="AD363" s="3">
        <v>0</v>
      </c>
      <c r="AE363" s="3"/>
      <c r="AF363" s="5">
        <f t="shared" si="78"/>
        <v>0</v>
      </c>
      <c r="AG363" s="4">
        <f t="shared" si="79"/>
        <v>0</v>
      </c>
      <c r="AH363" s="5">
        <f t="shared" si="80"/>
        <v>-5384701.216083819</v>
      </c>
      <c r="AI363" s="17">
        <f t="shared" si="82"/>
        <v>-1</v>
      </c>
      <c r="AJ363" s="17">
        <f t="shared" si="83"/>
        <v>5.7728269867496684E-2</v>
      </c>
      <c r="AK363" s="14" t="e">
        <f t="shared" si="84"/>
        <v>#DIV/0!</v>
      </c>
      <c r="AL363" s="14">
        <f t="shared" si="85"/>
        <v>-1</v>
      </c>
      <c r="AO363" s="19">
        <f>+Tabla22[[#This Row],[Web + APP 2025]]+Tabla22[[#This Row],[Afiliados 2025]]+Tabla22[[#This Row],[TMK 2025]]+Tabla22[[#This Row],[WA 2025]]+Tabla22[[#This Row],[Ent. en Tienda 2025]]</f>
        <v>2916475.2068965519</v>
      </c>
      <c r="AP363" s="19">
        <f>+Tabla22[[#This Row],[Meli Drop 2025]]+Tabla22[[#This Row],[Meli Full 2025]]+Tabla22[[#This Row],[Amazon Drop 2025]]+Tabla22[[#This Row],[Amazon Full 2025]]+Tabla22[[#This Row],[TikTok 2025]]+Tabla22[[#This Row],[Shein 2025]]</f>
        <v>1211810.3793103448</v>
      </c>
    </row>
    <row r="364" spans="1:42" hidden="1" x14ac:dyDescent="0.3">
      <c r="A364" s="63">
        <v>46018</v>
      </c>
      <c r="B364" s="3">
        <v>58987154</v>
      </c>
      <c r="C364" s="3">
        <f t="shared" si="81"/>
        <v>3405226.3448275863</v>
      </c>
      <c r="D364" s="4">
        <f t="shared" si="86"/>
        <v>1.8122859962987788E-2</v>
      </c>
      <c r="E364" s="3"/>
      <c r="F364" s="7">
        <v>46383</v>
      </c>
      <c r="G364" s="3">
        <f>+Tabla22[[#This Row],[Meta Digital]]+Tabla22[[#This Row],[Meta MKPlace]]</f>
        <v>4441583.814185963</v>
      </c>
      <c r="H364" s="3">
        <f>+Tabla2[[#This Row],[Meta Digital]]</f>
        <v>3046123.5970359035</v>
      </c>
      <c r="I364" s="3">
        <f>+Tabla2[[#This Row],[Meta MKPlace]]</f>
        <v>1395460.2171500598</v>
      </c>
      <c r="J364" s="3">
        <v>2337835</v>
      </c>
      <c r="K364" s="3"/>
      <c r="L364" s="3">
        <v>29682.758620689652</v>
      </c>
      <c r="M364" s="3"/>
      <c r="N364" s="3">
        <v>28710</v>
      </c>
      <c r="O364" s="3"/>
      <c r="P364" s="3">
        <v>1996</v>
      </c>
      <c r="Q364" s="3"/>
      <c r="R364" s="3">
        <v>81564</v>
      </c>
      <c r="S364" s="3"/>
      <c r="T364" s="3">
        <v>580797</v>
      </c>
      <c r="U364" s="3"/>
      <c r="V364" s="3">
        <v>266643</v>
      </c>
      <c r="W364" s="3"/>
      <c r="X364" s="3">
        <v>33335</v>
      </c>
      <c r="Y364" s="3"/>
      <c r="Z364" s="3">
        <v>43286</v>
      </c>
      <c r="AA364" s="3"/>
      <c r="AB364" s="3">
        <v>1377.5862068965519</v>
      </c>
      <c r="AC364" s="3"/>
      <c r="AD364" s="3">
        <v>0</v>
      </c>
      <c r="AE364" s="3"/>
      <c r="AF364" s="5">
        <f t="shared" si="78"/>
        <v>0</v>
      </c>
      <c r="AG364" s="4">
        <f t="shared" si="79"/>
        <v>0</v>
      </c>
      <c r="AH364" s="5">
        <f t="shared" si="80"/>
        <v>-4441583.814185963</v>
      </c>
      <c r="AI364" s="17">
        <f t="shared" si="82"/>
        <v>-1</v>
      </c>
      <c r="AJ364" s="17">
        <f t="shared" si="83"/>
        <v>5.1796928950863928E-2</v>
      </c>
      <c r="AK364" s="14" t="e">
        <f t="shared" si="84"/>
        <v>#DIV/0!</v>
      </c>
      <c r="AL364" s="14">
        <f t="shared" si="85"/>
        <v>-1</v>
      </c>
      <c r="AO364" s="19">
        <f>+Tabla22[[#This Row],[Web + APP 2025]]+Tabla22[[#This Row],[Afiliados 2025]]+Tabla22[[#This Row],[TMK 2025]]+Tabla22[[#This Row],[WA 2025]]+Tabla22[[#This Row],[Ent. en Tienda 2025]]</f>
        <v>2479787.7586206896</v>
      </c>
      <c r="AP364" s="19">
        <f>+Tabla22[[#This Row],[Meli Drop 2025]]+Tabla22[[#This Row],[Meli Full 2025]]+Tabla22[[#This Row],[Amazon Drop 2025]]+Tabla22[[#This Row],[Amazon Full 2025]]+Tabla22[[#This Row],[TikTok 2025]]+Tabla22[[#This Row],[Shein 2025]]</f>
        <v>925438.58620689658</v>
      </c>
    </row>
    <row r="365" spans="1:42" hidden="1" x14ac:dyDescent="0.3">
      <c r="A365" s="7">
        <v>46019</v>
      </c>
      <c r="B365" s="3">
        <v>66407159</v>
      </c>
      <c r="C365" s="3">
        <f t="shared" si="81"/>
        <v>3439686.8965517241</v>
      </c>
      <c r="D365" s="4">
        <f t="shared" si="86"/>
        <v>1.8306261502240084E-2</v>
      </c>
      <c r="E365" s="3"/>
      <c r="F365" s="7">
        <v>46384</v>
      </c>
      <c r="G365" s="3">
        <f>+Tabla22[[#This Row],[Meta Digital]]+Tabla22[[#This Row],[Meta MKPlace]]</f>
        <v>4486532.2003625063</v>
      </c>
      <c r="H365" s="3">
        <f>+Tabla2[[#This Row],[Meta Digital]]</f>
        <v>3076950.0646900199</v>
      </c>
      <c r="I365" s="3">
        <f>+Tabla2[[#This Row],[Meta MKPlace]]</f>
        <v>1409582.1356724864</v>
      </c>
      <c r="J365" s="3">
        <v>2361733</v>
      </c>
      <c r="K365" s="3"/>
      <c r="L365" s="3">
        <v>46006.89655172413</v>
      </c>
      <c r="M365" s="3"/>
      <c r="N365" s="3">
        <v>-1939</v>
      </c>
      <c r="O365" s="3"/>
      <c r="P365" s="3">
        <v>5572</v>
      </c>
      <c r="Q365" s="3"/>
      <c r="R365" s="3">
        <v>66956</v>
      </c>
      <c r="S365" s="3"/>
      <c r="T365" s="3">
        <v>557576</v>
      </c>
      <c r="U365" s="3"/>
      <c r="V365" s="3">
        <v>290065</v>
      </c>
      <c r="W365" s="3"/>
      <c r="X365" s="3">
        <v>51047</v>
      </c>
      <c r="Y365" s="3"/>
      <c r="Z365" s="3">
        <v>62670</v>
      </c>
      <c r="AA365" s="3"/>
      <c r="AB365" s="3">
        <v>0</v>
      </c>
      <c r="AC365" s="3"/>
      <c r="AD365" s="3">
        <v>0</v>
      </c>
      <c r="AE365" s="3"/>
      <c r="AF365" s="5">
        <f t="shared" si="78"/>
        <v>0</v>
      </c>
      <c r="AG365" s="4">
        <f t="shared" si="79"/>
        <v>0</v>
      </c>
      <c r="AH365" s="5">
        <f t="shared" si="80"/>
        <v>-4486532.2003625063</v>
      </c>
      <c r="AI365" s="17">
        <f t="shared" si="82"/>
        <v>-1</v>
      </c>
      <c r="AJ365" s="17">
        <f t="shared" si="83"/>
        <v>7.8772924398459912E-2</v>
      </c>
      <c r="AK365" s="14" t="e">
        <f t="shared" si="84"/>
        <v>#DIV/0!</v>
      </c>
      <c r="AL365" s="14">
        <f t="shared" si="85"/>
        <v>-1</v>
      </c>
      <c r="AO365" s="19">
        <f>+Tabla22[[#This Row],[Web + APP 2025]]+Tabla22[[#This Row],[Afiliados 2025]]+Tabla22[[#This Row],[TMK 2025]]+Tabla22[[#This Row],[WA 2025]]+Tabla22[[#This Row],[Ent. en Tienda 2025]]</f>
        <v>2478328.8965517241</v>
      </c>
      <c r="AP365" s="19">
        <f>+Tabla22[[#This Row],[Meli Drop 2025]]+Tabla22[[#This Row],[Meli Full 2025]]+Tabla22[[#This Row],[Amazon Drop 2025]]+Tabla22[[#This Row],[Amazon Full 2025]]+Tabla22[[#This Row],[TikTok 2025]]+Tabla22[[#This Row],[Shein 2025]]</f>
        <v>961358</v>
      </c>
    </row>
    <row r="366" spans="1:42" hidden="1" x14ac:dyDescent="0.3">
      <c r="A366" s="63">
        <v>46020</v>
      </c>
      <c r="B366" s="3">
        <v>64104194</v>
      </c>
      <c r="C366" s="3">
        <f t="shared" si="81"/>
        <v>5049674.8275862075</v>
      </c>
      <c r="D366" s="4">
        <f t="shared" si="86"/>
        <v>2.6874733275212843E-2</v>
      </c>
      <c r="E366" s="3"/>
      <c r="F366" s="7">
        <v>46385</v>
      </c>
      <c r="G366" s="3">
        <f>+Tabla22[[#This Row],[Meta Digital]]+Tabla22[[#This Row],[Meta MKPlace]]</f>
        <v>6586509.0040717386</v>
      </c>
      <c r="H366" s="3">
        <f>+Tabla2[[#This Row],[Meta Digital]]</f>
        <v>4517154.5418803496</v>
      </c>
      <c r="I366" s="3">
        <f>+Tabla2[[#This Row],[Meta MKPlace]]</f>
        <v>2069354.4621913889</v>
      </c>
      <c r="J366" s="3">
        <v>3160262</v>
      </c>
      <c r="K366" s="3"/>
      <c r="L366" s="3">
        <v>41125.862068965507</v>
      </c>
      <c r="M366" s="3"/>
      <c r="N366" s="3">
        <v>-878</v>
      </c>
      <c r="O366" s="3"/>
      <c r="P366" s="3">
        <v>808</v>
      </c>
      <c r="Q366" s="3"/>
      <c r="R366" s="3">
        <v>79809</v>
      </c>
      <c r="S366" s="3"/>
      <c r="T366" s="3">
        <v>1453361</v>
      </c>
      <c r="U366" s="3"/>
      <c r="V366" s="3">
        <v>198633</v>
      </c>
      <c r="W366" s="3"/>
      <c r="X366" s="3">
        <v>31565</v>
      </c>
      <c r="Y366" s="3"/>
      <c r="Z366" s="3">
        <v>46263</v>
      </c>
      <c r="AA366" s="3"/>
      <c r="AB366" s="3">
        <v>38725.965517241384</v>
      </c>
      <c r="AC366" s="3"/>
      <c r="AD366" s="3">
        <v>0</v>
      </c>
      <c r="AE366" s="3"/>
      <c r="AF366" s="5">
        <f t="shared" si="78"/>
        <v>0</v>
      </c>
      <c r="AG366" s="4">
        <f t="shared" si="79"/>
        <v>0</v>
      </c>
      <c r="AH366" s="5">
        <f t="shared" si="80"/>
        <v>-6586509.0040717386</v>
      </c>
      <c r="AI366" s="17">
        <f t="shared" si="82"/>
        <v>-1</v>
      </c>
      <c r="AJ366" s="17">
        <f t="shared" si="83"/>
        <v>5.4388240205066843E-2</v>
      </c>
      <c r="AK366" s="14" t="e">
        <f t="shared" si="84"/>
        <v>#DIV/0!</v>
      </c>
      <c r="AL366" s="14">
        <f t="shared" si="85"/>
        <v>-1</v>
      </c>
      <c r="AO366" s="19">
        <f>+Tabla22[[#This Row],[Web + APP 2025]]+Tabla22[[#This Row],[Afiliados 2025]]+Tabla22[[#This Row],[TMK 2025]]+Tabla22[[#This Row],[WA 2025]]+Tabla22[[#This Row],[Ent. en Tienda 2025]]</f>
        <v>3281126.8620689656</v>
      </c>
      <c r="AP366" s="19">
        <f>+Tabla22[[#This Row],[Meli Drop 2025]]+Tabla22[[#This Row],[Meli Full 2025]]+Tabla22[[#This Row],[Amazon Drop 2025]]+Tabla22[[#This Row],[Amazon Full 2025]]+Tabla22[[#This Row],[TikTok 2025]]+Tabla22[[#This Row],[Shein 2025]]</f>
        <v>1768547.9655172413</v>
      </c>
    </row>
    <row r="367" spans="1:42" hidden="1" x14ac:dyDescent="0.3">
      <c r="A367" s="7">
        <v>46021</v>
      </c>
      <c r="B367" s="3">
        <v>68127355</v>
      </c>
      <c r="C367" s="3">
        <f t="shared" si="81"/>
        <v>3705326.9482758618</v>
      </c>
      <c r="D367" s="4">
        <f t="shared" si="86"/>
        <v>1.9720016997603822E-2</v>
      </c>
      <c r="E367" s="3"/>
      <c r="F367" s="7">
        <v>46386</v>
      </c>
      <c r="G367" s="3">
        <f>+Tabla22[[#This Row],[Meta Digital]]+Tabla22[[#This Row],[Meta MKPlace]]</f>
        <v>4833017.9944506502</v>
      </c>
      <c r="H367" s="3">
        <f>+Tabla2[[#This Row],[Meta Digital]]</f>
        <v>3314576.6856351555</v>
      </c>
      <c r="I367" s="3">
        <f>+Tabla2[[#This Row],[Meta MKPlace]]</f>
        <v>1518441.3088154944</v>
      </c>
      <c r="J367" s="3">
        <v>2661283</v>
      </c>
      <c r="K367" s="3"/>
      <c r="L367" s="3">
        <v>34689.65517241379</v>
      </c>
      <c r="M367" s="3"/>
      <c r="N367" s="3">
        <v>41930</v>
      </c>
      <c r="O367" s="3"/>
      <c r="P367" s="3">
        <v>1066</v>
      </c>
      <c r="Q367" s="3"/>
      <c r="R367" s="3">
        <v>144544</v>
      </c>
      <c r="S367" s="3"/>
      <c r="T367" s="3">
        <v>638572</v>
      </c>
      <c r="U367" s="3"/>
      <c r="V367" s="3">
        <v>76225</v>
      </c>
      <c r="W367" s="3"/>
      <c r="X367" s="3">
        <v>34881</v>
      </c>
      <c r="Y367" s="3"/>
      <c r="Z367" s="3">
        <v>48503</v>
      </c>
      <c r="AA367" s="3"/>
      <c r="AB367" s="3">
        <v>23633.293103448275</v>
      </c>
      <c r="AC367" s="3"/>
      <c r="AD367" s="3">
        <v>0</v>
      </c>
      <c r="AE367" s="3"/>
      <c r="AF367" s="5">
        <f t="shared" si="78"/>
        <v>0</v>
      </c>
      <c r="AG367" s="4">
        <f t="shared" si="79"/>
        <v>0</v>
      </c>
      <c r="AH367" s="5">
        <f t="shared" si="80"/>
        <v>-4833017.9944506502</v>
      </c>
      <c r="AI367" s="17">
        <f t="shared" si="82"/>
        <v>-1</v>
      </c>
      <c r="AJ367" s="17">
        <f t="shared" si="83"/>
        <v>5.281232545210781E-2</v>
      </c>
      <c r="AK367" s="14" t="e">
        <f t="shared" si="84"/>
        <v>#DIV/0!</v>
      </c>
      <c r="AL367" s="14">
        <f t="shared" si="85"/>
        <v>-1</v>
      </c>
      <c r="AO367" s="19">
        <f>+Tabla22[[#This Row],[Web + APP 2025]]+Tabla22[[#This Row],[Afiliados 2025]]+Tabla22[[#This Row],[TMK 2025]]+Tabla22[[#This Row],[WA 2025]]+Tabla22[[#This Row],[Ent. en Tienda 2025]]</f>
        <v>2883512.6551724137</v>
      </c>
      <c r="AP367" s="19">
        <f>+Tabla22[[#This Row],[Meli Drop 2025]]+Tabla22[[#This Row],[Meli Full 2025]]+Tabla22[[#This Row],[Amazon Drop 2025]]+Tabla22[[#This Row],[Amazon Full 2025]]+Tabla22[[#This Row],[TikTok 2025]]+Tabla22[[#This Row],[Shein 2025]]</f>
        <v>821814.29310344823</v>
      </c>
    </row>
    <row r="368" spans="1:42" hidden="1" x14ac:dyDescent="0.3">
      <c r="A368" s="63">
        <v>46022</v>
      </c>
      <c r="B368" s="3">
        <v>34102697</v>
      </c>
      <c r="C368" s="3">
        <f t="shared" si="81"/>
        <v>1801042.7327586208</v>
      </c>
      <c r="D368" s="4">
        <f t="shared" si="86"/>
        <v>9.5852791937664737E-3</v>
      </c>
      <c r="E368" s="3"/>
      <c r="F368" s="7">
        <v>46387</v>
      </c>
      <c r="G368" s="3">
        <f>+Tabla22[[#This Row],[Meta Digital]]+Tabla22[[#This Row],[Meta MKPlace]]</f>
        <v>2349177.8344276189</v>
      </c>
      <c r="H368" s="3">
        <f>+Tabla2[[#This Row],[Meta Digital]]</f>
        <v>1611111.3365076005</v>
      </c>
      <c r="I368" s="3">
        <f>+Tabla2[[#This Row],[Meta MKPlace]]</f>
        <v>738066.4979200185</v>
      </c>
      <c r="J368" s="3">
        <v>1199966</v>
      </c>
      <c r="K368" s="3"/>
      <c r="L368" s="3">
        <v>21188.793103448275</v>
      </c>
      <c r="M368" s="3"/>
      <c r="N368" s="3">
        <v>9722</v>
      </c>
      <c r="O368" s="3"/>
      <c r="P368" s="3">
        <v>473</v>
      </c>
      <c r="Q368" s="3"/>
      <c r="R368" s="3">
        <v>87359</v>
      </c>
      <c r="S368" s="3"/>
      <c r="T368" s="3">
        <v>353464</v>
      </c>
      <c r="U368" s="3"/>
      <c r="V368" s="3">
        <v>73566</v>
      </c>
      <c r="W368" s="3"/>
      <c r="X368" s="3">
        <v>22861</v>
      </c>
      <c r="Y368" s="3"/>
      <c r="Z368" s="3">
        <v>29946</v>
      </c>
      <c r="AA368" s="3"/>
      <c r="AB368" s="3">
        <v>2496.9396551724139</v>
      </c>
      <c r="AC368" s="3"/>
      <c r="AD368" s="3">
        <v>0</v>
      </c>
      <c r="AE368" s="3"/>
      <c r="AF368" s="5">
        <f t="shared" si="78"/>
        <v>0</v>
      </c>
      <c r="AG368" s="4">
        <f t="shared" ref="AG368" si="87">+AF368/G368</f>
        <v>0</v>
      </c>
      <c r="AH368" s="5">
        <f t="shared" si="80"/>
        <v>-2349177.8344276189</v>
      </c>
      <c r="AI368" s="17" t="e">
        <f t="shared" si="82"/>
        <v>#DIV/0!</v>
      </c>
      <c r="AJ368" s="17" t="e">
        <f t="shared" si="83"/>
        <v>#DIV/0!</v>
      </c>
      <c r="AK368" s="14" t="e">
        <f t="shared" si="84"/>
        <v>#DIV/0!</v>
      </c>
      <c r="AL368" s="14" t="e">
        <f t="shared" si="85"/>
        <v>#DIV/0!</v>
      </c>
      <c r="AO368" s="19">
        <f>+Tabla22[[#This Row],[Web + APP 2025]]+Tabla22[[#This Row],[Afiliados 2025]]+Tabla22[[#This Row],[TMK 2025]]+Tabla22[[#This Row],[WA 2025]]+Tabla22[[#This Row],[Ent. en Tienda 2025]]</f>
        <v>1318708.7931034483</v>
      </c>
      <c r="AP368" s="19">
        <f>+Tabla22[[#This Row],[Meli Drop 2025]]+Tabla22[[#This Row],[Meli Full 2025]]+Tabla22[[#This Row],[Amazon Drop 2025]]+Tabla22[[#This Row],[Amazon Full 2025]]+Tabla22[[#This Row],[TikTok 2025]]+Tabla22[[#This Row],[Shein 2025]]</f>
        <v>482333.93965517241</v>
      </c>
    </row>
    <row r="372" spans="8:9" x14ac:dyDescent="0.3">
      <c r="H372" s="19">
        <f>+SUM(H63:H93)</f>
        <v>98337530.345091119</v>
      </c>
      <c r="I372" s="24">
        <f>+H372*[1]Hoja1!F31</f>
        <v>2448823.6577100577</v>
      </c>
    </row>
  </sheetData>
  <autoFilter ref="A3:A368" xr:uid="{87187117-2599-4A3A-A99C-1763085E1BB3}"/>
  <conditionalFormatting sqref="AH4:AH368">
    <cfRule type="cellIs" dxfId="33" priority="1" operator="lessThan">
      <formula>0</formula>
    </cfRule>
    <cfRule type="cellIs" dxfId="32" priority="2" operator="greaterThan">
      <formula>0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C4696-D442-4E5F-A15A-D61450D4607F}">
  <dimension ref="D3:AD14"/>
  <sheetViews>
    <sheetView topLeftCell="E4" zoomScaleNormal="100" workbookViewId="0">
      <selection activeCell="H10" sqref="H10"/>
    </sheetView>
  </sheetViews>
  <sheetFormatPr baseColWidth="10" defaultColWidth="11.44140625" defaultRowHeight="14.4" x14ac:dyDescent="0.3"/>
  <cols>
    <col min="1" max="1" width="2.44140625" customWidth="1"/>
    <col min="4" max="4" width="18.44140625" customWidth="1"/>
    <col min="5" max="16" width="17.5546875" customWidth="1"/>
    <col min="18" max="18" width="21.77734375" customWidth="1"/>
    <col min="19" max="30" width="16" customWidth="1"/>
  </cols>
  <sheetData>
    <row r="3" spans="4:30" ht="36" customHeight="1" thickBot="1" x14ac:dyDescent="0.35">
      <c r="D3" s="62"/>
      <c r="E3" s="90" t="s">
        <v>47</v>
      </c>
      <c r="F3" s="90"/>
      <c r="G3" s="90"/>
      <c r="H3" s="90"/>
      <c r="I3" s="90"/>
      <c r="J3" s="90" t="s">
        <v>48</v>
      </c>
      <c r="K3" s="90"/>
      <c r="L3" s="90"/>
      <c r="M3" s="90" t="s">
        <v>50</v>
      </c>
      <c r="N3" s="90"/>
      <c r="O3" s="90"/>
      <c r="P3" s="90"/>
      <c r="R3" s="62"/>
      <c r="S3" s="90" t="s">
        <v>47</v>
      </c>
      <c r="T3" s="90"/>
      <c r="U3" s="90"/>
      <c r="V3" s="90"/>
      <c r="W3" s="90"/>
      <c r="X3" s="90" t="s">
        <v>48</v>
      </c>
      <c r="Y3" s="90"/>
      <c r="Z3" s="90"/>
      <c r="AA3" s="90" t="s">
        <v>50</v>
      </c>
      <c r="AB3" s="90"/>
      <c r="AC3" s="90"/>
      <c r="AD3" s="90"/>
    </row>
    <row r="4" spans="4:30" ht="36" customHeight="1" thickBot="1" x14ac:dyDescent="0.35">
      <c r="D4" s="60" t="s">
        <v>37</v>
      </c>
      <c r="E4" s="30" t="s">
        <v>42</v>
      </c>
      <c r="F4" s="31" t="s">
        <v>43</v>
      </c>
      <c r="G4" s="25" t="s">
        <v>51</v>
      </c>
      <c r="H4" s="25" t="s">
        <v>52</v>
      </c>
      <c r="I4" s="61" t="s">
        <v>49</v>
      </c>
      <c r="J4" s="61" t="s">
        <v>89</v>
      </c>
      <c r="K4" s="61" t="s">
        <v>51</v>
      </c>
      <c r="L4" s="61" t="s">
        <v>52</v>
      </c>
      <c r="M4" s="25">
        <v>2026</v>
      </c>
      <c r="N4" s="25" t="s">
        <v>90</v>
      </c>
      <c r="O4" s="25" t="s">
        <v>51</v>
      </c>
      <c r="P4" s="26" t="s">
        <v>52</v>
      </c>
      <c r="R4" s="60" t="s">
        <v>37</v>
      </c>
      <c r="S4" s="31" t="s">
        <v>42</v>
      </c>
      <c r="T4" s="31" t="s">
        <v>43</v>
      </c>
      <c r="U4" s="25" t="s">
        <v>51</v>
      </c>
      <c r="V4" s="25" t="s">
        <v>52</v>
      </c>
      <c r="W4" s="61" t="s">
        <v>49</v>
      </c>
      <c r="X4" s="61" t="s">
        <v>89</v>
      </c>
      <c r="Y4" s="61" t="s">
        <v>51</v>
      </c>
      <c r="Z4" s="61" t="s">
        <v>52</v>
      </c>
      <c r="AA4" s="25">
        <v>2026</v>
      </c>
      <c r="AB4" s="25" t="s">
        <v>90</v>
      </c>
      <c r="AC4" s="25" t="s">
        <v>51</v>
      </c>
      <c r="AD4" s="26" t="s">
        <v>52</v>
      </c>
    </row>
    <row r="5" spans="4:30" ht="36" customHeight="1" x14ac:dyDescent="0.3">
      <c r="D5" s="38" t="s">
        <v>38</v>
      </c>
      <c r="E5" s="64">
        <f>+'Dashboard MF'!E5</f>
        <v>76581683</v>
      </c>
      <c r="F5" s="65">
        <f>+SUM('BD MD'!$H$63:$H$86)*Hoja1!F29</f>
        <v>73405486.865990788</v>
      </c>
      <c r="G5" s="41">
        <f>+E5/F5-1</f>
        <v>4.3269192394400635E-2</v>
      </c>
      <c r="H5" s="41">
        <f>+E5/(SUM('BD MD'!J63:J86))-1</f>
        <v>0.34787305800014257</v>
      </c>
      <c r="I5" s="65">
        <f>+'Dashboard MF'!I5</f>
        <v>97379776.09707585</v>
      </c>
      <c r="J5" s="65">
        <f>+Hoja1!F17</f>
        <v>94203579.963066682</v>
      </c>
      <c r="K5" s="41">
        <f>+I5/(SUM('BD MD'!H63:H93)*Hoja1!F29)-1</f>
        <v>3.3716299691099572E-2</v>
      </c>
      <c r="L5" s="41">
        <f>+I5/(SUM('BD MD'!J63:J93))-1</f>
        <v>0.3438589197305737</v>
      </c>
      <c r="M5" s="65">
        <f>+'Dashboard MF'!M5</f>
        <v>1377952251.7977972</v>
      </c>
      <c r="N5" s="65">
        <f>+Hoja1!P17</f>
        <v>1380982825.6637878</v>
      </c>
      <c r="O5" s="41">
        <f>+M5/Hoja1!P17-1</f>
        <v>-2.1945051087322032E-3</v>
      </c>
      <c r="P5" s="42">
        <f>+M5/(SUM('BD MD'!J4:J367))-1</f>
        <v>0.30673901586992347</v>
      </c>
      <c r="R5" s="38" t="s">
        <v>38</v>
      </c>
      <c r="S5" s="39">
        <f t="shared" ref="S5:T9" si="0">+E5/1000000</f>
        <v>76.581682999999998</v>
      </c>
      <c r="T5" s="40">
        <f t="shared" si="0"/>
        <v>73.405486865990781</v>
      </c>
      <c r="U5" s="41">
        <f>+G5</f>
        <v>4.3269192394400635E-2</v>
      </c>
      <c r="V5" s="41">
        <f>+H5</f>
        <v>0.34787305800014257</v>
      </c>
      <c r="W5" s="40">
        <f t="shared" ref="W5:X9" si="1">+I5/1000000</f>
        <v>97.379776097075847</v>
      </c>
      <c r="X5" s="40">
        <f t="shared" si="1"/>
        <v>94.203579963066687</v>
      </c>
      <c r="Y5" s="41">
        <f t="shared" ref="Y5:Y9" si="2">+K5</f>
        <v>3.3716299691099572E-2</v>
      </c>
      <c r="Z5" s="41">
        <f t="shared" ref="Z5:Z9" si="3">+L5</f>
        <v>0.3438589197305737</v>
      </c>
      <c r="AA5" s="40">
        <f t="shared" ref="AA5:AB9" si="4">+M5/1000000</f>
        <v>1377.9522517977973</v>
      </c>
      <c r="AB5" s="40">
        <f t="shared" si="4"/>
        <v>1380.9828256637879</v>
      </c>
      <c r="AC5" s="41">
        <f t="shared" ref="AC5:AC9" si="5">+O5</f>
        <v>-2.1945051087322032E-3</v>
      </c>
      <c r="AD5" s="42">
        <f t="shared" ref="AD5:AD9" si="6">+P5</f>
        <v>0.30673901586992347</v>
      </c>
    </row>
    <row r="6" spans="4:30" ht="36" customHeight="1" x14ac:dyDescent="0.3">
      <c r="D6" s="35" t="s">
        <v>39</v>
      </c>
      <c r="E6" s="66">
        <f>+'Dashboard MF'!E6</f>
        <v>13596840</v>
      </c>
      <c r="F6" s="67">
        <f>+SUM('BD MD'!I63:I86)</f>
        <v>16266654</v>
      </c>
      <c r="G6" s="33">
        <f>+E6/F6-1</f>
        <v>-0.16412803764068506</v>
      </c>
      <c r="H6" s="33">
        <f>+(E6/(SUM('BD MD'!T63:T86)+SUM('BD MD'!V63:V86)+SUM('BD MD'!X63:X86)+SUM('BD MD'!Z63:Z86)+SUM('BD MD'!AB63:AB86)+SUM('BD MD'!AD63:AD86)))-1</f>
        <v>5.8872921371861286E-2</v>
      </c>
      <c r="I6" s="65">
        <f>+'Dashboard MF'!I6</f>
        <v>17136849.600000001</v>
      </c>
      <c r="J6" s="67">
        <f>+Hoja1!F21+Hoja1!F22+Hoja1!F23</f>
        <v>20200000</v>
      </c>
      <c r="K6" s="33">
        <f>+I6/(SUM('BD MD'!I63:I93))-1</f>
        <v>-0.1516410249149529</v>
      </c>
      <c r="L6" s="33">
        <f>+(I6/(SUM('BD MD'!T63:T93)+SUM('BD MD'!V63:V93)+SUM('BD MD'!X63:X93)+SUM('BD MD'!Z63:Z93)+SUM('BD MD'!AB63:AB93)+SUM('BD MD'!AD63:AD93)))-1</f>
        <v>8.7184007520277884E-3</v>
      </c>
      <c r="M6" s="67">
        <f>+'Dashboard MF'!M6</f>
        <v>406299382.60000002</v>
      </c>
      <c r="N6" s="67">
        <f>+Hoja1!P21+Hoja1!P22+Hoja1!P23</f>
        <v>412000000</v>
      </c>
      <c r="O6" s="33">
        <f>+(M6/(Hoja1!P21+Hoja1!P22+Hoja1!P23))-1</f>
        <v>-1.3836449999999889E-2</v>
      </c>
      <c r="P6" s="37">
        <f>+M6/'BD MD'!AE1-1</f>
        <v>0.3231046499446566</v>
      </c>
      <c r="R6" s="35" t="s">
        <v>39</v>
      </c>
      <c r="S6" s="34">
        <f t="shared" si="0"/>
        <v>13.59684</v>
      </c>
      <c r="T6" s="32">
        <f t="shared" si="0"/>
        <v>16.266653999999999</v>
      </c>
      <c r="U6" s="33">
        <f t="shared" ref="U6:U9" si="7">+G6</f>
        <v>-0.16412803764068506</v>
      </c>
      <c r="V6" s="33">
        <f>+H6</f>
        <v>5.8872921371861286E-2</v>
      </c>
      <c r="W6" s="32">
        <f t="shared" si="1"/>
        <v>17.136849600000001</v>
      </c>
      <c r="X6" s="32">
        <f t="shared" si="1"/>
        <v>20.2</v>
      </c>
      <c r="Y6" s="33">
        <f t="shared" si="2"/>
        <v>-0.1516410249149529</v>
      </c>
      <c r="Z6" s="33">
        <f t="shared" si="3"/>
        <v>8.7184007520277884E-3</v>
      </c>
      <c r="AA6" s="32">
        <f t="shared" si="4"/>
        <v>406.2993826</v>
      </c>
      <c r="AB6" s="40">
        <f t="shared" si="4"/>
        <v>412</v>
      </c>
      <c r="AC6" s="33">
        <f t="shared" si="5"/>
        <v>-1.3836449999999889E-2</v>
      </c>
      <c r="AD6" s="37">
        <f t="shared" si="6"/>
        <v>0.3231046499446566</v>
      </c>
    </row>
    <row r="7" spans="4:30" ht="36" customHeight="1" x14ac:dyDescent="0.3">
      <c r="D7" s="35" t="s">
        <v>40</v>
      </c>
      <c r="E7" s="66">
        <f>+'Dashboard MF'!E7</f>
        <v>758177</v>
      </c>
      <c r="F7" s="67">
        <f>+SUM('BD MD'!$H$63:$H$86)*(Hoja1!F30+Hoja1!F32)</f>
        <v>1313087.5459052667</v>
      </c>
      <c r="G7" s="33">
        <f>+E7/F7-1</f>
        <v>-0.42259980885181658</v>
      </c>
      <c r="H7" s="33">
        <f>+(E7/(SUM('BD MD'!N63:N86)+SUM('BD MD'!P63:P86)))-1</f>
        <v>-0.39019619355705282</v>
      </c>
      <c r="I7" s="65">
        <f>+'Dashboard MF'!I7</f>
        <v>1018604.4248864215</v>
      </c>
      <c r="J7" s="67">
        <f>+Hoja1!F18+Hoja1!F20</f>
        <v>1685126.7243144412</v>
      </c>
      <c r="K7" s="33">
        <f>+(I7/(SUM('BD MD'!H63:H93)*(Hoja1!F30+Hoja1!F32))-1)</f>
        <v>-0.39553244857545056</v>
      </c>
      <c r="L7" s="33">
        <f>+(I7/(SUM('BD MD'!N62:N93)+SUM('BD MD'!P63:P93)))-1</f>
        <v>-0.37377115579700493</v>
      </c>
      <c r="M7" s="67">
        <f>+'Dashboard MF'!M7</f>
        <v>12137926.817866314</v>
      </c>
      <c r="N7" s="67">
        <f>+Hoja1!P18+Hoja1!P20</f>
        <v>19000000</v>
      </c>
      <c r="O7" s="33">
        <f>+M7/(Hoja1!P20+Hoja1!P18)-1</f>
        <v>-0.36116174642808874</v>
      </c>
      <c r="P7" s="37">
        <f>+(M7/('BD MD'!N1+'BD MD'!P1))-1</f>
        <v>-0.28057220176187292</v>
      </c>
      <c r="R7" s="35" t="s">
        <v>40</v>
      </c>
      <c r="S7" s="34">
        <f t="shared" si="0"/>
        <v>0.75817699999999999</v>
      </c>
      <c r="T7" s="32">
        <f t="shared" si="0"/>
        <v>1.3130875459052667</v>
      </c>
      <c r="U7" s="33">
        <f t="shared" si="7"/>
        <v>-0.42259980885181658</v>
      </c>
      <c r="V7" s="33">
        <f>+H7</f>
        <v>-0.39019619355705282</v>
      </c>
      <c r="W7" s="32">
        <f t="shared" si="1"/>
        <v>1.0186044248864214</v>
      </c>
      <c r="X7" s="32">
        <f t="shared" si="1"/>
        <v>1.6851267243144412</v>
      </c>
      <c r="Y7" s="33">
        <f t="shared" si="2"/>
        <v>-0.39553244857545056</v>
      </c>
      <c r="Z7" s="33">
        <f t="shared" si="3"/>
        <v>-0.37377115579700493</v>
      </c>
      <c r="AA7" s="32">
        <f t="shared" si="4"/>
        <v>12.137926817866314</v>
      </c>
      <c r="AB7" s="40">
        <f t="shared" si="4"/>
        <v>19</v>
      </c>
      <c r="AC7" s="33">
        <f t="shared" si="5"/>
        <v>-0.36116174642808874</v>
      </c>
      <c r="AD7" s="37">
        <f t="shared" si="6"/>
        <v>-0.28057220176187292</v>
      </c>
    </row>
    <row r="8" spans="4:30" ht="36" customHeight="1" thickBot="1" x14ac:dyDescent="0.35">
      <c r="D8" s="36" t="s">
        <v>41</v>
      </c>
      <c r="E8" s="68">
        <f>+'Dashboard MF'!E8</f>
        <v>2155148</v>
      </c>
      <c r="F8" s="69">
        <f>+SUM('BD MD'!$H$63:$H$86)*Hoja1!F31</f>
        <v>1908176.8751637524</v>
      </c>
      <c r="G8" s="45">
        <f>+E8/F8-1</f>
        <v>0.12942779469280263</v>
      </c>
      <c r="H8" s="45">
        <f>+E8/(SUM('BD MD'!R63:R86))-1</f>
        <v>0.37138675541358301</v>
      </c>
      <c r="I8" s="65">
        <f>+'Dashboard MF'!I8</f>
        <v>2695794.7825463056</v>
      </c>
      <c r="J8" s="69">
        <f>+Hoja1!F19</f>
        <v>2448823.6577100591</v>
      </c>
      <c r="K8" s="45">
        <f>+(I8/(SUM('BD MD'!H63:H93)*(Hoja1!F31)))-1</f>
        <v>0.10085296426252088</v>
      </c>
      <c r="L8" s="45">
        <f>+(I8/(SUM('BD MD'!R63:R93))-1)</f>
        <v>0.4135860271623748</v>
      </c>
      <c r="M8" s="69">
        <f>+'Dashboard MF'!M8</f>
        <v>49122773.461048536</v>
      </c>
      <c r="N8" s="69">
        <f>+Hoja1!P19</f>
        <v>50017174.336212285</v>
      </c>
      <c r="O8" s="45">
        <f>+M8/Hoja1!P19-1</f>
        <v>-1.7881875316499096E-2</v>
      </c>
      <c r="P8" s="46">
        <f>+M8/'BD MD'!R1-1</f>
        <v>0.28021202004431278</v>
      </c>
      <c r="R8" s="36" t="s">
        <v>41</v>
      </c>
      <c r="S8" s="43">
        <f t="shared" si="0"/>
        <v>2.1551480000000001</v>
      </c>
      <c r="T8" s="44">
        <f t="shared" si="0"/>
        <v>1.9081768751637525</v>
      </c>
      <c r="U8" s="45">
        <f t="shared" si="7"/>
        <v>0.12942779469280263</v>
      </c>
      <c r="V8" s="45">
        <f>+H8</f>
        <v>0.37138675541358301</v>
      </c>
      <c r="W8" s="44">
        <f t="shared" si="1"/>
        <v>2.6957947825463058</v>
      </c>
      <c r="X8" s="44">
        <f t="shared" si="1"/>
        <v>2.4488236577100593</v>
      </c>
      <c r="Y8" s="45">
        <f t="shared" si="2"/>
        <v>0.10085296426252088</v>
      </c>
      <c r="Z8" s="45">
        <f t="shared" si="3"/>
        <v>0.4135860271623748</v>
      </c>
      <c r="AA8" s="44">
        <f t="shared" si="4"/>
        <v>49.122773461048538</v>
      </c>
      <c r="AB8" s="40">
        <f t="shared" si="4"/>
        <v>50.017174336212285</v>
      </c>
      <c r="AC8" s="45">
        <f t="shared" si="5"/>
        <v>-1.7881875316499096E-2</v>
      </c>
      <c r="AD8" s="46">
        <f t="shared" si="6"/>
        <v>0.28021202004431278</v>
      </c>
    </row>
    <row r="9" spans="4:30" ht="36" customHeight="1" x14ac:dyDescent="0.3">
      <c r="D9" s="28" t="s">
        <v>44</v>
      </c>
      <c r="E9" s="47">
        <f>+SUM(E5:E8)</f>
        <v>93091848</v>
      </c>
      <c r="F9" s="48">
        <f>+SUM(F5:F8)</f>
        <v>92893405.287059799</v>
      </c>
      <c r="G9" s="49">
        <f>+E9/F9-1</f>
        <v>2.1362411284953087E-3</v>
      </c>
      <c r="H9" s="49">
        <f>+E9/(SUM('BD MD'!C63:C86))-1</f>
        <v>0.27611562850334281</v>
      </c>
      <c r="I9" s="71">
        <f>+SUM(I5:I8)</f>
        <v>118231024.90450858</v>
      </c>
      <c r="J9" s="71">
        <f>+SUM(J5:J8)</f>
        <v>118537530.34509118</v>
      </c>
      <c r="K9" s="49">
        <f>+I9/J9-1</f>
        <v>-2.5857248728761162E-3</v>
      </c>
      <c r="L9" s="49">
        <f>+(I9/SUM('BD MD'!C62:C92))-1</f>
        <v>0.28937496370875615</v>
      </c>
      <c r="M9" s="71">
        <f>+SUM(M5:M8)</f>
        <v>1845512334.676712</v>
      </c>
      <c r="N9" s="71">
        <f>+SUM(N5:N8)</f>
        <v>1862000000.0000002</v>
      </c>
      <c r="O9" s="49">
        <f>+M9/N9-1</f>
        <v>-8.8548148889839862E-3</v>
      </c>
      <c r="P9" s="50">
        <f>+M9/Q14-1</f>
        <v>0.30607296250785199</v>
      </c>
      <c r="R9" s="28" t="s">
        <v>44</v>
      </c>
      <c r="S9" s="47">
        <f t="shared" si="0"/>
        <v>93.091847999999999</v>
      </c>
      <c r="T9" s="48">
        <f t="shared" si="0"/>
        <v>92.893405287059792</v>
      </c>
      <c r="U9" s="49">
        <f t="shared" si="7"/>
        <v>2.1362411284953087E-3</v>
      </c>
      <c r="V9" s="49">
        <f>+H9</f>
        <v>0.27611562850334281</v>
      </c>
      <c r="W9" s="48">
        <f t="shared" si="1"/>
        <v>118.23102490450857</v>
      </c>
      <c r="X9" s="48">
        <f t="shared" si="1"/>
        <v>118.53753034509118</v>
      </c>
      <c r="Y9" s="49">
        <f t="shared" si="2"/>
        <v>-2.5857248728761162E-3</v>
      </c>
      <c r="Z9" s="49">
        <f t="shared" si="3"/>
        <v>0.28937496370875615</v>
      </c>
      <c r="AA9" s="48">
        <f t="shared" si="4"/>
        <v>1845.512334676712</v>
      </c>
      <c r="AB9" s="48">
        <f t="shared" si="4"/>
        <v>1862.0000000000002</v>
      </c>
      <c r="AC9" s="49">
        <f t="shared" si="5"/>
        <v>-8.8548148889839862E-3</v>
      </c>
      <c r="AD9" s="50">
        <f t="shared" si="6"/>
        <v>0.30607296250785199</v>
      </c>
    </row>
    <row r="10" spans="4:30" ht="36" customHeight="1" x14ac:dyDescent="0.3">
      <c r="D10" s="27" t="s">
        <v>45</v>
      </c>
      <c r="E10" s="72">
        <f>+'Dashboard MF'!E10</f>
        <v>952334408</v>
      </c>
      <c r="F10" s="52"/>
      <c r="G10" s="54"/>
      <c r="H10" s="33"/>
      <c r="I10" s="54"/>
      <c r="J10" s="53"/>
      <c r="K10" s="54"/>
      <c r="L10" s="54"/>
      <c r="M10" s="54"/>
      <c r="N10" s="54"/>
      <c r="O10" s="54"/>
      <c r="P10" s="55"/>
      <c r="R10" s="27" t="s">
        <v>45</v>
      </c>
      <c r="S10" s="51">
        <f>+E10/1000000</f>
        <v>952.33440800000005</v>
      </c>
      <c r="T10" s="52"/>
      <c r="U10" s="54"/>
      <c r="V10" s="33">
        <v>4.5999999999999999E-2</v>
      </c>
      <c r="W10" s="54"/>
      <c r="X10" s="53"/>
      <c r="Y10" s="54"/>
      <c r="Z10" s="54"/>
      <c r="AA10" s="54"/>
      <c r="AB10" s="54"/>
      <c r="AC10" s="54"/>
      <c r="AD10" s="55"/>
    </row>
    <row r="11" spans="4:30" ht="36" customHeight="1" thickBot="1" x14ac:dyDescent="0.35">
      <c r="D11" s="29" t="s">
        <v>46</v>
      </c>
      <c r="E11" s="56">
        <f>+E9/E10</f>
        <v>9.7751217658408912E-2</v>
      </c>
      <c r="F11" s="57"/>
      <c r="G11" s="57"/>
      <c r="H11" s="58"/>
      <c r="I11" s="57"/>
      <c r="J11" s="57"/>
      <c r="K11" s="57"/>
      <c r="L11" s="57"/>
      <c r="M11" s="57"/>
      <c r="N11" s="57"/>
      <c r="O11" s="57"/>
      <c r="P11" s="59"/>
      <c r="R11" s="29" t="s">
        <v>46</v>
      </c>
      <c r="S11" s="56">
        <f>+E11</f>
        <v>9.7751217658408912E-2</v>
      </c>
      <c r="T11" s="57"/>
      <c r="U11" s="57"/>
      <c r="V11" s="58" t="s">
        <v>88</v>
      </c>
      <c r="W11" s="57"/>
      <c r="X11" s="57"/>
      <c r="Y11" s="57"/>
      <c r="Z11" s="57"/>
      <c r="AA11" s="57"/>
      <c r="AB11" s="57"/>
      <c r="AC11" s="57"/>
      <c r="AD11" s="59"/>
    </row>
    <row r="13" spans="4:30" x14ac:dyDescent="0.3">
      <c r="F13" s="19"/>
      <c r="G13" s="19"/>
    </row>
    <row r="14" spans="4:30" x14ac:dyDescent="0.3">
      <c r="Q14">
        <v>1413023918</v>
      </c>
    </row>
  </sheetData>
  <mergeCells count="6">
    <mergeCell ref="AA3:AD3"/>
    <mergeCell ref="E3:I3"/>
    <mergeCell ref="J3:L3"/>
    <mergeCell ref="M3:P3"/>
    <mergeCell ref="S3:W3"/>
    <mergeCell ref="X3:Z3"/>
  </mergeCells>
  <conditionalFormatting sqref="G5:G9">
    <cfRule type="cellIs" dxfId="31" priority="6" operator="lessThan">
      <formula>0</formula>
    </cfRule>
  </conditionalFormatting>
  <conditionalFormatting sqref="G5:H9">
    <cfRule type="cellIs" dxfId="30" priority="8" operator="greaterThan">
      <formula>0</formula>
    </cfRule>
  </conditionalFormatting>
  <conditionalFormatting sqref="H5:H11">
    <cfRule type="cellIs" dxfId="29" priority="7" operator="lessThan">
      <formula>0</formula>
    </cfRule>
  </conditionalFormatting>
  <conditionalFormatting sqref="H10:H11">
    <cfRule type="cellIs" dxfId="28" priority="1" operator="greaterThan">
      <formula>0</formula>
    </cfRule>
  </conditionalFormatting>
  <conditionalFormatting sqref="K5:L9">
    <cfRule type="cellIs" dxfId="27" priority="4" operator="lessThan">
      <formula>0</formula>
    </cfRule>
    <cfRule type="cellIs" dxfId="26" priority="5" operator="greaterThan">
      <formula>0</formula>
    </cfRule>
  </conditionalFormatting>
  <conditionalFormatting sqref="O5:P9">
    <cfRule type="cellIs" dxfId="25" priority="2" operator="lessThan">
      <formula>0</formula>
    </cfRule>
    <cfRule type="cellIs" dxfId="24" priority="3" operator="greaterThan">
      <formula>0</formula>
    </cfRule>
  </conditionalFormatting>
  <conditionalFormatting sqref="U5:U9">
    <cfRule type="cellIs" dxfId="23" priority="18" operator="lessThan">
      <formula>0</formula>
    </cfRule>
  </conditionalFormatting>
  <conditionalFormatting sqref="U5:V9">
    <cfRule type="cellIs" dxfId="22" priority="20" operator="greaterThan">
      <formula>0</formula>
    </cfRule>
  </conditionalFormatting>
  <conditionalFormatting sqref="V5:V11">
    <cfRule type="cellIs" dxfId="21" priority="19" operator="lessThan">
      <formula>0</formula>
    </cfRule>
  </conditionalFormatting>
  <conditionalFormatting sqref="V10:V11">
    <cfRule type="cellIs" dxfId="20" priority="9" operator="greaterThan">
      <formula>0</formula>
    </cfRule>
  </conditionalFormatting>
  <conditionalFormatting sqref="Y5:Z9">
    <cfRule type="cellIs" dxfId="19" priority="14" operator="lessThan">
      <formula>0</formula>
    </cfRule>
    <cfRule type="cellIs" dxfId="18" priority="15" operator="greaterThan">
      <formula>0</formula>
    </cfRule>
  </conditionalFormatting>
  <conditionalFormatting sqref="AC5:AD9">
    <cfRule type="cellIs" dxfId="17" priority="10" operator="lessThan">
      <formula>0</formula>
    </cfRule>
    <cfRule type="cellIs" dxfId="16" priority="1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8ECCA-575A-47B6-BB35-921866839EA9}">
  <dimension ref="C3:AD14"/>
  <sheetViews>
    <sheetView topLeftCell="Q1" zoomScale="85" zoomScaleNormal="85" workbookViewId="0">
      <selection activeCell="AD11" sqref="AD11"/>
    </sheetView>
  </sheetViews>
  <sheetFormatPr baseColWidth="10" defaultColWidth="11.44140625" defaultRowHeight="14.4" x14ac:dyDescent="0.3"/>
  <cols>
    <col min="1" max="1" width="2.44140625" customWidth="1"/>
    <col min="4" max="4" width="18.44140625" customWidth="1"/>
    <col min="5" max="16" width="17.5546875" customWidth="1"/>
    <col min="18" max="30" width="16.109375" customWidth="1"/>
  </cols>
  <sheetData>
    <row r="3" spans="3:30" ht="36" customHeight="1" thickBot="1" x14ac:dyDescent="0.35">
      <c r="D3" s="62"/>
      <c r="E3" s="90" t="s">
        <v>47</v>
      </c>
      <c r="F3" s="90"/>
      <c r="G3" s="90"/>
      <c r="H3" s="90"/>
      <c r="I3" s="90"/>
      <c r="J3" s="90" t="s">
        <v>48</v>
      </c>
      <c r="K3" s="90"/>
      <c r="L3" s="90"/>
      <c r="M3" s="90" t="s">
        <v>50</v>
      </c>
      <c r="N3" s="90"/>
      <c r="O3" s="90"/>
      <c r="P3" s="90"/>
      <c r="R3" s="62"/>
      <c r="S3" s="90" t="s">
        <v>47</v>
      </c>
      <c r="T3" s="90"/>
      <c r="U3" s="90"/>
      <c r="V3" s="90"/>
      <c r="W3" s="90"/>
      <c r="X3" s="90" t="s">
        <v>48</v>
      </c>
      <c r="Y3" s="90"/>
      <c r="Z3" s="90"/>
      <c r="AA3" s="90" t="s">
        <v>50</v>
      </c>
      <c r="AB3" s="90"/>
      <c r="AC3" s="90"/>
      <c r="AD3" s="90"/>
    </row>
    <row r="4" spans="3:30" ht="36" customHeight="1" thickBot="1" x14ac:dyDescent="0.35">
      <c r="D4" s="60" t="s">
        <v>37</v>
      </c>
      <c r="E4" s="30" t="s">
        <v>42</v>
      </c>
      <c r="F4" s="31" t="s">
        <v>43</v>
      </c>
      <c r="G4" s="25" t="s">
        <v>51</v>
      </c>
      <c r="H4" s="25" t="s">
        <v>52</v>
      </c>
      <c r="I4" s="61" t="s">
        <v>49</v>
      </c>
      <c r="J4" s="61" t="s">
        <v>89</v>
      </c>
      <c r="K4" s="61" t="s">
        <v>51</v>
      </c>
      <c r="L4" s="61" t="s">
        <v>52</v>
      </c>
      <c r="M4" s="25">
        <v>2026</v>
      </c>
      <c r="N4" s="25" t="s">
        <v>90</v>
      </c>
      <c r="O4" s="25" t="s">
        <v>51</v>
      </c>
      <c r="P4" s="26" t="s">
        <v>52</v>
      </c>
      <c r="R4" s="60" t="s">
        <v>37</v>
      </c>
      <c r="S4" s="31" t="s">
        <v>42</v>
      </c>
      <c r="T4" s="31" t="s">
        <v>43</v>
      </c>
      <c r="U4" s="25" t="s">
        <v>51</v>
      </c>
      <c r="V4" s="25" t="s">
        <v>52</v>
      </c>
      <c r="W4" s="61" t="s">
        <v>49</v>
      </c>
      <c r="X4" s="61" t="s">
        <v>89</v>
      </c>
      <c r="Y4" s="61" t="s">
        <v>51</v>
      </c>
      <c r="Z4" s="61" t="s">
        <v>52</v>
      </c>
      <c r="AA4" s="25">
        <v>2026</v>
      </c>
      <c r="AB4" s="25" t="s">
        <v>90</v>
      </c>
      <c r="AC4" s="25" t="s">
        <v>51</v>
      </c>
      <c r="AD4" s="26" t="s">
        <v>52</v>
      </c>
    </row>
    <row r="5" spans="3:30" ht="36" customHeight="1" x14ac:dyDescent="0.3">
      <c r="D5" s="38" t="s">
        <v>38</v>
      </c>
      <c r="E5" s="64">
        <f>+SUM('BD MF'!K63:K86)+(SUM('BD MF'!M63:M86))</f>
        <v>76581683</v>
      </c>
      <c r="F5" s="65">
        <f>+SUM('BD MF'!$H$63:$H$86)*Hoja1!F29</f>
        <v>73405486.865990788</v>
      </c>
      <c r="G5" s="41">
        <f>+E5/F5-1</f>
        <v>4.3269192394400635E-2</v>
      </c>
      <c r="H5" s="41">
        <f>+E5/((SUM('BD MF'!J63:J86)+(SUM('BD MF'!L63:L86))))-1</f>
        <v>0.36717527411336626</v>
      </c>
      <c r="I5" s="65">
        <f>+E5+(SUM('BD MF'!H87:H93)*Hoja1!F29)</f>
        <v>97379776.09707585</v>
      </c>
      <c r="J5" s="65">
        <f>+Hoja1!F17</f>
        <v>94203579.963066682</v>
      </c>
      <c r="K5" s="41">
        <f>+I5/(SUM('BD MF'!H63:H93)*Hoja1!F29)-1</f>
        <v>3.3716299691099572E-2</v>
      </c>
      <c r="L5" s="41">
        <f>+I5/(SUM('BD MF'!J63:J93))-1</f>
        <v>0.37450894464071127</v>
      </c>
      <c r="M5" s="65">
        <f>+I5+Hoja1!D3+Hoja1!E3+(SUM(Hoja1!G3:O3))</f>
        <v>1377952251.7977972</v>
      </c>
      <c r="N5" s="65">
        <f>+Hoja1!P17</f>
        <v>1380982825.6637878</v>
      </c>
      <c r="O5" s="41">
        <f>+M5/Hoja1!P17-1</f>
        <v>-2.1945051087322032E-3</v>
      </c>
      <c r="P5" s="42">
        <f>+M5/(SUM('BD MF'!J4:J367))-1</f>
        <v>0.30831530408048957</v>
      </c>
      <c r="R5" s="38" t="s">
        <v>38</v>
      </c>
      <c r="S5" s="39">
        <f t="shared" ref="S5:T9" si="0">+E5/1000000</f>
        <v>76.581682999999998</v>
      </c>
      <c r="T5" s="40">
        <f t="shared" si="0"/>
        <v>73.405486865990781</v>
      </c>
      <c r="U5" s="41">
        <f>+G5</f>
        <v>4.3269192394400635E-2</v>
      </c>
      <c r="V5" s="41">
        <f>+H5</f>
        <v>0.36717527411336626</v>
      </c>
      <c r="W5" s="40">
        <f t="shared" ref="W5:X9" si="1">+I5/1000000</f>
        <v>97.379776097075847</v>
      </c>
      <c r="X5" s="40">
        <f t="shared" si="1"/>
        <v>94.203579963066687</v>
      </c>
      <c r="Y5" s="41">
        <f t="shared" ref="Y5:Z9" si="2">+K5</f>
        <v>3.3716299691099572E-2</v>
      </c>
      <c r="Z5" s="41">
        <f t="shared" si="2"/>
        <v>0.37450894464071127</v>
      </c>
      <c r="AA5" s="40">
        <f t="shared" ref="AA5:AB9" si="3">+M5/1000000</f>
        <v>1377.9522517977973</v>
      </c>
      <c r="AB5" s="40">
        <f t="shared" si="3"/>
        <v>1380.9828256637879</v>
      </c>
      <c r="AC5" s="41">
        <f t="shared" ref="AC5:AD9" si="4">+O5</f>
        <v>-2.1945051087322032E-3</v>
      </c>
      <c r="AD5" s="42">
        <f t="shared" si="4"/>
        <v>0.30831530408048957</v>
      </c>
    </row>
    <row r="6" spans="3:30" ht="36" customHeight="1" x14ac:dyDescent="0.3">
      <c r="D6" s="35" t="s">
        <v>39</v>
      </c>
      <c r="E6" s="66">
        <f>+SUM('BD MF'!W63:W86)+SUM('BD MF'!U63:U86)+SUM('BD MF'!Y63:Y86)+SUM('BD MF'!AA63:AA86)+SUM('BD MF'!AC63:AC86)+SUM('BD MF'!AE63:AE86)</f>
        <v>13596840</v>
      </c>
      <c r="F6" s="67">
        <f>+SUM('BD MF'!I63:I86)</f>
        <v>16266654</v>
      </c>
      <c r="G6" s="33">
        <f>+E6/F6-1</f>
        <v>-0.16412803764068506</v>
      </c>
      <c r="H6" s="33">
        <f>+(E6/(SUM('BD MF'!T63:T86)+SUM('BD MF'!V63:V86)+SUM('BD MF'!X63:X86)+SUM('BD MF'!Z63:Z86)+SUM('BD MF'!AB63:AB86)+SUM('BD MF'!AD63:AD86)))-1</f>
        <v>7.5822184447164265E-2</v>
      </c>
      <c r="I6" s="67">
        <f>+E6+((SUM('BD MF'!I87:I93)))*0.9</f>
        <v>17136849.600000001</v>
      </c>
      <c r="J6" s="67">
        <f>+Hoja1!F21+Hoja1!F22+Hoja1!F23</f>
        <v>20200000</v>
      </c>
      <c r="K6" s="33">
        <f>+I6/(SUM('BD MF'!I63:I93))-1</f>
        <v>-0.1516410249149529</v>
      </c>
      <c r="L6" s="33">
        <f>+(I6/(SUM('BD MF'!T63:T93)+SUM('BD MF'!V63:V93)+SUM('BD MF'!X63:X93)+SUM('BD MF'!Z63:Z93)+SUM('BD MF'!AB63:AB93)+SUM('BD MF'!AD63:AD93)))-1</f>
        <v>2.0642969618854368E-2</v>
      </c>
      <c r="M6" s="67">
        <f>+I6+Hoja1!D7+Hoja1!E7+Hoja1!D8+Hoja1!E8+Hoja1!D9+Hoja1!E9+(SUM(Hoja1!G7:O7)+SUM(Hoja1!G8:O8)+SUM(Hoja1!G9:O9))</f>
        <v>406299382.60000002</v>
      </c>
      <c r="N6" s="67">
        <f>+Hoja1!P21+Hoja1!P22+Hoja1!P23</f>
        <v>412000000</v>
      </c>
      <c r="O6" s="33">
        <f>+(M6/(Hoja1!P21+Hoja1!P22+Hoja1!P23))-1</f>
        <v>-1.3836449999999889E-2</v>
      </c>
      <c r="P6" s="37">
        <f>+M6/'BD MF'!AE1-1</f>
        <v>0.32564296358140976</v>
      </c>
      <c r="R6" s="35" t="s">
        <v>39</v>
      </c>
      <c r="S6" s="34">
        <f t="shared" si="0"/>
        <v>13.59684</v>
      </c>
      <c r="T6" s="32">
        <f t="shared" si="0"/>
        <v>16.266653999999999</v>
      </c>
      <c r="U6" s="33">
        <f t="shared" ref="U6:U9" si="5">+G6</f>
        <v>-0.16412803764068506</v>
      </c>
      <c r="V6" s="33">
        <f t="shared" ref="V6:V11" si="6">+H6</f>
        <v>7.5822184447164265E-2</v>
      </c>
      <c r="W6" s="32">
        <f t="shared" si="1"/>
        <v>17.136849600000001</v>
      </c>
      <c r="X6" s="32">
        <f t="shared" si="1"/>
        <v>20.2</v>
      </c>
      <c r="Y6" s="33">
        <f t="shared" si="2"/>
        <v>-0.1516410249149529</v>
      </c>
      <c r="Z6" s="33">
        <f>+L6</f>
        <v>2.0642969618854368E-2</v>
      </c>
      <c r="AA6" s="32">
        <f t="shared" si="3"/>
        <v>406.2993826</v>
      </c>
      <c r="AB6" s="40">
        <f t="shared" si="3"/>
        <v>412</v>
      </c>
      <c r="AC6" s="33">
        <f t="shared" si="4"/>
        <v>-1.3836449999999889E-2</v>
      </c>
      <c r="AD6" s="37">
        <f t="shared" si="4"/>
        <v>0.32564296358140976</v>
      </c>
    </row>
    <row r="7" spans="3:30" ht="36" customHeight="1" x14ac:dyDescent="0.3">
      <c r="C7" s="88"/>
      <c r="D7" s="35" t="s">
        <v>40</v>
      </c>
      <c r="E7" s="66">
        <f>+SUM('BD MF'!O63:O86)+SUM('BD MF'!Q63:Q86)</f>
        <v>758177</v>
      </c>
      <c r="F7" s="67">
        <f>+SUM('BD MF'!$H$63:$H$86)*(Hoja1!F30+Hoja1!F32)</f>
        <v>1313087.5459052667</v>
      </c>
      <c r="G7" s="33">
        <f>+E7/F7-1</f>
        <v>-0.42259980885181658</v>
      </c>
      <c r="H7" s="33">
        <f>+(E7/(SUM('BD MF'!N63:N86)+SUM('BD MF'!P63:P86)))-1</f>
        <v>-0.3794442657421071</v>
      </c>
      <c r="I7" s="67">
        <f>+E7+((SUM('BD MF'!H87:H93)*((Hoja1!F30+Hoja1!F32)))*0.7)</f>
        <v>1018604.4248864215</v>
      </c>
      <c r="J7" s="67">
        <f>+Hoja1!F18+Hoja1!F20</f>
        <v>1685126.7243144412</v>
      </c>
      <c r="K7" s="33">
        <f>+(I7/(SUM('BD MF'!H63:H93)*(Hoja1!F30+Hoja1!F32))-1)</f>
        <v>-0.39553244857545056</v>
      </c>
      <c r="L7" s="33">
        <f>+(I7/(SUM('BD MF'!N62:N93)+SUM('BD MF'!P63:P93)))-1</f>
        <v>-0.36674904516265672</v>
      </c>
      <c r="M7" s="67">
        <f>+I7+((Hoja1!D6+Hoja1!E6+Hoja1!D4+Hoja1!E4+Hoja1!G4+Hoja1!H4+Hoja1!I4+Hoja1!J4+Hoja1!K4+Hoja1!L4+Hoja1!M4+Hoja1!N4+Hoja1!O4+Hoja1!G6+Hoja1!H6+Hoja1!I6+Hoja1!J6+Hoja1!K6+Hoja1!L6+Hoja1!M6+Hoja1!N6+Hoja1!O6)*0.7)</f>
        <v>12137926.817866314</v>
      </c>
      <c r="N7" s="67">
        <f>+Hoja1!P18+Hoja1!P20</f>
        <v>19000000</v>
      </c>
      <c r="O7" s="33">
        <f>+M7/(Hoja1!P20+Hoja1!P18)-1</f>
        <v>-0.36116174642808874</v>
      </c>
      <c r="P7" s="37">
        <f>+(M7/('BD MF'!N1+'BD MF'!P1))-1</f>
        <v>-0.28044007491184986</v>
      </c>
      <c r="R7" s="35" t="s">
        <v>40</v>
      </c>
      <c r="S7" s="34">
        <f t="shared" si="0"/>
        <v>0.75817699999999999</v>
      </c>
      <c r="T7" s="32">
        <f t="shared" si="0"/>
        <v>1.3130875459052667</v>
      </c>
      <c r="U7" s="33">
        <f t="shared" si="5"/>
        <v>-0.42259980885181658</v>
      </c>
      <c r="V7" s="33">
        <f t="shared" si="6"/>
        <v>-0.3794442657421071</v>
      </c>
      <c r="W7" s="32">
        <f t="shared" si="1"/>
        <v>1.0186044248864214</v>
      </c>
      <c r="X7" s="32">
        <f t="shared" si="1"/>
        <v>1.6851267243144412</v>
      </c>
      <c r="Y7" s="33">
        <f t="shared" si="2"/>
        <v>-0.39553244857545056</v>
      </c>
      <c r="Z7" s="33">
        <f t="shared" si="2"/>
        <v>-0.36674904516265672</v>
      </c>
      <c r="AA7" s="32">
        <f t="shared" si="3"/>
        <v>12.137926817866314</v>
      </c>
      <c r="AB7" s="40">
        <f t="shared" si="3"/>
        <v>19</v>
      </c>
      <c r="AC7" s="33">
        <f t="shared" si="4"/>
        <v>-0.36116174642808874</v>
      </c>
      <c r="AD7" s="37">
        <f t="shared" si="4"/>
        <v>-0.28044007491184986</v>
      </c>
    </row>
    <row r="8" spans="3:30" ht="36" customHeight="1" thickBot="1" x14ac:dyDescent="0.35">
      <c r="D8" s="36" t="s">
        <v>41</v>
      </c>
      <c r="E8" s="68">
        <f>+SUM('BD MF'!S63:S86)</f>
        <v>2155148</v>
      </c>
      <c r="F8" s="69">
        <f>+SUM('BD MF'!$H$63:$H$86)*Hoja1!F31</f>
        <v>1908176.8751637524</v>
      </c>
      <c r="G8" s="45">
        <f>+E8/F8-1</f>
        <v>0.12942779469280263</v>
      </c>
      <c r="H8" s="45">
        <f>+E8/(SUM('BD MF'!R63:R86))-1</f>
        <v>0.366641153556162</v>
      </c>
      <c r="I8" s="69">
        <f>+(E8+((SUM('BD MF'!H87:H93)*(Hoja1!F31))))</f>
        <v>2695794.7825463056</v>
      </c>
      <c r="J8" s="69">
        <f>+Hoja1!F19</f>
        <v>2448823.6577100591</v>
      </c>
      <c r="K8" s="45">
        <f>+(I8/(SUM('BD MF'!H63:H93)*(Hoja1!F31)))-1</f>
        <v>0.10085296426252088</v>
      </c>
      <c r="L8" s="45">
        <f>+(I8/(SUM('BD MF'!R63:R93))-1)</f>
        <v>0.42254020989675012</v>
      </c>
      <c r="M8" s="69">
        <f>+I8+Hoja1!D5+Hoja1!E5+Hoja1!G5+Hoja1!H5+Hoja1!I5+Hoja1!J5+Hoja1!K5+Hoja1!L5+Hoja1!M5+Hoja1!N5+Hoja1!O5</f>
        <v>49122773.461048536</v>
      </c>
      <c r="N8" s="69">
        <f>+Hoja1!P19</f>
        <v>50017174.336212285</v>
      </c>
      <c r="O8" s="45">
        <f>+M8/Hoja1!P19-1</f>
        <v>-1.7881875316499096E-2</v>
      </c>
      <c r="P8" s="46">
        <f>+M8/'BD MF'!R1-1</f>
        <v>0.28021202004431278</v>
      </c>
      <c r="R8" s="36" t="s">
        <v>41</v>
      </c>
      <c r="S8" s="43">
        <f t="shared" si="0"/>
        <v>2.1551480000000001</v>
      </c>
      <c r="T8" s="44">
        <f t="shared" si="0"/>
        <v>1.9081768751637525</v>
      </c>
      <c r="U8" s="45">
        <f t="shared" si="5"/>
        <v>0.12942779469280263</v>
      </c>
      <c r="V8" s="45">
        <f t="shared" si="6"/>
        <v>0.366641153556162</v>
      </c>
      <c r="W8" s="44">
        <f t="shared" si="1"/>
        <v>2.6957947825463058</v>
      </c>
      <c r="X8" s="44">
        <f t="shared" si="1"/>
        <v>2.4488236577100593</v>
      </c>
      <c r="Y8" s="45">
        <f t="shared" si="2"/>
        <v>0.10085296426252088</v>
      </c>
      <c r="Z8" s="45">
        <f t="shared" si="2"/>
        <v>0.42254020989675012</v>
      </c>
      <c r="AA8" s="44">
        <f t="shared" si="3"/>
        <v>49.122773461048538</v>
      </c>
      <c r="AB8" s="40">
        <f t="shared" si="3"/>
        <v>50.017174336212285</v>
      </c>
      <c r="AC8" s="45">
        <f t="shared" si="4"/>
        <v>-1.7881875316499096E-2</v>
      </c>
      <c r="AD8" s="46">
        <f t="shared" si="4"/>
        <v>0.28021202004431278</v>
      </c>
    </row>
    <row r="9" spans="3:30" ht="36" customHeight="1" x14ac:dyDescent="0.3">
      <c r="D9" s="28" t="s">
        <v>44</v>
      </c>
      <c r="E9" s="70">
        <f>+SUM(E5:E8)</f>
        <v>93091848</v>
      </c>
      <c r="F9" s="71">
        <f>+SUM(F5:F8)</f>
        <v>92893405.287059799</v>
      </c>
      <c r="G9" s="49">
        <f>+E9/F9-1</f>
        <v>2.1362411284953087E-3</v>
      </c>
      <c r="H9" s="49">
        <f>+E9/(SUM('BD MF'!C63:C86))-1</f>
        <v>0.30286169078334124</v>
      </c>
      <c r="I9" s="71">
        <f>+SUM(I5:I8)</f>
        <v>118231024.90450858</v>
      </c>
      <c r="J9" s="71">
        <f>+SUM(J5:J8)</f>
        <v>118537530.34509118</v>
      </c>
      <c r="K9" s="49">
        <f>+I9/J9-1</f>
        <v>-2.5857248728761162E-3</v>
      </c>
      <c r="L9" s="49">
        <f>+(I9/SUM('BD MF'!C62:C92))-1</f>
        <v>0.30344386423418568</v>
      </c>
      <c r="M9" s="71">
        <f>+SUM(M5:M8)</f>
        <v>1845512334.676712</v>
      </c>
      <c r="N9" s="71">
        <f>+SUM(N5:N8)</f>
        <v>1862000000.0000002</v>
      </c>
      <c r="O9" s="49">
        <f>+M9/N9-1</f>
        <v>-8.8548148889839862E-3</v>
      </c>
      <c r="P9" s="50">
        <f>+M9/Q14-1</f>
        <v>0.30607296250785199</v>
      </c>
      <c r="R9" s="28" t="s">
        <v>44</v>
      </c>
      <c r="S9" s="47">
        <f t="shared" si="0"/>
        <v>93.091847999999999</v>
      </c>
      <c r="T9" s="48">
        <f t="shared" si="0"/>
        <v>92.893405287059792</v>
      </c>
      <c r="U9" s="49">
        <f t="shared" si="5"/>
        <v>2.1362411284953087E-3</v>
      </c>
      <c r="V9" s="49">
        <f t="shared" si="6"/>
        <v>0.30286169078334124</v>
      </c>
      <c r="W9" s="48">
        <f t="shared" si="1"/>
        <v>118.23102490450857</v>
      </c>
      <c r="X9" s="48">
        <f t="shared" si="1"/>
        <v>118.53753034509118</v>
      </c>
      <c r="Y9" s="49">
        <f t="shared" si="2"/>
        <v>-2.5857248728761162E-3</v>
      </c>
      <c r="Z9" s="49">
        <f t="shared" si="2"/>
        <v>0.30344386423418568</v>
      </c>
      <c r="AA9" s="48">
        <f t="shared" si="3"/>
        <v>1845.512334676712</v>
      </c>
      <c r="AB9" s="48">
        <f t="shared" si="3"/>
        <v>1862.0000000000002</v>
      </c>
      <c r="AC9" s="49">
        <f t="shared" si="4"/>
        <v>-8.8548148889839862E-3</v>
      </c>
      <c r="AD9" s="50">
        <f t="shared" si="4"/>
        <v>0.30607296250785199</v>
      </c>
    </row>
    <row r="10" spans="3:30" ht="36" customHeight="1" x14ac:dyDescent="0.3">
      <c r="D10" s="27" t="s">
        <v>45</v>
      </c>
      <c r="E10" s="72">
        <f>+SUM('BD MF'!E63:E86)</f>
        <v>952334408</v>
      </c>
      <c r="F10" s="73"/>
      <c r="G10" s="54"/>
      <c r="H10" s="33">
        <f>+'BD MF'!E1</f>
        <v>2.7323232825063881E-2</v>
      </c>
      <c r="I10" s="54"/>
      <c r="J10" s="53"/>
      <c r="K10" s="54"/>
      <c r="L10" s="54"/>
      <c r="M10" s="54"/>
      <c r="N10" s="54"/>
      <c r="O10" s="54"/>
      <c r="P10" s="55"/>
      <c r="R10" s="27" t="s">
        <v>45</v>
      </c>
      <c r="S10" s="51">
        <f>+E10/1000000</f>
        <v>952.33440800000005</v>
      </c>
      <c r="T10" s="52"/>
      <c r="U10" s="54"/>
      <c r="V10" s="33">
        <f t="shared" si="6"/>
        <v>2.7323232825063881E-2</v>
      </c>
      <c r="W10" s="54"/>
      <c r="X10" s="53"/>
      <c r="Y10" s="54"/>
      <c r="Z10" s="54"/>
      <c r="AA10" s="54"/>
      <c r="AB10" s="54"/>
      <c r="AC10" s="54"/>
      <c r="AD10" s="55"/>
    </row>
    <row r="11" spans="3:30" ht="36" customHeight="1" thickBot="1" x14ac:dyDescent="0.35">
      <c r="D11" s="29" t="s">
        <v>46</v>
      </c>
      <c r="E11" s="56">
        <f>+E9/E10</f>
        <v>9.7751217658408912E-2</v>
      </c>
      <c r="F11" s="57"/>
      <c r="G11" s="57"/>
      <c r="H11" s="58">
        <f>+'BD MF'!AK1</f>
        <v>2.069434940565465E-2</v>
      </c>
      <c r="I11" s="57"/>
      <c r="J11" s="57"/>
      <c r="K11" s="57"/>
      <c r="L11" s="57"/>
      <c r="M11" s="57"/>
      <c r="N11" s="57"/>
      <c r="O11" s="57"/>
      <c r="P11" s="59"/>
      <c r="R11" s="29" t="s">
        <v>46</v>
      </c>
      <c r="S11" s="56">
        <f>+E11</f>
        <v>9.7751217658408912E-2</v>
      </c>
      <c r="T11" s="57"/>
      <c r="U11" s="57"/>
      <c r="V11" s="58">
        <f t="shared" si="6"/>
        <v>2.069434940565465E-2</v>
      </c>
      <c r="W11" s="57"/>
      <c r="X11" s="57"/>
      <c r="Y11" s="57"/>
      <c r="Z11" s="57"/>
      <c r="AA11" s="57"/>
      <c r="AB11" s="57"/>
      <c r="AC11" s="57"/>
      <c r="AD11" s="59"/>
    </row>
    <row r="13" spans="3:30" x14ac:dyDescent="0.3">
      <c r="F13" s="19"/>
      <c r="G13" s="19"/>
    </row>
    <row r="14" spans="3:30" x14ac:dyDescent="0.3">
      <c r="Q14">
        <v>1413023918</v>
      </c>
    </row>
  </sheetData>
  <mergeCells count="6">
    <mergeCell ref="AA3:AD3"/>
    <mergeCell ref="E3:I3"/>
    <mergeCell ref="J3:L3"/>
    <mergeCell ref="M3:P3"/>
    <mergeCell ref="S3:W3"/>
    <mergeCell ref="X3:Z3"/>
  </mergeCells>
  <conditionalFormatting sqref="G5:G9">
    <cfRule type="cellIs" dxfId="15" priority="6" operator="lessThan">
      <formula>0</formula>
    </cfRule>
  </conditionalFormatting>
  <conditionalFormatting sqref="G5:H9">
    <cfRule type="cellIs" dxfId="14" priority="8" operator="greaterThan">
      <formula>0</formula>
    </cfRule>
  </conditionalFormatting>
  <conditionalFormatting sqref="H5:H11">
    <cfRule type="cellIs" dxfId="13" priority="7" operator="lessThan">
      <formula>0</formula>
    </cfRule>
  </conditionalFormatting>
  <conditionalFormatting sqref="H10:H11">
    <cfRule type="cellIs" dxfId="12" priority="1" operator="greaterThan">
      <formula>0</formula>
    </cfRule>
  </conditionalFormatting>
  <conditionalFormatting sqref="K5:L9">
    <cfRule type="cellIs" dxfId="11" priority="4" operator="lessThan">
      <formula>0</formula>
    </cfRule>
    <cfRule type="cellIs" dxfId="10" priority="5" operator="greaterThan">
      <formula>0</formula>
    </cfRule>
  </conditionalFormatting>
  <conditionalFormatting sqref="O5:P9">
    <cfRule type="cellIs" dxfId="9" priority="2" operator="lessThan">
      <formula>0</formula>
    </cfRule>
    <cfRule type="cellIs" dxfId="8" priority="3" operator="greaterThan">
      <formula>0</formula>
    </cfRule>
  </conditionalFormatting>
  <conditionalFormatting sqref="U5:U9">
    <cfRule type="cellIs" dxfId="7" priority="14" operator="lessThan">
      <formula>0</formula>
    </cfRule>
  </conditionalFormatting>
  <conditionalFormatting sqref="U5:V9">
    <cfRule type="cellIs" dxfId="6" priority="16" operator="greaterThan">
      <formula>0</formula>
    </cfRule>
  </conditionalFormatting>
  <conditionalFormatting sqref="V5:V11">
    <cfRule type="cellIs" dxfId="5" priority="15" operator="lessThan">
      <formula>0</formula>
    </cfRule>
  </conditionalFormatting>
  <conditionalFormatting sqref="V10:V11">
    <cfRule type="cellIs" dxfId="4" priority="9" operator="greaterThan">
      <formula>0</formula>
    </cfRule>
  </conditionalFormatting>
  <conditionalFormatting sqref="Y5:Z9">
    <cfRule type="cellIs" dxfId="3" priority="12" operator="lessThan">
      <formula>0</formula>
    </cfRule>
    <cfRule type="cellIs" dxfId="2" priority="13" operator="greaterThan">
      <formula>0</formula>
    </cfRule>
  </conditionalFormatting>
  <conditionalFormatting sqref="AC5:AD9">
    <cfRule type="cellIs" dxfId="1" priority="10" operator="lessThan">
      <formula>0</formula>
    </cfRule>
    <cfRule type="cellIs" dxfId="0" priority="11" operator="greater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D4962-2F7A-49F4-B853-6B609FF9AFC2}">
  <dimension ref="C2:R50"/>
  <sheetViews>
    <sheetView topLeftCell="A16" workbookViewId="0">
      <selection activeCell="F29" sqref="F29:F32"/>
    </sheetView>
  </sheetViews>
  <sheetFormatPr baseColWidth="10" defaultRowHeight="14.4" x14ac:dyDescent="0.3"/>
  <cols>
    <col min="4" max="4" width="16.109375" bestFit="1" customWidth="1"/>
    <col min="5" max="5" width="15.109375" bestFit="1" customWidth="1"/>
    <col min="6" max="15" width="16.21875" bestFit="1" customWidth="1"/>
    <col min="16" max="16" width="17.6640625" bestFit="1" customWidth="1"/>
    <col min="18" max="18" width="15" bestFit="1" customWidth="1"/>
  </cols>
  <sheetData>
    <row r="2" spans="3:17" x14ac:dyDescent="0.3">
      <c r="C2" t="s">
        <v>87</v>
      </c>
      <c r="D2" t="s">
        <v>60</v>
      </c>
      <c r="E2" t="s">
        <v>61</v>
      </c>
      <c r="F2" t="s">
        <v>62</v>
      </c>
      <c r="G2" t="s">
        <v>78</v>
      </c>
      <c r="H2" t="s">
        <v>79</v>
      </c>
      <c r="I2" t="s">
        <v>80</v>
      </c>
      <c r="J2" t="s">
        <v>81</v>
      </c>
      <c r="K2" t="s">
        <v>82</v>
      </c>
      <c r="L2" t="s">
        <v>83</v>
      </c>
      <c r="M2" t="s">
        <v>84</v>
      </c>
      <c r="N2" t="s">
        <v>85</v>
      </c>
      <c r="O2" t="s">
        <v>86</v>
      </c>
    </row>
    <row r="3" spans="3:17" x14ac:dyDescent="0.3">
      <c r="C3" t="s">
        <v>53</v>
      </c>
      <c r="D3" s="1">
        <v>76542384</v>
      </c>
      <c r="E3" s="1">
        <v>76555335</v>
      </c>
      <c r="F3" s="1">
        <v>94203579.963066682</v>
      </c>
      <c r="G3" s="1">
        <v>85451247.625192016</v>
      </c>
      <c r="H3" s="1">
        <v>103696576.16009721</v>
      </c>
      <c r="I3" s="1">
        <v>108286652.58976743</v>
      </c>
      <c r="J3" s="1">
        <v>113564325.48241308</v>
      </c>
      <c r="K3" s="1">
        <v>142877108.36054641</v>
      </c>
      <c r="L3" s="1">
        <v>115742126.65528204</v>
      </c>
      <c r="M3" s="1">
        <v>136668981.97096738</v>
      </c>
      <c r="N3" s="1">
        <v>160585319.92501077</v>
      </c>
      <c r="O3" s="1">
        <v>160602417.93144479</v>
      </c>
    </row>
    <row r="4" spans="3:17" x14ac:dyDescent="0.3">
      <c r="C4" t="s">
        <v>54</v>
      </c>
      <c r="D4" s="1">
        <v>76678</v>
      </c>
      <c r="E4" s="1">
        <v>72848</v>
      </c>
      <c r="F4" s="1">
        <v>250609.61117969826</v>
      </c>
      <c r="G4" s="1">
        <v>543289.16116364696</v>
      </c>
      <c r="H4" s="1">
        <v>460698.01598698908</v>
      </c>
      <c r="I4" s="1">
        <v>532987.24006410234</v>
      </c>
      <c r="J4" s="1">
        <v>434740.12025818508</v>
      </c>
      <c r="K4" s="1">
        <v>407615.9244925176</v>
      </c>
      <c r="L4" s="1">
        <v>283821.84563066257</v>
      </c>
      <c r="M4" s="1">
        <v>245607.11041058577</v>
      </c>
      <c r="N4" s="1">
        <v>275092.41052786657</v>
      </c>
      <c r="O4" s="1">
        <v>257766.56028574568</v>
      </c>
    </row>
    <row r="5" spans="3:17" x14ac:dyDescent="0.3">
      <c r="C5" t="s">
        <v>55</v>
      </c>
      <c r="D5" s="1">
        <v>1755081</v>
      </c>
      <c r="E5" s="1">
        <v>2159418</v>
      </c>
      <c r="F5" s="1">
        <v>2448823.6577100591</v>
      </c>
      <c r="G5" s="1">
        <v>2573658.9184749811</v>
      </c>
      <c r="H5" s="1">
        <v>3628049.479501057</v>
      </c>
      <c r="I5" s="1">
        <v>4151500.5808940991</v>
      </c>
      <c r="J5" s="1">
        <v>4222672.9355347054</v>
      </c>
      <c r="K5" s="1">
        <v>6078558.1793413926</v>
      </c>
      <c r="L5" s="1">
        <v>3862223.8160414295</v>
      </c>
      <c r="M5" s="1">
        <v>6083380.7078921515</v>
      </c>
      <c r="N5" s="1">
        <v>6058947.597003147</v>
      </c>
      <c r="O5" s="1">
        <v>5853487.4638192682</v>
      </c>
    </row>
    <row r="6" spans="3:17" x14ac:dyDescent="0.3">
      <c r="C6" t="s">
        <v>56</v>
      </c>
      <c r="D6" s="1">
        <v>824755</v>
      </c>
      <c r="E6" s="1">
        <v>660651</v>
      </c>
      <c r="F6" s="1">
        <v>1434517.1131347429</v>
      </c>
      <c r="G6" s="1">
        <v>1323303.6214907798</v>
      </c>
      <c r="H6" s="1">
        <v>1190624.8676432583</v>
      </c>
      <c r="I6" s="1">
        <v>1078989.0526332003</v>
      </c>
      <c r="J6" s="1">
        <v>996358.12552639015</v>
      </c>
      <c r="K6" s="1">
        <v>1185310.2139768198</v>
      </c>
      <c r="L6" s="1">
        <v>971404.93376484606</v>
      </c>
      <c r="M6" s="1">
        <v>1266940.0039830061</v>
      </c>
      <c r="N6" s="1">
        <v>1427099.8709283166</v>
      </c>
      <c r="O6" s="1">
        <v>1368165.1969186398</v>
      </c>
    </row>
    <row r="7" spans="3:17" x14ac:dyDescent="0.3">
      <c r="C7" t="s">
        <v>57</v>
      </c>
      <c r="D7" s="1">
        <v>18259010</v>
      </c>
      <c r="E7" s="1">
        <v>13077512</v>
      </c>
      <c r="F7" s="1">
        <v>18700000</v>
      </c>
      <c r="G7" s="1">
        <v>17000000</v>
      </c>
      <c r="H7" s="1">
        <v>28000000</v>
      </c>
      <c r="I7" s="1">
        <v>34000000</v>
      </c>
      <c r="J7" s="1">
        <v>28000000</v>
      </c>
      <c r="K7" s="1">
        <v>37000000</v>
      </c>
      <c r="L7" s="1">
        <v>28000000</v>
      </c>
      <c r="M7" s="1">
        <v>30000000</v>
      </c>
      <c r="N7" s="1">
        <v>48000000</v>
      </c>
      <c r="O7" s="1">
        <v>68800000</v>
      </c>
    </row>
    <row r="8" spans="3:17" x14ac:dyDescent="0.3">
      <c r="C8" t="s">
        <v>58</v>
      </c>
      <c r="D8" s="1">
        <v>1341293</v>
      </c>
      <c r="E8" s="1">
        <v>721811</v>
      </c>
      <c r="F8" s="1">
        <v>1000000</v>
      </c>
      <c r="G8" s="1">
        <v>1000000</v>
      </c>
      <c r="H8" s="1">
        <v>1300000</v>
      </c>
      <c r="I8" s="1">
        <v>1650000</v>
      </c>
      <c r="J8" s="1">
        <v>1600000</v>
      </c>
      <c r="K8" s="1">
        <v>2000000</v>
      </c>
      <c r="L8" s="1">
        <v>1700000</v>
      </c>
      <c r="M8" s="1">
        <v>1750000</v>
      </c>
      <c r="N8" s="1">
        <v>3200000</v>
      </c>
      <c r="O8" s="1">
        <v>4000000</v>
      </c>
    </row>
    <row r="9" spans="3:17" x14ac:dyDescent="0.3">
      <c r="C9" t="s">
        <v>59</v>
      </c>
      <c r="D9" s="1">
        <v>215859</v>
      </c>
      <c r="E9" s="1">
        <v>47048</v>
      </c>
      <c r="F9" s="1">
        <v>500000</v>
      </c>
      <c r="G9" s="1">
        <v>500000</v>
      </c>
      <c r="H9" s="1">
        <v>1000000</v>
      </c>
      <c r="I9" s="1">
        <v>1000000</v>
      </c>
      <c r="J9" s="1">
        <v>1900000</v>
      </c>
      <c r="K9" s="1">
        <v>2500000</v>
      </c>
      <c r="L9" s="1">
        <v>2000000</v>
      </c>
      <c r="M9" s="1">
        <v>1900000</v>
      </c>
      <c r="N9" s="1">
        <v>3500000</v>
      </c>
      <c r="O9" s="1">
        <v>4200000</v>
      </c>
    </row>
    <row r="10" spans="3:17" x14ac:dyDescent="0.3">
      <c r="D10" s="1">
        <v>99015060</v>
      </c>
      <c r="E10" s="1">
        <v>93294623</v>
      </c>
      <c r="F10" s="1">
        <v>118537530.34509118</v>
      </c>
      <c r="G10" s="1">
        <v>108391499.32632142</v>
      </c>
      <c r="H10" s="1">
        <v>139275948.52322853</v>
      </c>
      <c r="I10" s="1">
        <v>150700129.46335882</v>
      </c>
      <c r="J10" s="1">
        <v>150718096.66373235</v>
      </c>
      <c r="K10" s="1">
        <v>192048592.67835715</v>
      </c>
      <c r="L10" s="1">
        <v>152559577.25071895</v>
      </c>
      <c r="M10" s="1">
        <v>177914909.79325312</v>
      </c>
      <c r="N10" s="1">
        <v>223046459.8034701</v>
      </c>
      <c r="O10" s="1">
        <v>245081837.15246844</v>
      </c>
    </row>
    <row r="16" spans="3:17" x14ac:dyDescent="0.3">
      <c r="C16" t="s">
        <v>63</v>
      </c>
      <c r="D16" t="s">
        <v>64</v>
      </c>
      <c r="E16" t="s">
        <v>65</v>
      </c>
      <c r="F16" t="s">
        <v>66</v>
      </c>
      <c r="G16" t="s">
        <v>67</v>
      </c>
      <c r="H16" t="s">
        <v>68</v>
      </c>
      <c r="I16" t="s">
        <v>69</v>
      </c>
      <c r="J16" t="s">
        <v>70</v>
      </c>
      <c r="K16" t="s">
        <v>71</v>
      </c>
      <c r="L16" t="s">
        <v>72</v>
      </c>
      <c r="M16" t="s">
        <v>73</v>
      </c>
      <c r="N16" t="s">
        <v>74</v>
      </c>
      <c r="O16" t="s">
        <v>75</v>
      </c>
      <c r="P16" t="s">
        <v>44</v>
      </c>
      <c r="Q16" t="s">
        <v>76</v>
      </c>
    </row>
    <row r="17" spans="3:18" x14ac:dyDescent="0.3">
      <c r="C17" t="s">
        <v>53</v>
      </c>
      <c r="D17" s="1">
        <v>83262185.999999985</v>
      </c>
      <c r="E17" s="1">
        <v>76042302.999999985</v>
      </c>
      <c r="F17" s="1">
        <v>94203579.963066682</v>
      </c>
      <c r="G17" s="1">
        <v>85451247.625192016</v>
      </c>
      <c r="H17" s="1">
        <v>103696576.16009721</v>
      </c>
      <c r="I17" s="1">
        <v>108286652.58976743</v>
      </c>
      <c r="J17" s="1">
        <v>113564325.48241308</v>
      </c>
      <c r="K17" s="1">
        <v>142877108.36054641</v>
      </c>
      <c r="L17" s="1">
        <v>115742126.65528204</v>
      </c>
      <c r="M17" s="1">
        <v>136668981.97096738</v>
      </c>
      <c r="N17" s="1">
        <v>160585319.92501077</v>
      </c>
      <c r="O17" s="1">
        <v>160602417.93144479</v>
      </c>
      <c r="P17" s="1">
        <v>1380982825.6637878</v>
      </c>
      <c r="Q17">
        <v>0.74166639401921997</v>
      </c>
      <c r="R17" s="19">
        <f>+P17+P18+P19+P20</f>
        <v>1450000000.0000002</v>
      </c>
    </row>
    <row r="18" spans="3:18" x14ac:dyDescent="0.3">
      <c r="C18" t="s">
        <v>54</v>
      </c>
      <c r="D18" s="1">
        <v>175474</v>
      </c>
      <c r="E18" s="1">
        <v>132298</v>
      </c>
      <c r="F18" s="1">
        <v>250609.61117969826</v>
      </c>
      <c r="G18" s="1">
        <v>543289.16116364696</v>
      </c>
      <c r="H18" s="1">
        <v>460698.01598698908</v>
      </c>
      <c r="I18" s="1">
        <v>532987.24006410234</v>
      </c>
      <c r="J18" s="1">
        <v>434740.12025818508</v>
      </c>
      <c r="K18" s="1">
        <v>407615.9244925176</v>
      </c>
      <c r="L18" s="1">
        <v>283821.84563066257</v>
      </c>
      <c r="M18" s="1">
        <v>245607.11041058577</v>
      </c>
      <c r="N18" s="1">
        <v>275092.41052786657</v>
      </c>
      <c r="O18" s="1">
        <v>257766.56028574568</v>
      </c>
      <c r="P18" s="1">
        <v>3999999.9999999995</v>
      </c>
      <c r="Q18">
        <v>2.1482277121374861E-3</v>
      </c>
    </row>
    <row r="19" spans="3:18" x14ac:dyDescent="0.3">
      <c r="C19" t="s">
        <v>55</v>
      </c>
      <c r="D19" s="1">
        <v>2983050</v>
      </c>
      <c r="E19" s="1">
        <v>2072821</v>
      </c>
      <c r="F19" s="1">
        <v>2448823.6577100591</v>
      </c>
      <c r="G19" s="1">
        <v>2573658.9184749811</v>
      </c>
      <c r="H19" s="1">
        <v>3628049.479501057</v>
      </c>
      <c r="I19" s="1">
        <v>4151500.5808940991</v>
      </c>
      <c r="J19" s="1">
        <v>4222672.9355347054</v>
      </c>
      <c r="K19" s="1">
        <v>6078558.1793413926</v>
      </c>
      <c r="L19" s="1">
        <v>3862223.8160414295</v>
      </c>
      <c r="M19" s="1">
        <v>6083380.7078921515</v>
      </c>
      <c r="N19" s="1">
        <v>6058947.597003147</v>
      </c>
      <c r="O19" s="1">
        <v>5853487.4638192682</v>
      </c>
      <c r="P19" s="1">
        <v>50017174.336212285</v>
      </c>
      <c r="Q19">
        <v>2.6862069997965778E-2</v>
      </c>
    </row>
    <row r="20" spans="3:18" x14ac:dyDescent="0.3">
      <c r="C20" t="s">
        <v>56</v>
      </c>
      <c r="D20" s="1">
        <v>1316051</v>
      </c>
      <c r="E20" s="1">
        <v>1441236</v>
      </c>
      <c r="F20" s="1">
        <v>1434517.1131347429</v>
      </c>
      <c r="G20" s="1">
        <v>1323303.6214907798</v>
      </c>
      <c r="H20" s="1">
        <v>1190624.8676432583</v>
      </c>
      <c r="I20" s="1">
        <v>1078989.0526332003</v>
      </c>
      <c r="J20" s="1">
        <v>996358.12552639015</v>
      </c>
      <c r="K20" s="1">
        <v>1185310.2139768198</v>
      </c>
      <c r="L20" s="1">
        <v>971404.93376484606</v>
      </c>
      <c r="M20" s="1">
        <v>1266940.0039830061</v>
      </c>
      <c r="N20" s="1">
        <v>1427099.8709283166</v>
      </c>
      <c r="O20" s="1">
        <v>1368165.1969186398</v>
      </c>
      <c r="P20" s="1">
        <v>15000000</v>
      </c>
      <c r="Q20">
        <v>8.0558539205155735E-3</v>
      </c>
    </row>
    <row r="21" spans="3:18" x14ac:dyDescent="0.3">
      <c r="C21" t="s">
        <v>57</v>
      </c>
      <c r="D21" s="1">
        <v>20000000</v>
      </c>
      <c r="E21" s="1">
        <v>12500000</v>
      </c>
      <c r="F21" s="1">
        <v>18700000</v>
      </c>
      <c r="G21" s="1">
        <v>17000000</v>
      </c>
      <c r="H21" s="1">
        <v>28000000</v>
      </c>
      <c r="I21" s="1">
        <v>34000000</v>
      </c>
      <c r="J21" s="1">
        <v>28000000</v>
      </c>
      <c r="K21" s="1">
        <v>37000000</v>
      </c>
      <c r="L21" s="1">
        <v>28000000</v>
      </c>
      <c r="M21" s="1">
        <v>30000000</v>
      </c>
      <c r="N21" s="1">
        <v>48000000</v>
      </c>
      <c r="O21" s="1">
        <v>68800000</v>
      </c>
      <c r="P21" s="1">
        <v>370000000</v>
      </c>
      <c r="Q21">
        <v>0.19871106337271749</v>
      </c>
    </row>
    <row r="22" spans="3:18" x14ac:dyDescent="0.3">
      <c r="C22" t="s">
        <v>58</v>
      </c>
      <c r="D22" s="1">
        <v>1800000</v>
      </c>
      <c r="E22" s="1">
        <v>1000000</v>
      </c>
      <c r="F22" s="1">
        <v>1000000</v>
      </c>
      <c r="G22" s="1">
        <v>1000000</v>
      </c>
      <c r="H22" s="1">
        <v>1300000</v>
      </c>
      <c r="I22" s="1">
        <v>1650000</v>
      </c>
      <c r="J22" s="1">
        <v>1600000</v>
      </c>
      <c r="K22" s="1">
        <v>2000000</v>
      </c>
      <c r="L22" s="1">
        <v>1700000</v>
      </c>
      <c r="M22" s="1">
        <v>1750000</v>
      </c>
      <c r="N22" s="1">
        <v>3200000</v>
      </c>
      <c r="O22" s="1">
        <v>4000000</v>
      </c>
      <c r="P22" s="1">
        <v>22000000</v>
      </c>
      <c r="Q22">
        <v>1.1815252416756175E-2</v>
      </c>
    </row>
    <row r="23" spans="3:18" x14ac:dyDescent="0.3">
      <c r="C23" t="s">
        <v>59</v>
      </c>
      <c r="D23" s="1">
        <v>500000</v>
      </c>
      <c r="E23" s="1">
        <v>500000</v>
      </c>
      <c r="F23" s="1">
        <v>500000</v>
      </c>
      <c r="G23" s="1">
        <v>500000</v>
      </c>
      <c r="H23" s="1">
        <v>1000000</v>
      </c>
      <c r="I23" s="1">
        <v>1000000</v>
      </c>
      <c r="J23" s="1">
        <v>1900000</v>
      </c>
      <c r="K23" s="1">
        <v>2500000</v>
      </c>
      <c r="L23" s="1">
        <v>2000000</v>
      </c>
      <c r="M23" s="1">
        <v>1900000</v>
      </c>
      <c r="N23" s="1">
        <v>3500000</v>
      </c>
      <c r="O23" s="1">
        <v>4200000</v>
      </c>
      <c r="P23" s="1">
        <v>20000000</v>
      </c>
      <c r="Q23">
        <v>1.0741138560687431E-2</v>
      </c>
    </row>
    <row r="24" spans="3:18" x14ac:dyDescent="0.3">
      <c r="C24" t="s">
        <v>77</v>
      </c>
      <c r="D24" s="1">
        <v>110036760.99999999</v>
      </c>
      <c r="E24" s="1">
        <v>93688657.999999985</v>
      </c>
      <c r="F24" s="1">
        <v>118537530.34509118</v>
      </c>
      <c r="G24" s="1">
        <v>108391499.32632142</v>
      </c>
      <c r="H24" s="1">
        <v>139275948.52322853</v>
      </c>
      <c r="I24" s="1">
        <v>150700129.46335882</v>
      </c>
      <c r="J24" s="1">
        <v>150718096.66373235</v>
      </c>
      <c r="K24" s="1">
        <v>192048592.67835715</v>
      </c>
      <c r="L24" s="1">
        <v>152559577.25071895</v>
      </c>
      <c r="M24" s="1">
        <v>177914909.79325312</v>
      </c>
      <c r="N24" s="1">
        <v>223046459.8034701</v>
      </c>
      <c r="O24" s="1">
        <v>245081837.15246844</v>
      </c>
      <c r="P24" s="1">
        <v>1862000000.0000002</v>
      </c>
      <c r="Q24">
        <v>0.99999999999999989</v>
      </c>
    </row>
    <row r="28" spans="3:18" x14ac:dyDescent="0.3">
      <c r="F28" t="s">
        <v>62</v>
      </c>
      <c r="G28" t="s">
        <v>78</v>
      </c>
      <c r="H28" t="s">
        <v>68</v>
      </c>
      <c r="I28" t="s">
        <v>69</v>
      </c>
      <c r="J28" t="s">
        <v>70</v>
      </c>
      <c r="K28" t="s">
        <v>71</v>
      </c>
      <c r="L28" t="s">
        <v>72</v>
      </c>
      <c r="M28" t="s">
        <v>73</v>
      </c>
      <c r="N28" t="s">
        <v>74</v>
      </c>
      <c r="O28" t="s">
        <v>75</v>
      </c>
    </row>
    <row r="29" spans="3:18" x14ac:dyDescent="0.3">
      <c r="F29" s="21">
        <f>+F17/(SUM($F$17:$F$20))</f>
        <v>0.95796162088352821</v>
      </c>
      <c r="G29" s="21">
        <f>+G17/(G$17+G$18+G$19+G$20)</f>
        <v>0.95060432038172449</v>
      </c>
      <c r="H29" s="21">
        <f t="shared" ref="H29:O29" si="0">+H17/(H$17+H$18+H$19+H$20)</f>
        <v>0.95155470143023357</v>
      </c>
      <c r="I29" s="21">
        <f t="shared" si="0"/>
        <v>0.94946540700382953</v>
      </c>
      <c r="J29" s="21">
        <f t="shared" si="0"/>
        <v>0.95257623347849329</v>
      </c>
      <c r="K29" s="21">
        <f t="shared" si="0"/>
        <v>0.94904313496838422</v>
      </c>
      <c r="L29" s="21">
        <f t="shared" si="0"/>
        <v>0.95765788105628602</v>
      </c>
      <c r="M29" s="21">
        <f t="shared" si="0"/>
        <v>0.94734736372710793</v>
      </c>
      <c r="N29" s="21">
        <f t="shared" si="0"/>
        <v>0.95389781354761016</v>
      </c>
      <c r="O29" s="21">
        <f t="shared" si="0"/>
        <v>0.9555013239518616</v>
      </c>
    </row>
    <row r="30" spans="3:18" x14ac:dyDescent="0.3">
      <c r="F30" s="21">
        <f>+F18/(SUM($F$17:$F$20))</f>
        <v>2.5484635448973143E-3</v>
      </c>
      <c r="G30" s="21">
        <f t="shared" ref="G30:O32" si="1">+G18/(G$17+G$18+G$19+G$20)</f>
        <v>6.0438324561860402E-3</v>
      </c>
      <c r="H30" s="21">
        <f t="shared" si="1"/>
        <v>4.2275201292585225E-3</v>
      </c>
      <c r="I30" s="21">
        <f t="shared" si="1"/>
        <v>4.6732716794971856E-3</v>
      </c>
      <c r="J30" s="21">
        <f t="shared" si="1"/>
        <v>3.6465950423987814E-3</v>
      </c>
      <c r="K30" s="21">
        <f t="shared" si="1"/>
        <v>2.7075372624928988E-3</v>
      </c>
      <c r="L30" s="21">
        <f t="shared" si="1"/>
        <v>2.3483604037591831E-3</v>
      </c>
      <c r="M30" s="21">
        <f t="shared" si="1"/>
        <v>1.7024729767104608E-3</v>
      </c>
      <c r="N30" s="21">
        <f t="shared" si="1"/>
        <v>1.6340849154120205E-3</v>
      </c>
      <c r="O30" s="21">
        <f t="shared" si="1"/>
        <v>1.5335777181678678E-3</v>
      </c>
    </row>
    <row r="31" spans="3:18" x14ac:dyDescent="0.3">
      <c r="F31" s="21">
        <f>+F19/(SUM($F$17:$F$20))</f>
        <v>2.4902228570480869E-2</v>
      </c>
      <c r="G31" s="21">
        <f t="shared" si="1"/>
        <v>2.8630726350799444E-2</v>
      </c>
      <c r="H31" s="21">
        <f t="shared" si="1"/>
        <v>3.3292203726290381E-2</v>
      </c>
      <c r="I31" s="21">
        <f t="shared" si="1"/>
        <v>3.6400665220006283E-2</v>
      </c>
      <c r="J31" s="21">
        <f t="shared" si="1"/>
        <v>3.541973117927906E-2</v>
      </c>
      <c r="K31" s="21">
        <f t="shared" si="1"/>
        <v>4.0376054476497579E-2</v>
      </c>
      <c r="L31" s="21">
        <f t="shared" si="1"/>
        <v>3.1956290960950338E-2</v>
      </c>
      <c r="M31" s="21">
        <f t="shared" si="1"/>
        <v>4.2168124713142505E-2</v>
      </c>
      <c r="N31" s="21">
        <f t="shared" si="1"/>
        <v>3.5990941562278431E-2</v>
      </c>
      <c r="O31" s="21">
        <f t="shared" si="1"/>
        <v>3.4825223016271063E-2</v>
      </c>
    </row>
    <row r="32" spans="3:18" x14ac:dyDescent="0.3">
      <c r="F32" s="21">
        <f>+F20/(SUM($F$17:$F$20))</f>
        <v>1.4587687001093691E-2</v>
      </c>
      <c r="G32" s="21">
        <f t="shared" si="1"/>
        <v>1.4721120811290095E-2</v>
      </c>
      <c r="H32" s="21">
        <f t="shared" si="1"/>
        <v>1.0925574714217545E-2</v>
      </c>
      <c r="I32" s="21">
        <f t="shared" si="1"/>
        <v>9.4606560966671235E-3</v>
      </c>
      <c r="J32" s="21">
        <f t="shared" si="1"/>
        <v>8.3574402998290356E-3</v>
      </c>
      <c r="K32" s="21">
        <f t="shared" si="1"/>
        <v>7.8732732926252037E-3</v>
      </c>
      <c r="L32" s="21">
        <f t="shared" si="1"/>
        <v>8.0374675790045209E-3</v>
      </c>
      <c r="M32" s="21">
        <f t="shared" si="1"/>
        <v>8.7820385830391125E-3</v>
      </c>
      <c r="N32" s="21">
        <f t="shared" si="1"/>
        <v>8.4771599746993904E-3</v>
      </c>
      <c r="O32" s="21">
        <f t="shared" si="1"/>
        <v>8.1398753136995156E-3</v>
      </c>
    </row>
    <row r="37" spans="3:15" x14ac:dyDescent="0.3">
      <c r="C37">
        <v>2026</v>
      </c>
      <c r="D37" t="s">
        <v>64</v>
      </c>
      <c r="E37" t="s">
        <v>65</v>
      </c>
      <c r="F37" t="s">
        <v>66</v>
      </c>
      <c r="G37" t="s">
        <v>67</v>
      </c>
      <c r="H37" t="s">
        <v>68</v>
      </c>
      <c r="I37" t="s">
        <v>69</v>
      </c>
      <c r="J37" t="s">
        <v>70</v>
      </c>
      <c r="K37" t="s">
        <v>71</v>
      </c>
      <c r="L37" t="s">
        <v>72</v>
      </c>
      <c r="M37" t="s">
        <v>73</v>
      </c>
      <c r="N37" t="s">
        <v>74</v>
      </c>
      <c r="O37" t="s">
        <v>75</v>
      </c>
    </row>
    <row r="38" spans="3:15" x14ac:dyDescent="0.3">
      <c r="C38" t="s">
        <v>91</v>
      </c>
      <c r="D38" s="19">
        <f>+D17+D18+D19+D20</f>
        <v>87736760.999999985</v>
      </c>
      <c r="E38" s="19">
        <f t="shared" ref="E38:O38" si="2">+E17+E18+E19+E20</f>
        <v>79688657.999999985</v>
      </c>
      <c r="F38" s="19">
        <f t="shared" si="2"/>
        <v>98337530.345091179</v>
      </c>
      <c r="G38" s="19">
        <f t="shared" si="2"/>
        <v>89891499.326321423</v>
      </c>
      <c r="H38" s="19">
        <f>+H17+H18+H19+H20</f>
        <v>108975948.52322851</v>
      </c>
      <c r="I38" s="19">
        <f t="shared" si="2"/>
        <v>114050129.46335882</v>
      </c>
      <c r="J38" s="19">
        <f t="shared" si="2"/>
        <v>119218096.66373235</v>
      </c>
      <c r="K38" s="19">
        <f t="shared" si="2"/>
        <v>150548592.67835715</v>
      </c>
      <c r="L38" s="19">
        <f t="shared" si="2"/>
        <v>120859577.25071897</v>
      </c>
      <c r="M38" s="19">
        <f t="shared" si="2"/>
        <v>144264909.79325312</v>
      </c>
      <c r="N38" s="19">
        <f t="shared" si="2"/>
        <v>168346459.8034701</v>
      </c>
      <c r="O38" s="19">
        <f t="shared" si="2"/>
        <v>168081837.15246844</v>
      </c>
    </row>
    <row r="39" spans="3:15" x14ac:dyDescent="0.3">
      <c r="C39" t="s">
        <v>92</v>
      </c>
      <c r="D39" s="19">
        <f>+D21+D22+D23</f>
        <v>22300000</v>
      </c>
      <c r="E39" s="19">
        <f t="shared" ref="E39:O39" si="3">+E21+E22+E23</f>
        <v>14000000</v>
      </c>
      <c r="F39" s="19">
        <f t="shared" si="3"/>
        <v>20200000</v>
      </c>
      <c r="G39" s="19">
        <f t="shared" si="3"/>
        <v>18500000</v>
      </c>
      <c r="H39" s="19">
        <f t="shared" si="3"/>
        <v>30300000</v>
      </c>
      <c r="I39" s="19">
        <f t="shared" si="3"/>
        <v>36650000</v>
      </c>
      <c r="J39" s="19">
        <f t="shared" si="3"/>
        <v>31500000</v>
      </c>
      <c r="K39" s="19">
        <f t="shared" si="3"/>
        <v>41500000</v>
      </c>
      <c r="L39" s="19">
        <f t="shared" si="3"/>
        <v>31700000</v>
      </c>
      <c r="M39" s="19">
        <f t="shared" si="3"/>
        <v>33650000</v>
      </c>
      <c r="N39" s="19">
        <f t="shared" si="3"/>
        <v>54700000</v>
      </c>
      <c r="O39" s="19">
        <f t="shared" si="3"/>
        <v>77000000</v>
      </c>
    </row>
    <row r="40" spans="3:15" x14ac:dyDescent="0.3">
      <c r="D40" s="19">
        <f>+D39+D38</f>
        <v>110036760.99999999</v>
      </c>
      <c r="E40" s="19">
        <f t="shared" ref="E40:O40" si="4">+E39+E38</f>
        <v>93688657.999999985</v>
      </c>
      <c r="F40" s="19">
        <f t="shared" si="4"/>
        <v>118537530.34509118</v>
      </c>
      <c r="G40" s="19">
        <f t="shared" si="4"/>
        <v>108391499.32632142</v>
      </c>
      <c r="H40" s="19">
        <f t="shared" si="4"/>
        <v>139275948.52322853</v>
      </c>
      <c r="I40" s="19">
        <f t="shared" si="4"/>
        <v>150700129.46335882</v>
      </c>
      <c r="J40" s="19">
        <f t="shared" si="4"/>
        <v>150718096.66373235</v>
      </c>
      <c r="K40" s="19">
        <f t="shared" si="4"/>
        <v>192048592.67835715</v>
      </c>
      <c r="L40" s="19">
        <f t="shared" si="4"/>
        <v>152559577.25071895</v>
      </c>
      <c r="M40" s="19">
        <f t="shared" si="4"/>
        <v>177914909.79325312</v>
      </c>
      <c r="N40" s="19">
        <f t="shared" si="4"/>
        <v>223046459.8034701</v>
      </c>
      <c r="O40" s="19">
        <f t="shared" si="4"/>
        <v>245081837.15246844</v>
      </c>
    </row>
    <row r="43" spans="3:15" x14ac:dyDescent="0.3">
      <c r="C43">
        <v>2025</v>
      </c>
      <c r="D43" t="s">
        <v>64</v>
      </c>
      <c r="E43" t="s">
        <v>65</v>
      </c>
      <c r="F43" t="s">
        <v>66</v>
      </c>
      <c r="G43" t="s">
        <v>67</v>
      </c>
      <c r="H43" t="s">
        <v>68</v>
      </c>
      <c r="I43" t="s">
        <v>69</v>
      </c>
      <c r="J43" t="s">
        <v>70</v>
      </c>
      <c r="K43" t="s">
        <v>71</v>
      </c>
      <c r="L43" t="s">
        <v>72</v>
      </c>
      <c r="M43" t="s">
        <v>73</v>
      </c>
      <c r="N43" t="s">
        <v>74</v>
      </c>
      <c r="O43" t="s">
        <v>75</v>
      </c>
    </row>
    <row r="44" spans="3:15" x14ac:dyDescent="0.3">
      <c r="C44" t="s">
        <v>91</v>
      </c>
      <c r="D44" s="19">
        <v>68807754</v>
      </c>
      <c r="E44" s="19">
        <v>66647421</v>
      </c>
      <c r="F44" s="19">
        <v>74956560</v>
      </c>
      <c r="G44" s="19">
        <v>68411919</v>
      </c>
      <c r="H44" s="19">
        <v>82916714</v>
      </c>
      <c r="I44" s="19">
        <v>86724420</v>
      </c>
      <c r="J44" s="19">
        <v>90666836</v>
      </c>
      <c r="K44" s="19">
        <v>114536191</v>
      </c>
      <c r="L44" s="19">
        <v>91955259</v>
      </c>
      <c r="M44" s="19">
        <v>109845831.99999999</v>
      </c>
      <c r="N44" s="19">
        <v>128149831</v>
      </c>
      <c r="O44" s="19">
        <v>127940905.00000004</v>
      </c>
    </row>
    <row r="45" spans="3:15" x14ac:dyDescent="0.3">
      <c r="C45" t="s">
        <v>92</v>
      </c>
      <c r="D45" s="19">
        <v>16981168</v>
      </c>
      <c r="E45" s="19">
        <v>10405870</v>
      </c>
      <c r="F45" s="19">
        <v>16790250</v>
      </c>
      <c r="G45" s="19">
        <v>14105872</v>
      </c>
      <c r="H45" s="19">
        <v>23142382</v>
      </c>
      <c r="I45" s="19">
        <v>28014559</v>
      </c>
      <c r="J45" s="19">
        <v>23568511</v>
      </c>
      <c r="K45" s="19">
        <v>29398248</v>
      </c>
      <c r="L45" s="19">
        <v>22388561</v>
      </c>
      <c r="M45" s="19">
        <v>23824538</v>
      </c>
      <c r="N45" s="19">
        <v>38493097</v>
      </c>
      <c r="O45" s="19">
        <v>54351220</v>
      </c>
    </row>
    <row r="49" spans="4:15" x14ac:dyDescent="0.3">
      <c r="D49" s="21">
        <f>+D38/D$40</f>
        <v>0.79734045425055722</v>
      </c>
      <c r="E49" s="21">
        <f t="shared" ref="E49:O49" si="5">+E38/E$40</f>
        <v>0.85056889170085026</v>
      </c>
      <c r="F49" s="21">
        <f t="shared" si="5"/>
        <v>0.82958983588410395</v>
      </c>
      <c r="G49" s="21">
        <f t="shared" si="5"/>
        <v>0.82932240890677</v>
      </c>
      <c r="H49" s="21">
        <f t="shared" si="5"/>
        <v>0.78244628508168756</v>
      </c>
      <c r="I49" s="21">
        <f t="shared" si="5"/>
        <v>0.75680180149472887</v>
      </c>
      <c r="J49" s="21">
        <f t="shared" si="5"/>
        <v>0.7910005454071003</v>
      </c>
      <c r="K49" s="21">
        <f t="shared" si="5"/>
        <v>0.78390885649704201</v>
      </c>
      <c r="L49" s="21">
        <f t="shared" si="5"/>
        <v>0.79221232405551523</v>
      </c>
      <c r="M49" s="21">
        <f t="shared" si="5"/>
        <v>0.81086464288404414</v>
      </c>
      <c r="N49" s="21">
        <f t="shared" si="5"/>
        <v>0.75475961354330812</v>
      </c>
      <c r="O49" s="21">
        <f t="shared" si="5"/>
        <v>0.68581923126315825</v>
      </c>
    </row>
    <row r="50" spans="4:15" x14ac:dyDescent="0.3">
      <c r="D50" s="21">
        <f>+D39/D$40</f>
        <v>0.20265954574944281</v>
      </c>
      <c r="E50" s="21">
        <f t="shared" ref="E50:O50" si="6">+E39/E$40</f>
        <v>0.14943110829914974</v>
      </c>
      <c r="F50" s="21">
        <f t="shared" si="6"/>
        <v>0.17041016411589607</v>
      </c>
      <c r="G50" s="21">
        <f t="shared" si="6"/>
        <v>0.17067759109322997</v>
      </c>
      <c r="H50" s="21">
        <f t="shared" si="6"/>
        <v>0.21755371491831232</v>
      </c>
      <c r="I50" s="21">
        <f t="shared" si="6"/>
        <v>0.24319819850527116</v>
      </c>
      <c r="J50" s="21">
        <f t="shared" si="6"/>
        <v>0.20899945459289973</v>
      </c>
      <c r="K50" s="21">
        <f t="shared" si="6"/>
        <v>0.21609114350295797</v>
      </c>
      <c r="L50" s="21">
        <f t="shared" si="6"/>
        <v>0.20778767594448491</v>
      </c>
      <c r="M50" s="21">
        <f t="shared" si="6"/>
        <v>0.18913535711595586</v>
      </c>
      <c r="N50" s="21">
        <f t="shared" si="6"/>
        <v>0.24524038645669188</v>
      </c>
      <c r="O50" s="21">
        <f t="shared" si="6"/>
        <v>0.31418076873684175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BD MD</vt:lpstr>
      <vt:lpstr>BD MF</vt:lpstr>
      <vt:lpstr>Dashboard MD</vt:lpstr>
      <vt:lpstr>Dashboard MF</vt:lpstr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Carlos Lopez Diaz</dc:creator>
  <cp:keywords/>
  <dc:description/>
  <cp:lastModifiedBy>Juan Carlos Lopez Diaz</cp:lastModifiedBy>
  <cp:revision/>
  <dcterms:created xsi:type="dcterms:W3CDTF">2026-02-26T18:02:43Z</dcterms:created>
  <dcterms:modified xsi:type="dcterms:W3CDTF">2026-03-26T15:37:47Z</dcterms:modified>
  <cp:category/>
  <cp:contentStatus/>
</cp:coreProperties>
</file>