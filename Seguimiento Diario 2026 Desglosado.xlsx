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iceshoescorp-my.sharepoint.com/personal/juan_diaz_priceshoes_com/Documents/JCLD/"/>
    </mc:Choice>
  </mc:AlternateContent>
  <xr:revisionPtr revIDLastSave="1471" documentId="8_{2B51DA9B-464D-43C1-B352-B32CCE2013CD}" xr6:coauthVersionLast="47" xr6:coauthVersionMax="47" xr10:uidLastSave="{68D402A6-5781-411A-B5AC-D564B6518140}"/>
  <bookViews>
    <workbookView xWindow="-108" yWindow="-108" windowWidth="23256" windowHeight="12456" xr2:uid="{76945653-6FC6-4C31-A9FC-38C4C8AE764E}"/>
  </bookViews>
  <sheets>
    <sheet name="BD" sheetId="2" r:id="rId1"/>
    <sheet name="Analisis" sheetId="3" r:id="rId2"/>
    <sheet name="Dashboard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0" i="2" l="1"/>
  <c r="AI70" i="2"/>
  <c r="AJ69" i="2"/>
  <c r="AI69" i="2"/>
  <c r="AJ68" i="2"/>
  <c r="AI68" i="2"/>
  <c r="AH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E2" i="2"/>
  <c r="C2" i="2"/>
  <c r="B2" i="2"/>
  <c r="M66" i="2"/>
  <c r="F2" i="2" l="1"/>
  <c r="G93" i="2"/>
  <c r="G89" i="2"/>
  <c r="G85" i="2"/>
  <c r="G81" i="2"/>
  <c r="G78" i="2"/>
  <c r="G77" i="2"/>
  <c r="G73" i="2"/>
  <c r="G70" i="2"/>
  <c r="G69" i="2"/>
  <c r="G65" i="2"/>
  <c r="G63" i="2"/>
  <c r="G86" i="2"/>
  <c r="G82" i="2"/>
  <c r="G74" i="2"/>
  <c r="G66" i="2"/>
  <c r="G92" i="2"/>
  <c r="G84" i="2"/>
  <c r="G76" i="2"/>
  <c r="G68" i="2"/>
  <c r="G64" i="2"/>
  <c r="G67" i="2"/>
  <c r="G71" i="2"/>
  <c r="G72" i="2"/>
  <c r="G75" i="2"/>
  <c r="G79" i="2"/>
  <c r="G80" i="2"/>
  <c r="G83" i="2"/>
  <c r="G87" i="2"/>
  <c r="G88" i="2"/>
  <c r="G90" i="2"/>
  <c r="G91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M65" i="2"/>
  <c r="AH65" i="2" s="1"/>
  <c r="AH4" i="2"/>
  <c r="AK4" i="2" s="1"/>
  <c r="AH66" i="2"/>
  <c r="AH67" i="2"/>
  <c r="AH68" i="2"/>
  <c r="AK68" i="2" s="1"/>
  <c r="AH69" i="2"/>
  <c r="AK69" i="2" s="1"/>
  <c r="AH70" i="2"/>
  <c r="AK70" i="2" s="1"/>
  <c r="AH71" i="2"/>
  <c r="AM71" i="2" s="1"/>
  <c r="AH72" i="2"/>
  <c r="AM72" i="2" s="1"/>
  <c r="AH73" i="2"/>
  <c r="AM73" i="2" s="1"/>
  <c r="AH74" i="2"/>
  <c r="AK74" i="2" s="1"/>
  <c r="AH75" i="2"/>
  <c r="AK75" i="2" s="1"/>
  <c r="AH76" i="2"/>
  <c r="AK76" i="2" s="1"/>
  <c r="AH77" i="2"/>
  <c r="AM77" i="2" s="1"/>
  <c r="AH78" i="2"/>
  <c r="AK78" i="2" s="1"/>
  <c r="AH79" i="2"/>
  <c r="AM79" i="2" s="1"/>
  <c r="AH80" i="2"/>
  <c r="AM80" i="2" s="1"/>
  <c r="AH81" i="2"/>
  <c r="AK81" i="2" s="1"/>
  <c r="AH82" i="2"/>
  <c r="AM82" i="2" s="1"/>
  <c r="AH83" i="2"/>
  <c r="AK83" i="2" s="1"/>
  <c r="AH84" i="2"/>
  <c r="AK84" i="2" s="1"/>
  <c r="AH85" i="2"/>
  <c r="AK85" i="2" s="1"/>
  <c r="AH86" i="2"/>
  <c r="AK86" i="2" s="1"/>
  <c r="AH87" i="2"/>
  <c r="AM87" i="2" s="1"/>
  <c r="AH88" i="2"/>
  <c r="AM88" i="2" s="1"/>
  <c r="AH89" i="2"/>
  <c r="AM89" i="2" s="1"/>
  <c r="AH90" i="2"/>
  <c r="AK90" i="2" s="1"/>
  <c r="AH91" i="2"/>
  <c r="AK91" i="2" s="1"/>
  <c r="AH92" i="2"/>
  <c r="AK92" i="2" s="1"/>
  <c r="AH93" i="2"/>
  <c r="AM93" i="2" s="1"/>
  <c r="AH94" i="2"/>
  <c r="AK94" i="2" s="1"/>
  <c r="AH95" i="2"/>
  <c r="AK95" i="2" s="1"/>
  <c r="AH96" i="2"/>
  <c r="AM96" i="2" s="1"/>
  <c r="AH97" i="2"/>
  <c r="AM97" i="2" s="1"/>
  <c r="AH98" i="2"/>
  <c r="AM98" i="2" s="1"/>
  <c r="AH99" i="2"/>
  <c r="AK99" i="2" s="1"/>
  <c r="AH100" i="2"/>
  <c r="AK100" i="2" s="1"/>
  <c r="AH101" i="2"/>
  <c r="AK101" i="2" s="1"/>
  <c r="AH102" i="2"/>
  <c r="AK102" i="2" s="1"/>
  <c r="AH103" i="2"/>
  <c r="AK103" i="2" s="1"/>
  <c r="AH104" i="2"/>
  <c r="AK104" i="2" s="1"/>
  <c r="AH105" i="2"/>
  <c r="AM105" i="2" s="1"/>
  <c r="AH106" i="2"/>
  <c r="AM106" i="2" s="1"/>
  <c r="AH107" i="2"/>
  <c r="AK107" i="2" s="1"/>
  <c r="AH108" i="2"/>
  <c r="AM108" i="2" s="1"/>
  <c r="AH109" i="2"/>
  <c r="AK109" i="2" s="1"/>
  <c r="AH110" i="2"/>
  <c r="AK110" i="2" s="1"/>
  <c r="AH111" i="2"/>
  <c r="AK111" i="2" s="1"/>
  <c r="AH112" i="2"/>
  <c r="AM112" i="2" s="1"/>
  <c r="AH113" i="2"/>
  <c r="AM113" i="2" s="1"/>
  <c r="AH114" i="2"/>
  <c r="AK114" i="2" s="1"/>
  <c r="AH115" i="2"/>
  <c r="AM115" i="2" s="1"/>
  <c r="AH116" i="2"/>
  <c r="AK116" i="2" s="1"/>
  <c r="AH117" i="2"/>
  <c r="AK117" i="2" s="1"/>
  <c r="AH118" i="2"/>
  <c r="AK118" i="2" s="1"/>
  <c r="AH119" i="2"/>
  <c r="AK119" i="2" s="1"/>
  <c r="AH120" i="2"/>
  <c r="AM120" i="2" s="1"/>
  <c r="AH121" i="2"/>
  <c r="AK121" i="2" s="1"/>
  <c r="AH122" i="2"/>
  <c r="AM122" i="2" s="1"/>
  <c r="AH123" i="2"/>
  <c r="AK123" i="2" s="1"/>
  <c r="AH124" i="2"/>
  <c r="AM124" i="2" s="1"/>
  <c r="AH125" i="2"/>
  <c r="AM125" i="2" s="1"/>
  <c r="AH126" i="2"/>
  <c r="AK126" i="2" s="1"/>
  <c r="AH127" i="2"/>
  <c r="AM127" i="2" s="1"/>
  <c r="AH128" i="2"/>
  <c r="AM128" i="2" s="1"/>
  <c r="AH129" i="2"/>
  <c r="AK129" i="2" s="1"/>
  <c r="AH130" i="2"/>
  <c r="AK130" i="2" s="1"/>
  <c r="AH131" i="2"/>
  <c r="AM131" i="2" s="1"/>
  <c r="AH132" i="2"/>
  <c r="AK132" i="2" s="1"/>
  <c r="AH133" i="2"/>
  <c r="AK133" i="2" s="1"/>
  <c r="AH134" i="2"/>
  <c r="AK134" i="2" s="1"/>
  <c r="AH135" i="2"/>
  <c r="AM135" i="2" s="1"/>
  <c r="AH136" i="2"/>
  <c r="AM136" i="2" s="1"/>
  <c r="AH137" i="2"/>
  <c r="AK137" i="2" s="1"/>
  <c r="AH138" i="2"/>
  <c r="AK138" i="2" s="1"/>
  <c r="AH139" i="2"/>
  <c r="AK139" i="2" s="1"/>
  <c r="AH140" i="2"/>
  <c r="AM140" i="2" s="1"/>
  <c r="AH141" i="2"/>
  <c r="AM141" i="2" s="1"/>
  <c r="AH142" i="2"/>
  <c r="AK142" i="2" s="1"/>
  <c r="AH143" i="2"/>
  <c r="AM143" i="2" s="1"/>
  <c r="AH144" i="2"/>
  <c r="AM144" i="2" s="1"/>
  <c r="AH145" i="2"/>
  <c r="AK145" i="2" s="1"/>
  <c r="AH146" i="2"/>
  <c r="AM146" i="2" s="1"/>
  <c r="AH147" i="2"/>
  <c r="AM147" i="2" s="1"/>
  <c r="AH148" i="2"/>
  <c r="AK148" i="2" s="1"/>
  <c r="AH149" i="2"/>
  <c r="AK149" i="2" s="1"/>
  <c r="AH150" i="2"/>
  <c r="AK150" i="2" s="1"/>
  <c r="AH151" i="2"/>
  <c r="AM151" i="2" s="1"/>
  <c r="AH152" i="2"/>
  <c r="AM152" i="2" s="1"/>
  <c r="AH153" i="2"/>
  <c r="AM153" i="2" s="1"/>
  <c r="AH154" i="2"/>
  <c r="AK154" i="2" s="1"/>
  <c r="AH155" i="2"/>
  <c r="AK155" i="2" s="1"/>
  <c r="AH156" i="2"/>
  <c r="AM156" i="2" s="1"/>
  <c r="AH157" i="2"/>
  <c r="AM157" i="2" s="1"/>
  <c r="AH158" i="2"/>
  <c r="AK158" i="2" s="1"/>
  <c r="AH159" i="2"/>
  <c r="AK159" i="2" s="1"/>
  <c r="AH160" i="2"/>
  <c r="AM160" i="2" s="1"/>
  <c r="AH161" i="2"/>
  <c r="AM161" i="2" s="1"/>
  <c r="AH162" i="2"/>
  <c r="AM162" i="2" s="1"/>
  <c r="AH163" i="2"/>
  <c r="AK163" i="2" s="1"/>
  <c r="AH164" i="2"/>
  <c r="AK164" i="2" s="1"/>
  <c r="AH165" i="2"/>
  <c r="AK165" i="2" s="1"/>
  <c r="AH166" i="2"/>
  <c r="AK166" i="2" s="1"/>
  <c r="AH167" i="2"/>
  <c r="AK167" i="2" s="1"/>
  <c r="AH168" i="2"/>
  <c r="AK168" i="2" s="1"/>
  <c r="AH169" i="2"/>
  <c r="AM169" i="2" s="1"/>
  <c r="AH170" i="2"/>
  <c r="AM170" i="2" s="1"/>
  <c r="AH171" i="2"/>
  <c r="AK171" i="2" s="1"/>
  <c r="AH172" i="2"/>
  <c r="AM172" i="2" s="1"/>
  <c r="AH173" i="2"/>
  <c r="AM173" i="2" s="1"/>
  <c r="AH174" i="2"/>
  <c r="AK174" i="2" s="1"/>
  <c r="AH175" i="2"/>
  <c r="AK175" i="2" s="1"/>
  <c r="AH176" i="2"/>
  <c r="AM176" i="2" s="1"/>
  <c r="AH177" i="2"/>
  <c r="AM177" i="2" s="1"/>
  <c r="AH178" i="2"/>
  <c r="AK178" i="2" s="1"/>
  <c r="AH179" i="2"/>
  <c r="AK179" i="2" s="1"/>
  <c r="AH180" i="2"/>
  <c r="AK180" i="2" s="1"/>
  <c r="AH181" i="2"/>
  <c r="AK181" i="2" s="1"/>
  <c r="AH182" i="2"/>
  <c r="AK182" i="2" s="1"/>
  <c r="AH183" i="2"/>
  <c r="AK183" i="2" s="1"/>
  <c r="AH184" i="2"/>
  <c r="AM184" i="2" s="1"/>
  <c r="AH185" i="2"/>
  <c r="AK185" i="2" s="1"/>
  <c r="AH186" i="2"/>
  <c r="AM186" i="2" s="1"/>
  <c r="AH187" i="2"/>
  <c r="AK187" i="2" s="1"/>
  <c r="AH188" i="2"/>
  <c r="AK188" i="2" s="1"/>
  <c r="AH189" i="2"/>
  <c r="AK189" i="2" s="1"/>
  <c r="AH190" i="2"/>
  <c r="AK190" i="2" s="1"/>
  <c r="AH191" i="2"/>
  <c r="AK191" i="2" s="1"/>
  <c r="AH192" i="2"/>
  <c r="AM192" i="2" s="1"/>
  <c r="AH193" i="2"/>
  <c r="AM193" i="2" s="1"/>
  <c r="AH194" i="2"/>
  <c r="AK194" i="2" s="1"/>
  <c r="AH195" i="2"/>
  <c r="AM195" i="2" s="1"/>
  <c r="AH196" i="2"/>
  <c r="AK196" i="2" s="1"/>
  <c r="AH197" i="2"/>
  <c r="AK197" i="2" s="1"/>
  <c r="AH198" i="2"/>
  <c r="AK198" i="2" s="1"/>
  <c r="AH199" i="2"/>
  <c r="AM199" i="2" s="1"/>
  <c r="AH200" i="2"/>
  <c r="AM200" i="2" s="1"/>
  <c r="AH201" i="2"/>
  <c r="AK201" i="2" s="1"/>
  <c r="AH202" i="2"/>
  <c r="AK202" i="2" s="1"/>
  <c r="AH203" i="2"/>
  <c r="AK203" i="2" s="1"/>
  <c r="AH204" i="2"/>
  <c r="AK204" i="2" s="1"/>
  <c r="AH205" i="2"/>
  <c r="AM205" i="2" s="1"/>
  <c r="AH206" i="2"/>
  <c r="AK206" i="2" s="1"/>
  <c r="AH207" i="2"/>
  <c r="AM207" i="2" s="1"/>
  <c r="AH208" i="2"/>
  <c r="AM208" i="2" s="1"/>
  <c r="AH209" i="2"/>
  <c r="AM209" i="2" s="1"/>
  <c r="AH210" i="2"/>
  <c r="AM210" i="2" s="1"/>
  <c r="AH211" i="2"/>
  <c r="AM211" i="2" s="1"/>
  <c r="AH212" i="2"/>
  <c r="AK212" i="2" s="1"/>
  <c r="AH213" i="2"/>
  <c r="AK213" i="2" s="1"/>
  <c r="AH214" i="2"/>
  <c r="AK214" i="2" s="1"/>
  <c r="AH215" i="2"/>
  <c r="AK215" i="2" s="1"/>
  <c r="AH216" i="2"/>
  <c r="AM216" i="2" s="1"/>
  <c r="AH217" i="2"/>
  <c r="AM217" i="2" s="1"/>
  <c r="AH218" i="2"/>
  <c r="AK218" i="2" s="1"/>
  <c r="AH219" i="2"/>
  <c r="AK219" i="2" s="1"/>
  <c r="AH220" i="2"/>
  <c r="AM220" i="2" s="1"/>
  <c r="AH221" i="2"/>
  <c r="AM221" i="2" s="1"/>
  <c r="AH222" i="2"/>
  <c r="AK222" i="2" s="1"/>
  <c r="AH223" i="2"/>
  <c r="AK223" i="2" s="1"/>
  <c r="AH224" i="2"/>
  <c r="AM224" i="2" s="1"/>
  <c r="AH225" i="2"/>
  <c r="AM225" i="2" s="1"/>
  <c r="AH226" i="2"/>
  <c r="AM226" i="2" s="1"/>
  <c r="AH227" i="2"/>
  <c r="AK227" i="2" s="1"/>
  <c r="AH228" i="2"/>
  <c r="AK228" i="2" s="1"/>
  <c r="AH229" i="2"/>
  <c r="AK229" i="2" s="1"/>
  <c r="AH230" i="2"/>
  <c r="AK230" i="2" s="1"/>
  <c r="AH231" i="2"/>
  <c r="AM231" i="2" s="1"/>
  <c r="AH232" i="2"/>
  <c r="AM232" i="2" s="1"/>
  <c r="AH233" i="2"/>
  <c r="AK233" i="2" s="1"/>
  <c r="AH234" i="2"/>
  <c r="AM234" i="2" s="1"/>
  <c r="AH235" i="2"/>
  <c r="AK235" i="2" s="1"/>
  <c r="AH236" i="2"/>
  <c r="AM236" i="2" s="1"/>
  <c r="AH237" i="2"/>
  <c r="AM237" i="2" s="1"/>
  <c r="AH238" i="2"/>
  <c r="AK238" i="2" s="1"/>
  <c r="AH239" i="2"/>
  <c r="AK239" i="2" s="1"/>
  <c r="AH240" i="2"/>
  <c r="AM240" i="2" s="1"/>
  <c r="AH241" i="2"/>
  <c r="AK241" i="2" s="1"/>
  <c r="AH242" i="2"/>
  <c r="AK242" i="2" s="1"/>
  <c r="AH243" i="2"/>
  <c r="AK243" i="2" s="1"/>
  <c r="AH244" i="2"/>
  <c r="AK244" i="2" s="1"/>
  <c r="AH245" i="2"/>
  <c r="AK245" i="2" s="1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M246" i="2"/>
  <c r="AK246" i="2"/>
  <c r="AH337" i="2"/>
  <c r="AK337" i="2" s="1"/>
  <c r="AH247" i="2"/>
  <c r="AM247" i="2" s="1"/>
  <c r="AH248" i="2"/>
  <c r="AM248" i="2" s="1"/>
  <c r="AH249" i="2"/>
  <c r="AK249" i="2" s="1"/>
  <c r="AH250" i="2"/>
  <c r="AK250" i="2" s="1"/>
  <c r="AH251" i="2"/>
  <c r="AM251" i="2" s="1"/>
  <c r="AH252" i="2"/>
  <c r="AM252" i="2" s="1"/>
  <c r="AH253" i="2"/>
  <c r="AM253" i="2" s="1"/>
  <c r="AH254" i="2"/>
  <c r="AM254" i="2" s="1"/>
  <c r="AH255" i="2"/>
  <c r="AM255" i="2" s="1"/>
  <c r="AH256" i="2"/>
  <c r="AM256" i="2" s="1"/>
  <c r="AH257" i="2"/>
  <c r="AK257" i="2" s="1"/>
  <c r="AH258" i="2"/>
  <c r="AK258" i="2" s="1"/>
  <c r="AH259" i="2"/>
  <c r="AM259" i="2" s="1"/>
  <c r="AH260" i="2"/>
  <c r="AM260" i="2" s="1"/>
  <c r="AH261" i="2"/>
  <c r="AM261" i="2" s="1"/>
  <c r="AH262" i="2"/>
  <c r="AM262" i="2" s="1"/>
  <c r="AH263" i="2"/>
  <c r="AM263" i="2" s="1"/>
  <c r="AH264" i="2"/>
  <c r="AM264" i="2" s="1"/>
  <c r="AH265" i="2"/>
  <c r="AK265" i="2" s="1"/>
  <c r="AH266" i="2"/>
  <c r="AK266" i="2" s="1"/>
  <c r="AH267" i="2"/>
  <c r="AM267" i="2" s="1"/>
  <c r="AH268" i="2"/>
  <c r="AM268" i="2" s="1"/>
  <c r="AH269" i="2"/>
  <c r="AM269" i="2" s="1"/>
  <c r="AH270" i="2"/>
  <c r="AM270" i="2" s="1"/>
  <c r="AH271" i="2"/>
  <c r="AM271" i="2" s="1"/>
  <c r="AH272" i="2"/>
  <c r="AM272" i="2" s="1"/>
  <c r="AH273" i="2"/>
  <c r="AK273" i="2" s="1"/>
  <c r="AH274" i="2"/>
  <c r="AK274" i="2" s="1"/>
  <c r="AH275" i="2"/>
  <c r="AM275" i="2" s="1"/>
  <c r="AH276" i="2"/>
  <c r="AM276" i="2" s="1"/>
  <c r="AH277" i="2"/>
  <c r="AM277" i="2" s="1"/>
  <c r="AH278" i="2"/>
  <c r="AM278" i="2" s="1"/>
  <c r="AH279" i="2"/>
  <c r="AM279" i="2" s="1"/>
  <c r="AH280" i="2"/>
  <c r="AM280" i="2" s="1"/>
  <c r="AH281" i="2"/>
  <c r="AK281" i="2" s="1"/>
  <c r="AH282" i="2"/>
  <c r="AK282" i="2" s="1"/>
  <c r="AH283" i="2"/>
  <c r="AM283" i="2" s="1"/>
  <c r="AH284" i="2"/>
  <c r="AM284" i="2" s="1"/>
  <c r="AH285" i="2"/>
  <c r="AM285" i="2" s="1"/>
  <c r="AH286" i="2"/>
  <c r="AM286" i="2" s="1"/>
  <c r="AH287" i="2"/>
  <c r="AM287" i="2" s="1"/>
  <c r="AH288" i="2"/>
  <c r="AM288" i="2" s="1"/>
  <c r="AH289" i="2"/>
  <c r="AK289" i="2" s="1"/>
  <c r="AH290" i="2"/>
  <c r="AK290" i="2" s="1"/>
  <c r="AH291" i="2"/>
  <c r="AM291" i="2" s="1"/>
  <c r="AH292" i="2"/>
  <c r="AM292" i="2" s="1"/>
  <c r="AH293" i="2"/>
  <c r="AM293" i="2" s="1"/>
  <c r="AH294" i="2"/>
  <c r="AM294" i="2" s="1"/>
  <c r="AH295" i="2"/>
  <c r="AM295" i="2" s="1"/>
  <c r="AH296" i="2"/>
  <c r="AM296" i="2" s="1"/>
  <c r="AH297" i="2"/>
  <c r="AK297" i="2" s="1"/>
  <c r="AH298" i="2"/>
  <c r="AK298" i="2" s="1"/>
  <c r="AH299" i="2"/>
  <c r="AM299" i="2" s="1"/>
  <c r="AH300" i="2"/>
  <c r="AM300" i="2" s="1"/>
  <c r="AH301" i="2"/>
  <c r="AM301" i="2" s="1"/>
  <c r="AH302" i="2"/>
  <c r="AM302" i="2" s="1"/>
  <c r="AH303" i="2"/>
  <c r="AM303" i="2" s="1"/>
  <c r="AH304" i="2"/>
  <c r="AM304" i="2" s="1"/>
  <c r="AH305" i="2"/>
  <c r="AK305" i="2" s="1"/>
  <c r="AH306" i="2"/>
  <c r="AK306" i="2" s="1"/>
  <c r="AH307" i="2"/>
  <c r="AM307" i="2" s="1"/>
  <c r="AH308" i="2"/>
  <c r="AM308" i="2" s="1"/>
  <c r="AH309" i="2"/>
  <c r="AM309" i="2" s="1"/>
  <c r="AH310" i="2"/>
  <c r="AM310" i="2" s="1"/>
  <c r="AH311" i="2"/>
  <c r="AM311" i="2" s="1"/>
  <c r="AH312" i="2"/>
  <c r="AM312" i="2" s="1"/>
  <c r="AH313" i="2"/>
  <c r="AK313" i="2" s="1"/>
  <c r="AH314" i="2"/>
  <c r="AK314" i="2" s="1"/>
  <c r="AH315" i="2"/>
  <c r="AM315" i="2" s="1"/>
  <c r="AH316" i="2"/>
  <c r="AM316" i="2" s="1"/>
  <c r="AH317" i="2"/>
  <c r="AM317" i="2" s="1"/>
  <c r="AH318" i="2"/>
  <c r="AM318" i="2" s="1"/>
  <c r="AH319" i="2"/>
  <c r="AM319" i="2" s="1"/>
  <c r="AH320" i="2"/>
  <c r="AM320" i="2" s="1"/>
  <c r="AH321" i="2"/>
  <c r="AK321" i="2" s="1"/>
  <c r="AH322" i="2"/>
  <c r="AK322" i="2" s="1"/>
  <c r="AH323" i="2"/>
  <c r="AM323" i="2" s="1"/>
  <c r="AH324" i="2"/>
  <c r="AM324" i="2" s="1"/>
  <c r="AH325" i="2"/>
  <c r="AM325" i="2" s="1"/>
  <c r="AH326" i="2"/>
  <c r="AM326" i="2" s="1"/>
  <c r="AH327" i="2"/>
  <c r="AM327" i="2" s="1"/>
  <c r="AH328" i="2"/>
  <c r="AM328" i="2" s="1"/>
  <c r="AH329" i="2"/>
  <c r="AK329" i="2" s="1"/>
  <c r="AH330" i="2"/>
  <c r="AK330" i="2" s="1"/>
  <c r="AH331" i="2"/>
  <c r="AM331" i="2" s="1"/>
  <c r="AH332" i="2"/>
  <c r="AM332" i="2" s="1"/>
  <c r="AH333" i="2"/>
  <c r="AM333" i="2" s="1"/>
  <c r="AH334" i="2"/>
  <c r="AM334" i="2" s="1"/>
  <c r="AH335" i="2"/>
  <c r="AM335" i="2" s="1"/>
  <c r="AH336" i="2"/>
  <c r="AM336" i="2" s="1"/>
  <c r="AH338" i="2"/>
  <c r="AK338" i="2" s="1"/>
  <c r="AH339" i="2"/>
  <c r="AM339" i="2" s="1"/>
  <c r="AH340" i="2"/>
  <c r="AM340" i="2" s="1"/>
  <c r="AH341" i="2"/>
  <c r="AM341" i="2" s="1"/>
  <c r="AH342" i="2"/>
  <c r="AM342" i="2" s="1"/>
  <c r="AH343" i="2"/>
  <c r="AM343" i="2" s="1"/>
  <c r="AH344" i="2"/>
  <c r="AM344" i="2" s="1"/>
  <c r="AH345" i="2"/>
  <c r="AK345" i="2" s="1"/>
  <c r="AH346" i="2"/>
  <c r="AK346" i="2" s="1"/>
  <c r="AH347" i="2"/>
  <c r="AM347" i="2" s="1"/>
  <c r="AH348" i="2"/>
  <c r="AM348" i="2" s="1"/>
  <c r="AH349" i="2"/>
  <c r="AM349" i="2" s="1"/>
  <c r="AH350" i="2"/>
  <c r="AM350" i="2" s="1"/>
  <c r="AH351" i="2"/>
  <c r="AM351" i="2" s="1"/>
  <c r="AH352" i="2"/>
  <c r="AM352" i="2" s="1"/>
  <c r="AH353" i="2"/>
  <c r="AK353" i="2" s="1"/>
  <c r="AH354" i="2"/>
  <c r="AK354" i="2" s="1"/>
  <c r="AH355" i="2"/>
  <c r="AM355" i="2" s="1"/>
  <c r="AH356" i="2"/>
  <c r="AM356" i="2" s="1"/>
  <c r="AH357" i="2"/>
  <c r="AM357" i="2" s="1"/>
  <c r="AH358" i="2"/>
  <c r="AM358" i="2" s="1"/>
  <c r="AH359" i="2"/>
  <c r="AM359" i="2" s="1"/>
  <c r="AH360" i="2"/>
  <c r="AM360" i="2" s="1"/>
  <c r="AH361" i="2"/>
  <c r="AK361" i="2" s="1"/>
  <c r="AH362" i="2"/>
  <c r="AK362" i="2" s="1"/>
  <c r="AH363" i="2"/>
  <c r="AM363" i="2" s="1"/>
  <c r="AH364" i="2"/>
  <c r="AM364" i="2" s="1"/>
  <c r="AH365" i="2"/>
  <c r="AM365" i="2" s="1"/>
  <c r="AH366" i="2"/>
  <c r="AM366" i="2" s="1"/>
  <c r="AH367" i="2"/>
  <c r="AM367" i="2" s="1"/>
  <c r="AH368" i="2"/>
  <c r="AM368" i="2" s="1"/>
  <c r="AM67" i="2" l="1"/>
  <c r="AJ67" i="2"/>
  <c r="AI67" i="2"/>
  <c r="AK66" i="2"/>
  <c r="AJ66" i="2"/>
  <c r="AI66" i="2"/>
  <c r="AK65" i="2"/>
  <c r="AL2" i="2"/>
  <c r="AK147" i="2"/>
  <c r="AM83" i="2"/>
  <c r="AK211" i="2"/>
  <c r="AN2" i="2"/>
  <c r="AK251" i="2"/>
  <c r="AK259" i="2"/>
  <c r="AK267" i="2"/>
  <c r="AK275" i="2"/>
  <c r="AK283" i="2"/>
  <c r="AK291" i="2"/>
  <c r="AK299" i="2"/>
  <c r="AK307" i="2"/>
  <c r="AK315" i="2"/>
  <c r="AK323" i="2"/>
  <c r="AK331" i="2"/>
  <c r="AK339" i="2"/>
  <c r="AK347" i="2"/>
  <c r="AK355" i="2"/>
  <c r="AK363" i="2"/>
  <c r="AM249" i="2"/>
  <c r="AM257" i="2"/>
  <c r="AM265" i="2"/>
  <c r="AM273" i="2"/>
  <c r="AM281" i="2"/>
  <c r="AM289" i="2"/>
  <c r="AM297" i="2"/>
  <c r="AM305" i="2"/>
  <c r="AM313" i="2"/>
  <c r="AM321" i="2"/>
  <c r="AM329" i="2"/>
  <c r="AM337" i="2"/>
  <c r="AM345" i="2"/>
  <c r="AM353" i="2"/>
  <c r="AM361" i="2"/>
  <c r="AK252" i="2"/>
  <c r="AK260" i="2"/>
  <c r="AK268" i="2"/>
  <c r="AK276" i="2"/>
  <c r="AK284" i="2"/>
  <c r="AK292" i="2"/>
  <c r="AK300" i="2"/>
  <c r="AK308" i="2"/>
  <c r="AK316" i="2"/>
  <c r="AK324" i="2"/>
  <c r="AK332" i="2"/>
  <c r="AK340" i="2"/>
  <c r="AK348" i="2"/>
  <c r="AK356" i="2"/>
  <c r="AK364" i="2"/>
  <c r="AM91" i="2"/>
  <c r="AM155" i="2"/>
  <c r="AM219" i="2"/>
  <c r="AM250" i="2"/>
  <c r="AM258" i="2"/>
  <c r="AM266" i="2"/>
  <c r="AM274" i="2"/>
  <c r="AM282" i="2"/>
  <c r="AM290" i="2"/>
  <c r="AM298" i="2"/>
  <c r="AM306" i="2"/>
  <c r="AM314" i="2"/>
  <c r="AM322" i="2"/>
  <c r="AM330" i="2"/>
  <c r="AM338" i="2"/>
  <c r="AM346" i="2"/>
  <c r="AM354" i="2"/>
  <c r="AM362" i="2"/>
  <c r="AK199" i="2"/>
  <c r="AK253" i="2"/>
  <c r="AK261" i="2"/>
  <c r="AK269" i="2"/>
  <c r="AK277" i="2"/>
  <c r="AK285" i="2"/>
  <c r="AK293" i="2"/>
  <c r="AK301" i="2"/>
  <c r="AK309" i="2"/>
  <c r="AK317" i="2"/>
  <c r="AK325" i="2"/>
  <c r="AK333" i="2"/>
  <c r="AK341" i="2"/>
  <c r="AK349" i="2"/>
  <c r="AK357" i="2"/>
  <c r="AK365" i="2"/>
  <c r="AM99" i="2"/>
  <c r="AM163" i="2"/>
  <c r="AM227" i="2"/>
  <c r="AK254" i="2"/>
  <c r="AK262" i="2"/>
  <c r="AK270" i="2"/>
  <c r="AK278" i="2"/>
  <c r="AK286" i="2"/>
  <c r="AK294" i="2"/>
  <c r="AK302" i="2"/>
  <c r="AK310" i="2"/>
  <c r="AK318" i="2"/>
  <c r="AK326" i="2"/>
  <c r="AK334" i="2"/>
  <c r="AK342" i="2"/>
  <c r="AK350" i="2"/>
  <c r="AK358" i="2"/>
  <c r="AK366" i="2"/>
  <c r="AM107" i="2"/>
  <c r="AM171" i="2"/>
  <c r="AM235" i="2"/>
  <c r="AK247" i="2"/>
  <c r="AK255" i="2"/>
  <c r="AK263" i="2"/>
  <c r="AK271" i="2"/>
  <c r="AK279" i="2"/>
  <c r="AK287" i="2"/>
  <c r="AK295" i="2"/>
  <c r="AK303" i="2"/>
  <c r="AK311" i="2"/>
  <c r="AK319" i="2"/>
  <c r="AK327" i="2"/>
  <c r="AK335" i="2"/>
  <c r="AK343" i="2"/>
  <c r="AK351" i="2"/>
  <c r="AK359" i="2"/>
  <c r="AK367" i="2"/>
  <c r="AM179" i="2"/>
  <c r="AM243" i="2"/>
  <c r="AK248" i="2"/>
  <c r="AK256" i="2"/>
  <c r="AK264" i="2"/>
  <c r="AK272" i="2"/>
  <c r="AK280" i="2"/>
  <c r="AK288" i="2"/>
  <c r="AK296" i="2"/>
  <c r="AK304" i="2"/>
  <c r="AK312" i="2"/>
  <c r="AK320" i="2"/>
  <c r="AK328" i="2"/>
  <c r="AK336" i="2"/>
  <c r="AK344" i="2"/>
  <c r="AK352" i="2"/>
  <c r="AK360" i="2"/>
  <c r="AK368" i="2"/>
  <c r="AM123" i="2"/>
  <c r="AM187" i="2"/>
  <c r="AM75" i="2"/>
  <c r="AM139" i="2"/>
  <c r="AM203" i="2"/>
  <c r="AK135" i="2"/>
  <c r="AM4" i="2"/>
  <c r="AM68" i="2"/>
  <c r="AM76" i="2"/>
  <c r="AM84" i="2"/>
  <c r="AM92" i="2"/>
  <c r="AM100" i="2"/>
  <c r="AM116" i="2"/>
  <c r="AM132" i="2"/>
  <c r="AM148" i="2"/>
  <c r="AM164" i="2"/>
  <c r="AM180" i="2"/>
  <c r="AM188" i="2"/>
  <c r="AM196" i="2"/>
  <c r="AM204" i="2"/>
  <c r="AM212" i="2"/>
  <c r="AM228" i="2"/>
  <c r="AM244" i="2"/>
  <c r="AK136" i="2"/>
  <c r="AK200" i="2"/>
  <c r="AM69" i="2"/>
  <c r="AM85" i="2"/>
  <c r="AM101" i="2"/>
  <c r="AM109" i="2"/>
  <c r="AM117" i="2"/>
  <c r="AM133" i="2"/>
  <c r="AM149" i="2"/>
  <c r="AM165" i="2"/>
  <c r="AM181" i="2"/>
  <c r="AM189" i="2"/>
  <c r="AM197" i="2"/>
  <c r="AM213" i="2"/>
  <c r="AM229" i="2"/>
  <c r="AM245" i="2"/>
  <c r="AK120" i="2"/>
  <c r="AK151" i="2"/>
  <c r="AK216" i="2"/>
  <c r="AM70" i="2"/>
  <c r="AM78" i="2"/>
  <c r="AM86" i="2"/>
  <c r="AM94" i="2"/>
  <c r="AM102" i="2"/>
  <c r="AM110" i="2"/>
  <c r="AM118" i="2"/>
  <c r="AM126" i="2"/>
  <c r="AM134" i="2"/>
  <c r="AM142" i="2"/>
  <c r="AM150" i="2"/>
  <c r="AM158" i="2"/>
  <c r="AM166" i="2"/>
  <c r="AM174" i="2"/>
  <c r="AM182" i="2"/>
  <c r="AM190" i="2"/>
  <c r="AM198" i="2"/>
  <c r="AM206" i="2"/>
  <c r="AM214" i="2"/>
  <c r="AM222" i="2"/>
  <c r="AM230" i="2"/>
  <c r="AM238" i="2"/>
  <c r="AK184" i="2"/>
  <c r="AK87" i="2"/>
  <c r="AK152" i="2"/>
  <c r="AK232" i="2"/>
  <c r="AM95" i="2"/>
  <c r="AM103" i="2"/>
  <c r="AM111" i="2"/>
  <c r="AM119" i="2"/>
  <c r="AM159" i="2"/>
  <c r="AM167" i="2"/>
  <c r="AM175" i="2"/>
  <c r="AM183" i="2"/>
  <c r="AM191" i="2"/>
  <c r="AM215" i="2"/>
  <c r="AM223" i="2"/>
  <c r="AM239" i="2"/>
  <c r="AM104" i="2"/>
  <c r="AM168" i="2"/>
  <c r="AM65" i="2"/>
  <c r="AM81" i="2"/>
  <c r="AM121" i="2"/>
  <c r="AM129" i="2"/>
  <c r="AM137" i="2"/>
  <c r="AM145" i="2"/>
  <c r="AM185" i="2"/>
  <c r="AM201" i="2"/>
  <c r="AM233" i="2"/>
  <c r="AM241" i="2"/>
  <c r="AM66" i="2"/>
  <c r="AM74" i="2"/>
  <c r="AM90" i="2"/>
  <c r="AM114" i="2"/>
  <c r="AM130" i="2"/>
  <c r="AM138" i="2"/>
  <c r="AM154" i="2"/>
  <c r="AM178" i="2"/>
  <c r="AM194" i="2"/>
  <c r="AM202" i="2"/>
  <c r="AM218" i="2"/>
  <c r="AM242" i="2"/>
  <c r="AK88" i="2"/>
  <c r="AK108" i="2"/>
  <c r="AK124" i="2"/>
  <c r="AK140" i="2"/>
  <c r="AK156" i="2"/>
  <c r="AK172" i="2"/>
  <c r="AK221" i="2"/>
  <c r="AK237" i="2"/>
  <c r="AK71" i="2"/>
  <c r="AK93" i="2"/>
  <c r="AK125" i="2"/>
  <c r="AK141" i="2"/>
  <c r="AK157" i="2"/>
  <c r="AK173" i="2"/>
  <c r="AK205" i="2"/>
  <c r="AI4" i="2"/>
  <c r="AK72" i="2"/>
  <c r="AK127" i="2"/>
  <c r="AK143" i="2"/>
  <c r="AK207" i="2"/>
  <c r="AK224" i="2"/>
  <c r="AK236" i="2"/>
  <c r="AK77" i="2"/>
  <c r="AK96" i="2"/>
  <c r="AK112" i="2"/>
  <c r="AK128" i="2"/>
  <c r="AK144" i="2"/>
  <c r="AK160" i="2"/>
  <c r="AK176" i="2"/>
  <c r="AK192" i="2"/>
  <c r="AK208" i="2"/>
  <c r="AK79" i="2"/>
  <c r="AK220" i="2"/>
  <c r="AK80" i="2"/>
  <c r="AK231" i="2"/>
  <c r="AK73" i="2"/>
  <c r="AK97" i="2"/>
  <c r="AK153" i="2"/>
  <c r="AK177" i="2"/>
  <c r="AK193" i="2"/>
  <c r="AK209" i="2"/>
  <c r="AK82" i="2"/>
  <c r="AK98" i="2"/>
  <c r="AK106" i="2"/>
  <c r="AK122" i="2"/>
  <c r="AK146" i="2"/>
  <c r="AK162" i="2"/>
  <c r="AK170" i="2"/>
  <c r="AK186" i="2"/>
  <c r="AK210" i="2"/>
  <c r="AK226" i="2"/>
  <c r="AK234" i="2"/>
  <c r="AK89" i="2"/>
  <c r="AK105" i="2"/>
  <c r="AK113" i="2"/>
  <c r="AK161" i="2"/>
  <c r="AK169" i="2"/>
  <c r="AK217" i="2"/>
  <c r="AK225" i="2"/>
  <c r="AK67" i="2"/>
  <c r="AK115" i="2"/>
  <c r="AK131" i="2"/>
  <c r="AK195" i="2"/>
  <c r="AK240" i="2"/>
  <c r="AJ4" i="2"/>
  <c r="M10" i="2" l="1"/>
  <c r="AH10" i="2" s="1"/>
  <c r="M64" i="2"/>
  <c r="AH64" i="2" s="1"/>
  <c r="M63" i="2"/>
  <c r="M62" i="2"/>
  <c r="AH62" i="2" s="1"/>
  <c r="M61" i="2"/>
  <c r="AH61" i="2" s="1"/>
  <c r="M60" i="2"/>
  <c r="AH60" i="2" s="1"/>
  <c r="M59" i="2"/>
  <c r="AH59" i="2" s="1"/>
  <c r="M58" i="2"/>
  <c r="AH58" i="2" s="1"/>
  <c r="M57" i="2"/>
  <c r="AH57" i="2" s="1"/>
  <c r="M56" i="2"/>
  <c r="AH56" i="2" s="1"/>
  <c r="M55" i="2"/>
  <c r="AH55" i="2" s="1"/>
  <c r="M54" i="2"/>
  <c r="AH54" i="2" s="1"/>
  <c r="M53" i="2"/>
  <c r="AH53" i="2" s="1"/>
  <c r="M52" i="2"/>
  <c r="AH52" i="2" s="1"/>
  <c r="M51" i="2"/>
  <c r="AH51" i="2" s="1"/>
  <c r="M50" i="2"/>
  <c r="AH50" i="2" s="1"/>
  <c r="M49" i="2"/>
  <c r="AH49" i="2" s="1"/>
  <c r="M48" i="2"/>
  <c r="AH48" i="2" s="1"/>
  <c r="M47" i="2"/>
  <c r="AH47" i="2" s="1"/>
  <c r="M46" i="2"/>
  <c r="AH46" i="2" s="1"/>
  <c r="M45" i="2"/>
  <c r="AH45" i="2" s="1"/>
  <c r="M44" i="2"/>
  <c r="AH44" i="2" s="1"/>
  <c r="M43" i="2"/>
  <c r="AH43" i="2" s="1"/>
  <c r="M42" i="2"/>
  <c r="AH42" i="2" s="1"/>
  <c r="M41" i="2"/>
  <c r="AH41" i="2" s="1"/>
  <c r="M40" i="2"/>
  <c r="AH40" i="2" s="1"/>
  <c r="M39" i="2"/>
  <c r="AH39" i="2" s="1"/>
  <c r="M38" i="2"/>
  <c r="AH38" i="2" s="1"/>
  <c r="M37" i="2"/>
  <c r="AH37" i="2" s="1"/>
  <c r="M36" i="2"/>
  <c r="AH36" i="2" s="1"/>
  <c r="M35" i="2"/>
  <c r="AH35" i="2" s="1"/>
  <c r="AH63" i="2" l="1"/>
  <c r="AK63" i="2" s="1"/>
  <c r="AM51" i="2"/>
  <c r="AK51" i="2"/>
  <c r="AK36" i="2"/>
  <c r="AM36" i="2"/>
  <c r="AK44" i="2"/>
  <c r="AM44" i="2"/>
  <c r="AK52" i="2"/>
  <c r="AM52" i="2"/>
  <c r="AK60" i="2"/>
  <c r="AM60" i="2"/>
  <c r="AK35" i="2"/>
  <c r="AM35" i="2"/>
  <c r="AK37" i="2"/>
  <c r="AM37" i="2"/>
  <c r="AK45" i="2"/>
  <c r="AM45" i="2"/>
  <c r="AK53" i="2"/>
  <c r="AM53" i="2"/>
  <c r="AK61" i="2"/>
  <c r="AM61" i="2"/>
  <c r="AK43" i="2"/>
  <c r="AM43" i="2"/>
  <c r="AK38" i="2"/>
  <c r="AM38" i="2"/>
  <c r="AK46" i="2"/>
  <c r="AM46" i="2"/>
  <c r="AK54" i="2"/>
  <c r="AM54" i="2"/>
  <c r="AK62" i="2"/>
  <c r="AM62" i="2"/>
  <c r="AM39" i="2"/>
  <c r="AK39" i="2"/>
  <c r="AK59" i="2"/>
  <c r="AM59" i="2"/>
  <c r="AM40" i="2"/>
  <c r="AK40" i="2"/>
  <c r="AM48" i="2"/>
  <c r="AK48" i="2"/>
  <c r="AM56" i="2"/>
  <c r="AK56" i="2"/>
  <c r="AK55" i="2"/>
  <c r="AM55" i="2"/>
  <c r="AM41" i="2"/>
  <c r="AK41" i="2"/>
  <c r="AM49" i="2"/>
  <c r="AK49" i="2"/>
  <c r="AK57" i="2"/>
  <c r="AM57" i="2"/>
  <c r="AM64" i="2"/>
  <c r="AK64" i="2"/>
  <c r="AK47" i="2"/>
  <c r="AM47" i="2"/>
  <c r="AM42" i="2"/>
  <c r="AK42" i="2"/>
  <c r="AK50" i="2"/>
  <c r="AM50" i="2"/>
  <c r="AM58" i="2"/>
  <c r="AK58" i="2"/>
  <c r="AK10" i="2"/>
  <c r="AM10" i="2"/>
  <c r="M17" i="2"/>
  <c r="AH17" i="2" s="1"/>
  <c r="M18" i="2"/>
  <c r="AH18" i="2" s="1"/>
  <c r="M19" i="2"/>
  <c r="AH19" i="2" s="1"/>
  <c r="M20" i="2"/>
  <c r="AH20" i="2" s="1"/>
  <c r="M21" i="2"/>
  <c r="AH21" i="2" s="1"/>
  <c r="M22" i="2"/>
  <c r="AH22" i="2" s="1"/>
  <c r="M23" i="2"/>
  <c r="AH23" i="2" s="1"/>
  <c r="M24" i="2"/>
  <c r="AH24" i="2" s="1"/>
  <c r="M25" i="2"/>
  <c r="AH25" i="2" s="1"/>
  <c r="M26" i="2"/>
  <c r="AH26" i="2" s="1"/>
  <c r="M27" i="2"/>
  <c r="AH27" i="2" s="1"/>
  <c r="M28" i="2"/>
  <c r="AH28" i="2" s="1"/>
  <c r="M29" i="2"/>
  <c r="AH29" i="2" s="1"/>
  <c r="M30" i="2"/>
  <c r="AH30" i="2" s="1"/>
  <c r="M31" i="2"/>
  <c r="AH31" i="2" s="1"/>
  <c r="M32" i="2"/>
  <c r="AH32" i="2" s="1"/>
  <c r="M33" i="2"/>
  <c r="AH33" i="2" s="1"/>
  <c r="M34" i="2"/>
  <c r="AH34" i="2" s="1"/>
  <c r="M16" i="2"/>
  <c r="AH16" i="2" s="1"/>
  <c r="M15" i="2"/>
  <c r="AH15" i="2" s="1"/>
  <c r="M14" i="2"/>
  <c r="AH14" i="2" s="1"/>
  <c r="M13" i="2"/>
  <c r="AH13" i="2" s="1"/>
  <c r="M12" i="2"/>
  <c r="AH12" i="2" s="1"/>
  <c r="M11" i="2"/>
  <c r="AH11" i="2" s="1"/>
  <c r="M9" i="2"/>
  <c r="AH9" i="2" s="1"/>
  <c r="M8" i="2"/>
  <c r="AH8" i="2" s="1"/>
  <c r="M7" i="2"/>
  <c r="AH7" i="2" s="1"/>
  <c r="M6" i="2"/>
  <c r="AH6" i="2" s="1"/>
  <c r="M5" i="2"/>
  <c r="AH5" i="2" s="1"/>
  <c r="AM63" i="2" l="1"/>
  <c r="AM25" i="2"/>
  <c r="AK25" i="2"/>
  <c r="AK11" i="2"/>
  <c r="AM11" i="2"/>
  <c r="AM32" i="2"/>
  <c r="AK32" i="2"/>
  <c r="AM24" i="2"/>
  <c r="AK24" i="2"/>
  <c r="AK18" i="2"/>
  <c r="AM18" i="2"/>
  <c r="AK12" i="2"/>
  <c r="AM12" i="2"/>
  <c r="AK31" i="2"/>
  <c r="AM31" i="2"/>
  <c r="AK23" i="2"/>
  <c r="AM23" i="2"/>
  <c r="AM8" i="2"/>
  <c r="AK8" i="2"/>
  <c r="AK17" i="2"/>
  <c r="AM17" i="2"/>
  <c r="AM13" i="2"/>
  <c r="AK13" i="2"/>
  <c r="AK30" i="2"/>
  <c r="AM30" i="2"/>
  <c r="AK22" i="2"/>
  <c r="AM22" i="2"/>
  <c r="AM33" i="2"/>
  <c r="AK33" i="2"/>
  <c r="AK14" i="2"/>
  <c r="AM14" i="2"/>
  <c r="AM29" i="2"/>
  <c r="AK29" i="2"/>
  <c r="AK21" i="2"/>
  <c r="AM21" i="2"/>
  <c r="AK26" i="2"/>
  <c r="AM26" i="2"/>
  <c r="AK6" i="2"/>
  <c r="AM6" i="2"/>
  <c r="AM15" i="2"/>
  <c r="AK15" i="2"/>
  <c r="AK28" i="2"/>
  <c r="AM28" i="2"/>
  <c r="AK20" i="2"/>
  <c r="AM20" i="2"/>
  <c r="AM34" i="2"/>
  <c r="AJ34" i="2"/>
  <c r="AK34" i="2"/>
  <c r="AI34" i="2"/>
  <c r="AK9" i="2"/>
  <c r="AM9" i="2"/>
  <c r="AM7" i="2"/>
  <c r="AK7" i="2"/>
  <c r="AM16" i="2"/>
  <c r="AK16" i="2"/>
  <c r="AK27" i="2"/>
  <c r="AM27" i="2"/>
  <c r="AK19" i="2"/>
  <c r="AM19" i="2"/>
  <c r="AI35" i="2"/>
  <c r="AI46" i="2"/>
  <c r="AI29" i="2"/>
  <c r="AJ38" i="2"/>
  <c r="AJ6" i="2"/>
  <c r="AI45" i="2"/>
  <c r="AI40" i="2"/>
  <c r="AJ40" i="2"/>
  <c r="AJ36" i="2"/>
  <c r="AJ51" i="2"/>
  <c r="AJ8" i="2"/>
  <c r="AI21" i="2"/>
  <c r="AJ22" i="2"/>
  <c r="AI14" i="2"/>
  <c r="AJ19" i="2"/>
  <c r="AJ30" i="2"/>
  <c r="AI38" i="2"/>
  <c r="AJ20" i="2"/>
  <c r="AJ14" i="2"/>
  <c r="AI22" i="2"/>
  <c r="AJ28" i="2"/>
  <c r="AI11" i="2"/>
  <c r="AI24" i="2"/>
  <c r="AI48" i="2"/>
  <c r="AI55" i="2"/>
  <c r="AJ24" i="2"/>
  <c r="AJ31" i="2"/>
  <c r="AJ35" i="2"/>
  <c r="AJ48" i="2"/>
  <c r="AJ55" i="2"/>
  <c r="AI19" i="2"/>
  <c r="AI28" i="2"/>
  <c r="AI5" i="2"/>
  <c r="AJ15" i="2"/>
  <c r="AI8" i="2"/>
  <c r="AI13" i="2"/>
  <c r="AI36" i="2"/>
  <c r="AI43" i="2"/>
  <c r="AJ44" i="2"/>
  <c r="AJ46" i="2"/>
  <c r="AJ53" i="2"/>
  <c r="AI20" i="2"/>
  <c r="AI27" i="2"/>
  <c r="AI32" i="2"/>
  <c r="AJ39" i="2"/>
  <c r="AJ43" i="2"/>
  <c r="AI44" i="2"/>
  <c r="AI52" i="2"/>
  <c r="AI30" i="2"/>
  <c r="AJ11" i="2"/>
  <c r="AI16" i="2"/>
  <c r="AJ16" i="2"/>
  <c r="AJ23" i="2"/>
  <c r="AJ27" i="2"/>
  <c r="AJ32" i="2"/>
  <c r="AI37" i="2"/>
  <c r="AJ47" i="2"/>
  <c r="AJ52" i="2"/>
  <c r="AJ5" i="2"/>
  <c r="AI10" i="2"/>
  <c r="AJ13" i="2"/>
  <c r="AI18" i="2"/>
  <c r="AJ21" i="2"/>
  <c r="AI26" i="2"/>
  <c r="AJ29" i="2"/>
  <c r="AJ37" i="2"/>
  <c r="AI42" i="2"/>
  <c r="AJ45" i="2"/>
  <c r="AI50" i="2"/>
  <c r="AI7" i="2"/>
  <c r="AJ10" i="2"/>
  <c r="AI15" i="2"/>
  <c r="AJ18" i="2"/>
  <c r="AI23" i="2"/>
  <c r="AJ26" i="2"/>
  <c r="AI31" i="2"/>
  <c r="AI39" i="2"/>
  <c r="AJ42" i="2"/>
  <c r="AI47" i="2"/>
  <c r="AJ50" i="2"/>
  <c r="AJ7" i="2"/>
  <c r="AI12" i="2"/>
  <c r="AI9" i="2"/>
  <c r="AJ12" i="2"/>
  <c r="AI17" i="2"/>
  <c r="AI25" i="2"/>
  <c r="AI33" i="2"/>
  <c r="AI41" i="2"/>
  <c r="AI49" i="2"/>
  <c r="AI6" i="2"/>
  <c r="AJ9" i="2"/>
  <c r="AJ17" i="2"/>
  <c r="AJ25" i="2"/>
  <c r="AJ33" i="2"/>
  <c r="AJ41" i="2"/>
  <c r="AJ49" i="2"/>
  <c r="AJ57" i="2"/>
  <c r="AI51" i="2"/>
  <c r="AJ54" i="2"/>
  <c r="AI54" i="2"/>
  <c r="AI57" i="2"/>
  <c r="AI56" i="2"/>
  <c r="AI53" i="2"/>
  <c r="AJ56" i="2"/>
  <c r="AK5" i="2" l="1"/>
  <c r="AM5" i="2"/>
  <c r="AJ61" i="2"/>
  <c r="AJ59" i="2"/>
  <c r="AI59" i="2"/>
  <c r="AJ60" i="2"/>
  <c r="AI60" i="2"/>
  <c r="AI61" i="2"/>
  <c r="AJ62" i="2"/>
  <c r="AI62" i="2"/>
  <c r="AJ58" i="2"/>
  <c r="AI58" i="2"/>
  <c r="AI65" i="2" l="1"/>
  <c r="AJ65" i="2"/>
  <c r="AF77" i="2"/>
  <c r="AG77" i="2" s="1"/>
  <c r="AF89" i="2"/>
  <c r="AG89" i="2" s="1"/>
  <c r="AF83" i="2"/>
  <c r="AG83" i="2" s="1"/>
  <c r="AF66" i="2"/>
  <c r="AG66" i="2" s="1"/>
  <c r="AF69" i="2"/>
  <c r="AG69" i="2" s="1"/>
  <c r="AF71" i="2"/>
  <c r="AG71" i="2" s="1"/>
  <c r="AF88" i="2"/>
  <c r="AG88" i="2" s="1"/>
  <c r="AF82" i="2"/>
  <c r="AG82" i="2" s="1"/>
  <c r="AF68" i="2"/>
  <c r="AG68" i="2" s="1"/>
  <c r="AF70" i="2"/>
  <c r="AG70" i="2" s="1"/>
  <c r="AF74" i="2"/>
  <c r="AG74" i="2" s="1"/>
  <c r="AF79" i="2"/>
  <c r="AG79" i="2" s="1"/>
  <c r="AF86" i="2"/>
  <c r="AG86" i="2" s="1"/>
  <c r="AF90" i="2"/>
  <c r="AG90" i="2" s="1"/>
  <c r="AF76" i="2"/>
  <c r="AG76" i="2" s="1"/>
  <c r="AF87" i="2"/>
  <c r="AG87" i="2" s="1"/>
  <c r="AF65" i="2"/>
  <c r="AG65" i="2" s="1"/>
  <c r="AF78" i="2"/>
  <c r="AG78" i="2" s="1"/>
  <c r="AF84" i="2"/>
  <c r="AG84" i="2" s="1"/>
  <c r="AF91" i="2"/>
  <c r="AG91" i="2" s="1"/>
  <c r="AF85" i="2"/>
  <c r="AG85" i="2" s="1"/>
  <c r="AF73" i="2"/>
  <c r="AG73" i="2" s="1"/>
  <c r="AF67" i="2"/>
  <c r="AG67" i="2" s="1"/>
  <c r="AF92" i="2"/>
  <c r="AG92" i="2" s="1"/>
  <c r="AF72" i="2"/>
  <c r="AG72" i="2" s="1"/>
  <c r="AF80" i="2"/>
  <c r="AG80" i="2" s="1"/>
  <c r="AF93" i="2"/>
  <c r="AG93" i="2" s="1"/>
  <c r="AF81" i="2"/>
  <c r="AG81" i="2" s="1"/>
  <c r="AF75" i="2"/>
  <c r="AG75" i="2" s="1"/>
  <c r="AF64" i="2"/>
  <c r="AG64" i="2" s="1"/>
  <c r="AF63" i="2"/>
  <c r="AG63" i="2" s="1"/>
  <c r="AJ64" i="2" l="1"/>
  <c r="AI64" i="2"/>
  <c r="AI63" i="2"/>
  <c r="AJ63" i="2"/>
  <c r="AF2" i="2" l="1"/>
  <c r="AG2" i="2"/>
  <c r="AI2" i="2" l="1"/>
  <c r="AM2" i="2"/>
  <c r="AK2" i="2"/>
  <c r="AJ2" i="2"/>
</calcChain>
</file>

<file path=xl/sharedStrings.xml><?xml version="1.0" encoding="utf-8"?>
<sst xmlns="http://schemas.openxmlformats.org/spreadsheetml/2006/main" count="40" uniqueCount="40">
  <si>
    <t>2025</t>
  </si>
  <si>
    <t>Global 2025</t>
  </si>
  <si>
    <t>Vta 2025</t>
  </si>
  <si>
    <t>Share diario</t>
  </si>
  <si>
    <t>Global 2026</t>
  </si>
  <si>
    <t>2026</t>
  </si>
  <si>
    <t>Venta Meta 2026</t>
  </si>
  <si>
    <t>Web + APP 2025</t>
  </si>
  <si>
    <t>Web + APP 2026</t>
  </si>
  <si>
    <t>Ordenes</t>
  </si>
  <si>
    <t>Unidades</t>
  </si>
  <si>
    <t>Venta Total 2026</t>
  </si>
  <si>
    <t>Deuda</t>
  </si>
  <si>
    <t>Crecimiento</t>
  </si>
  <si>
    <t>Afiliados 2025</t>
  </si>
  <si>
    <t>Afiliados 2026</t>
  </si>
  <si>
    <t>TMK 2025</t>
  </si>
  <si>
    <t>TMK 2026</t>
  </si>
  <si>
    <t>WA 2025</t>
  </si>
  <si>
    <t>WA 2026</t>
  </si>
  <si>
    <t>Ent. en Tienda 2025</t>
  </si>
  <si>
    <t>Ent. en Tienda 2026</t>
  </si>
  <si>
    <t>Meli Drop 2025</t>
  </si>
  <si>
    <t>Meli Drop 2026</t>
  </si>
  <si>
    <t>Meli Full 2025</t>
  </si>
  <si>
    <t>Meli Full 2026</t>
  </si>
  <si>
    <t>Amazon Drop 2025</t>
  </si>
  <si>
    <t>Amazon Drop 2026</t>
  </si>
  <si>
    <t>Amazon Full 2025</t>
  </si>
  <si>
    <t>Amazon Full 2026</t>
  </si>
  <si>
    <t>TikTok 2025</t>
  </si>
  <si>
    <t>TikTo 2026</t>
  </si>
  <si>
    <t>Shein 2025</t>
  </si>
  <si>
    <t>Shein 2026</t>
  </si>
  <si>
    <t>Alcance vs Meta</t>
  </si>
  <si>
    <t>Global YoY</t>
  </si>
  <si>
    <t>Share vs Global 2026</t>
  </si>
  <si>
    <t>Share vs Global 2025</t>
  </si>
  <si>
    <t>Meta Digital</t>
  </si>
  <si>
    <t>Meta MKPlace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</si>
</sst>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  <numFmt numFmtId="166" formatCode="[$-F800]dddd\,\ mmmm\ dd\,\ yyyy"/>
    <numFmt numFmtId="167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2" applyNumberFormat="1" applyFont="1"/>
    <xf numFmtId="44" fontId="0" fillId="0" borderId="0" xfId="2" applyFont="1"/>
    <xf numFmtId="43" fontId="0" fillId="0" borderId="0" xfId="0" applyNumberFormat="1"/>
    <xf numFmtId="164" fontId="2" fillId="0" borderId="0" xfId="2" applyNumberFormat="1" applyFont="1"/>
    <xf numFmtId="165" fontId="2" fillId="0" borderId="0" xfId="1" applyNumberFormat="1" applyFont="1"/>
    <xf numFmtId="164" fontId="0" fillId="0" borderId="1" xfId="2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1" applyNumberFormat="1" applyFont="1"/>
    <xf numFmtId="16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0" fontId="2" fillId="0" borderId="0" xfId="3" applyNumberFormat="1" applyFont="1"/>
    <xf numFmtId="10" fontId="0" fillId="0" borderId="2" xfId="3" applyNumberFormat="1" applyFont="1" applyBorder="1" applyAlignment="1">
      <alignment horizontal="center" vertical="center"/>
    </xf>
    <xf numFmtId="167" fontId="2" fillId="0" borderId="1" xfId="3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 vertical="center"/>
    </xf>
    <xf numFmtId="167" fontId="2" fillId="4" borderId="1" xfId="3" applyNumberFormat="1" applyFont="1" applyFill="1" applyBorder="1" applyAlignment="1">
      <alignment horizontal="center" vertical="center"/>
    </xf>
    <xf numFmtId="44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F800]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bernl\Downloads\Copia%20de%20Seguimiento%20Diario%202026%20Desglosado%20base.xlsx" TargetMode="External"/><Relationship Id="rId1" Type="http://schemas.openxmlformats.org/officeDocument/2006/relationships/externalLinkPath" Target="file:///C:\Users\marbernl\Downloads\Copia%20de%20Seguimiento%20Diario%202026%20Desglosado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Analisis"/>
      <sheetName val="Dashboard"/>
      <sheetName val="Copia de Seguimiento Diario 202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01442-91D0-42C6-A2F4-27FE48803752}" name="Tabla2" displayName="Tabla2" ref="A3:AN368" totalsRowShown="0" headerRowDxfId="45" dataDxfId="43" headerRowBorderDxfId="44" tableBorderDxfId="42">
  <autoFilter ref="A3:AN368" xr:uid="{64901442-91D0-42C6-A2F4-27FE48803752}">
    <filterColumn colId="5">
      <filters>
        <dateGroupItem year="2026" month="3" dateTimeGrouping="month"/>
      </filters>
    </filterColumn>
  </autoFilter>
  <tableColumns count="40">
    <tableColumn id="1" xr3:uid="{FB6B01EB-C3DE-4856-85A3-818A32F573E9}" name="2025" dataDxfId="41"/>
    <tableColumn id="43" xr3:uid="{7AF1959F-6128-4B45-A822-3668B66B4E8F}" name="Global 2025" dataDxfId="40"/>
    <tableColumn id="2" xr3:uid="{2D40301D-7663-476A-B0EB-CAEB8768A44F}" name="Vta 2025" dataDxfId="39"/>
    <tableColumn id="4" xr3:uid="{9D09435D-087F-44F9-B7C9-9D4D007C79CB}" name="Share diario" dataDxfId="38" dataCellStyle="Porcentaje"/>
    <tableColumn id="44" xr3:uid="{5EEE2466-EE27-4DA6-B14B-FD728A1F6C55}" name="Global 2026" dataDxfId="37" dataCellStyle="Porcentaje"/>
    <tableColumn id="40" xr3:uid="{72180C8B-5BDF-4174-9B3F-DF9EE21BD331}" name="2026" dataDxfId="36"/>
    <tableColumn id="5" xr3:uid="{A16013A2-82B9-4384-8E09-BCCDB9EDC5EF}" name="Venta Meta 2026" dataDxfId="35" dataCellStyle="Moneda"/>
    <tableColumn id="18" xr3:uid="{168654DF-5561-4713-B261-8A61AE7A7556}" name="Meta Digital" dataDxfId="34" dataCellStyle="Moneda">
      <calculatedColumnFormula>87736761*D4</calculatedColumnFormula>
    </tableColumn>
    <tableColumn id="10" xr3:uid="{A88CB9E4-16DA-46D1-92A4-897DC9F1ED89}" name="Meta MKPlace" dataDxfId="33" dataCellStyle="Moneda">
      <calculatedColumnFormula>20388533*D4</calculatedColumnFormula>
    </tableColumn>
    <tableColumn id="38" xr3:uid="{41AFFF97-2C84-41BB-B3F6-8BE274747CB0}" name="Web + APP 2025" dataDxfId="32" dataCellStyle="Moneda"/>
    <tableColumn id="31" xr3:uid="{CEAFDD47-F2A6-41F4-A7EB-A4718DCEA81C}" name="Web + APP 2026" dataDxfId="31" dataCellStyle="Moneda"/>
    <tableColumn id="35" xr3:uid="{028595D5-0E8F-47A7-8BFE-4B92492B4E55}" name="Afiliados 2025" dataDxfId="30" dataCellStyle="Moneda"/>
    <tableColumn id="21" xr3:uid="{1E9C8639-D2F9-4718-BAE5-20D8EA0965C8}" name="Afiliados 2026" dataDxfId="29" dataCellStyle="Moneda"/>
    <tableColumn id="34" xr3:uid="{DF7CDD49-4DE7-435C-BDA7-1583F78CED2A}" name="TMK 2025" dataDxfId="28" dataCellStyle="Moneda"/>
    <tableColumn id="20" xr3:uid="{90D01526-6723-47AC-BA0B-08FB5736EAC9}" name="TMK 2026" dataDxfId="27" dataCellStyle="Moneda"/>
    <tableColumn id="33" xr3:uid="{2A6B6545-0A77-4A46-A42A-865F4EFD27B3}" name="WA 2025" dataDxfId="26" dataCellStyle="Moneda"/>
    <tableColumn id="32" xr3:uid="{600709BF-8C84-4FC1-8F5F-6CB2EF9FD4AE}" name="WA 2026" dataDxfId="25" dataCellStyle="Moneda"/>
    <tableColumn id="42" xr3:uid="{5C065618-6AFB-4590-8D53-245A824D3503}" name="Ent. en Tienda 2025" dataDxfId="24" dataCellStyle="Moneda"/>
    <tableColumn id="28" xr3:uid="{307DF7A4-8CA9-44E6-A102-474E888108C2}" name="Ent. en Tienda 2026" dataDxfId="23" dataCellStyle="Moneda"/>
    <tableColumn id="30" xr3:uid="{422C48D0-9958-4798-A481-2D2B40A98F92}" name="Meli Drop 2025" dataDxfId="22" dataCellStyle="Moneda"/>
    <tableColumn id="16" xr3:uid="{066C2253-CC3A-4D34-A4BC-43548CC74A10}" name="Meli Drop 2026" dataDxfId="21" dataCellStyle="Moneda"/>
    <tableColumn id="29" xr3:uid="{B2C25D5F-0FAD-4140-BE99-4E9227303363}" name="Meli Full 2025" dataDxfId="20" dataCellStyle="Moneda"/>
    <tableColumn id="17" xr3:uid="{30262D7D-05CC-49D2-8E85-554F81F0BC50}" name="Meli Full 2026" dataDxfId="19" dataCellStyle="Moneda"/>
    <tableColumn id="24" xr3:uid="{D5B7F8DA-2B85-424C-9E92-7538066DACC9}" name="Amazon Drop 2025" dataDxfId="18" dataCellStyle="Moneda"/>
    <tableColumn id="14" xr3:uid="{7D676B5F-C060-4712-AB00-B653247167EB}" name="Amazon Drop 2026" dataDxfId="17" dataCellStyle="Moneda"/>
    <tableColumn id="23" xr3:uid="{0AC15FFE-2046-490B-877A-493CC31B8869}" name="Amazon Full 2025" dataDxfId="16" dataCellStyle="Moneda"/>
    <tableColumn id="13" xr3:uid="{552A161A-D117-4CD2-B5DA-5BDDD5CE03D2}" name="Amazon Full 2026" dataDxfId="15" dataCellStyle="Moneda"/>
    <tableColumn id="15" xr3:uid="{4F7B813D-5E28-4EAA-B1B1-411ACB5D2B86}" name="TikTok 2025" dataDxfId="14" dataCellStyle="Moneda"/>
    <tableColumn id="12" xr3:uid="{CA05BF0B-75F3-4385-B2BA-0180AFBEF00A}" name="TikTo 2026" dataDxfId="13" dataCellStyle="Moneda"/>
    <tableColumn id="9" xr3:uid="{C574964D-5669-4887-952E-0085DE66A981}" name="Shein 2025" dataDxfId="12" dataCellStyle="Moneda"/>
    <tableColumn id="11" xr3:uid="{B11ABB43-6F69-4B30-A5EF-25427FEC7C50}" name="Shein 2026" dataDxfId="11" dataCellStyle="Moneda"/>
    <tableColumn id="6" xr3:uid="{F2255F93-F3F4-476B-B023-988FFA6368DF}" name="Ordenes" dataDxfId="10" dataCellStyle="Millares"/>
    <tableColumn id="7" xr3:uid="{403915B9-0333-4461-B939-F173C899A9BC}" name="Unidades" dataDxfId="9" dataCellStyle="Millares"/>
    <tableColumn id="22" xr3:uid="{5369F14B-BB44-4C36-ABB9-CC4C7403D8F9}" name="Venta Total 2026" dataDxfId="8">
      <calculatedColumnFormula>+SUM([1]!Tabla2[[#This Row],[Web + APP 2026]:[Shein]])</calculatedColumnFormula>
    </tableColumn>
    <tableColumn id="25" xr3:uid="{FEDAC95E-A700-4582-9DCA-05BE29CBA667}" name="Alcance vs Meta" dataDxfId="7" dataCellStyle="Porcentaje"/>
    <tableColumn id="26" xr3:uid="{8C6B31CE-E651-4AF4-A42B-BF552442EDEB}" name="Deuda" dataDxfId="6"/>
    <tableColumn id="27" xr3:uid="{8474D4F3-F45B-4578-AD76-9CFC1DBF40A1}" name="Crecimiento" dataDxfId="5" dataCellStyle="Porcentaje">
      <calculatedColumnFormula>+AH4/C4-1</calculatedColumnFormula>
    </tableColumn>
    <tableColumn id="8" xr3:uid="{3799CC95-AB71-442E-B145-66E46AC17B05}" name="Share vs Global 2025" dataDxfId="4" dataCellStyle="Porcentaje">
      <calculatedColumnFormula>+C4/B4</calculatedColumnFormula>
    </tableColumn>
    <tableColumn id="45" xr3:uid="{084C15B7-FA1D-4DEA-A75A-BB327E6556E4}" name="Share vs Global 2026" dataDxfId="3" dataCellStyle="Porcentaje">
      <calculatedColumnFormula>+AH4/E4</calculatedColumnFormula>
    </tableColumn>
    <tableColumn id="3" xr3:uid="{CA58E344-BE59-4BE4-BB4A-709E15E48E0C}" name="Global YoY" dataDxfId="2" dataCellStyle="Porcentaje">
      <calculatedColumnFormula>+E4/B4-1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D1ED-5F39-4089-B374-4EA69C7B2D6A}">
  <sheetPr>
    <tabColor theme="3"/>
  </sheetPr>
  <dimension ref="A1:AN368"/>
  <sheetViews>
    <sheetView tabSelected="1" topLeftCell="AA1" zoomScale="80" zoomScaleNormal="80" workbookViewId="0">
      <selection activeCell="AM2" sqref="AM2"/>
    </sheetView>
  </sheetViews>
  <sheetFormatPr baseColWidth="10" defaultColWidth="11.44140625" defaultRowHeight="14.4" x14ac:dyDescent="0.3"/>
  <cols>
    <col min="1" max="1" width="31.33203125" bestFit="1" customWidth="1"/>
    <col min="2" max="2" width="16.77734375" bestFit="1" customWidth="1"/>
    <col min="3" max="3" width="14" bestFit="1" customWidth="1"/>
    <col min="4" max="4" width="16.88671875" bestFit="1" customWidth="1"/>
    <col min="5" max="5" width="16.77734375" bestFit="1" customWidth="1"/>
    <col min="6" max="6" width="31.33203125" bestFit="1" customWidth="1"/>
    <col min="7" max="7" width="20.44140625" bestFit="1" customWidth="1"/>
    <col min="8" max="9" width="20.44140625" customWidth="1"/>
    <col min="10" max="11" width="20.109375" bestFit="1" customWidth="1"/>
    <col min="12" max="12" width="16.44140625" bestFit="1" customWidth="1"/>
    <col min="13" max="13" width="14.109375" style="10" bestFit="1" customWidth="1"/>
    <col min="14" max="14" width="12.6640625" bestFit="1" customWidth="1"/>
    <col min="15" max="15" width="11.77734375" bestFit="1" customWidth="1"/>
    <col min="16" max="16" width="11.88671875" bestFit="1" customWidth="1"/>
    <col min="17" max="17" width="10.109375" bestFit="1" customWidth="1"/>
    <col min="18" max="18" width="20.77734375" bestFit="1" customWidth="1"/>
    <col min="19" max="19" width="18.77734375" bestFit="1" customWidth="1"/>
    <col min="20" max="20" width="17.109375" bestFit="1" customWidth="1"/>
    <col min="21" max="21" width="14.77734375" bestFit="1" customWidth="1"/>
    <col min="22" max="22" width="16.21875" bestFit="1" customWidth="1"/>
    <col min="23" max="23" width="13.77734375" bestFit="1" customWidth="1"/>
    <col min="24" max="24" width="20.33203125" bestFit="1" customWidth="1"/>
    <col min="25" max="25" width="17.88671875" bestFit="1" customWidth="1"/>
    <col min="26" max="26" width="19.44140625" bestFit="1" customWidth="1"/>
    <col min="27" max="27" width="17" bestFit="1" customWidth="1"/>
    <col min="28" max="28" width="14.44140625" bestFit="1" customWidth="1"/>
    <col min="29" max="29" width="12.109375" bestFit="1" customWidth="1"/>
    <col min="30" max="30" width="13.77734375" bestFit="1" customWidth="1"/>
    <col min="32" max="32" width="13.77734375" bestFit="1" customWidth="1"/>
    <col min="33" max="33" width="14.77734375" bestFit="1" customWidth="1"/>
    <col min="34" max="34" width="20.44140625" bestFit="1" customWidth="1"/>
    <col min="35" max="35" width="22.33203125" bestFit="1" customWidth="1"/>
    <col min="36" max="36" width="12.109375" bestFit="1" customWidth="1"/>
    <col min="37" max="37" width="17.21875" bestFit="1" customWidth="1"/>
    <col min="38" max="38" width="17.21875" customWidth="1"/>
    <col min="39" max="39" width="19.77734375" bestFit="1" customWidth="1"/>
    <col min="40" max="40" width="16.44140625" customWidth="1"/>
  </cols>
  <sheetData>
    <row r="1" spans="1:40" x14ac:dyDescent="0.3">
      <c r="G1" s="1"/>
      <c r="H1" s="1"/>
      <c r="I1" s="1"/>
      <c r="M1"/>
      <c r="AF1" s="2"/>
      <c r="AG1" s="3"/>
    </row>
    <row r="2" spans="1:40" x14ac:dyDescent="0.3">
      <c r="B2" s="4">
        <f>+SUBTOTAL(9,B4:B70)</f>
        <v>313385509</v>
      </c>
      <c r="C2" s="4">
        <f>+SUBTOTAL(9,C4:C70)</f>
        <v>23918664</v>
      </c>
      <c r="E2" s="4">
        <f>+SUBTOTAL(9,E4:E70)</f>
        <v>335676400</v>
      </c>
      <c r="F2" s="24">
        <f>+E2/B2-1</f>
        <v>7.1129297175001049E-2</v>
      </c>
      <c r="G2" s="4">
        <f>+SUBTOTAL(9,G4:G70)</f>
        <v>31136624.338701729</v>
      </c>
      <c r="H2" s="4">
        <f>+SUBTOTAL(9,H4:H70)</f>
        <v>25817720.43124928</v>
      </c>
      <c r="I2" s="4">
        <f>+SUBTOTAL(9,I4:I70)</f>
        <v>5318903.9074524445</v>
      </c>
      <c r="J2" s="4">
        <f>+SUBTOTAL(9,J4:J70)</f>
        <v>19043145</v>
      </c>
      <c r="K2" s="4">
        <f>+SUBTOTAL(9,K4:K70)</f>
        <v>26377036</v>
      </c>
      <c r="L2" s="4">
        <f>+SUBTOTAL(9,L4:L70)</f>
        <v>157805.17241379307</v>
      </c>
      <c r="M2" s="4">
        <f t="shared" ref="M2:AE2" si="0">+SUBTOTAL(9,M4:M70)</f>
        <v>104521</v>
      </c>
      <c r="N2" s="4">
        <f t="shared" si="0"/>
        <v>350303</v>
      </c>
      <c r="O2" s="4">
        <f t="shared" si="0"/>
        <v>205984</v>
      </c>
      <c r="P2" s="4">
        <f t="shared" si="0"/>
        <v>28522</v>
      </c>
      <c r="Q2" s="4">
        <f t="shared" si="0"/>
        <v>21752</v>
      </c>
      <c r="R2" s="4">
        <f t="shared" si="0"/>
        <v>582192</v>
      </c>
      <c r="S2" s="4">
        <f t="shared" si="0"/>
        <v>678290</v>
      </c>
      <c r="T2" s="4">
        <f t="shared" si="0"/>
        <v>3002146</v>
      </c>
      <c r="U2" s="4">
        <f t="shared" si="0"/>
        <v>3483088</v>
      </c>
      <c r="V2" s="4">
        <f t="shared" si="0"/>
        <v>735772</v>
      </c>
      <c r="W2" s="4">
        <f t="shared" si="0"/>
        <v>494180</v>
      </c>
      <c r="X2" s="4">
        <f t="shared" si="0"/>
        <v>126135</v>
      </c>
      <c r="Y2" s="4">
        <f t="shared" si="0"/>
        <v>89627</v>
      </c>
      <c r="Z2" s="4">
        <f t="shared" si="0"/>
        <v>50449</v>
      </c>
      <c r="AA2" s="4">
        <f t="shared" si="0"/>
        <v>43302</v>
      </c>
      <c r="AB2" s="4">
        <f t="shared" si="0"/>
        <v>0</v>
      </c>
      <c r="AC2" s="4">
        <f t="shared" si="0"/>
        <v>4856</v>
      </c>
      <c r="AD2" s="4">
        <f t="shared" si="0"/>
        <v>0</v>
      </c>
      <c r="AE2" s="4">
        <f t="shared" si="0"/>
        <v>775</v>
      </c>
      <c r="AF2" s="5" t="e">
        <f>+SUBTOTAL(9,AF4:AF368)</f>
        <v>#REF!</v>
      </c>
      <c r="AG2" s="5" t="e">
        <f>+SUBTOTAL(9,AG4:AG368)</f>
        <v>#REF!</v>
      </c>
      <c r="AH2" s="4">
        <f>+SUBTOTAL(9,AH4:AH70)</f>
        <v>31503411</v>
      </c>
      <c r="AI2" s="17">
        <f>+AH2/G2</f>
        <v>1.0117799109276713</v>
      </c>
      <c r="AJ2" s="4">
        <f>+AH2-G2</f>
        <v>366786.66129827127</v>
      </c>
      <c r="AK2" s="19">
        <f>+AH2/C2-1</f>
        <v>0.31710579654448923</v>
      </c>
      <c r="AL2" s="19">
        <f>+C2/B2</f>
        <v>7.6323452466974154E-2</v>
      </c>
      <c r="AM2" s="23">
        <f>+AH2/E2</f>
        <v>9.3850538792718222E-2</v>
      </c>
      <c r="AN2" s="19">
        <f>+E2/B2-1</f>
        <v>7.1129297175001049E-2</v>
      </c>
    </row>
    <row r="3" spans="1:40" x14ac:dyDescent="0.3">
      <c r="A3" s="12" t="s">
        <v>0</v>
      </c>
      <c r="B3" s="12" t="s">
        <v>1</v>
      </c>
      <c r="C3" s="13" t="s">
        <v>2</v>
      </c>
      <c r="D3" s="13" t="s">
        <v>3</v>
      </c>
      <c r="E3" s="20" t="s">
        <v>4</v>
      </c>
      <c r="F3" s="20" t="s">
        <v>5</v>
      </c>
      <c r="G3" s="14" t="s">
        <v>6</v>
      </c>
      <c r="H3" s="14" t="s">
        <v>38</v>
      </c>
      <c r="I3" s="14" t="s">
        <v>39</v>
      </c>
      <c r="J3" s="13" t="s">
        <v>7</v>
      </c>
      <c r="K3" s="13" t="s">
        <v>8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3" t="s">
        <v>31</v>
      </c>
      <c r="AD3" s="13" t="s">
        <v>32</v>
      </c>
      <c r="AE3" s="13" t="s">
        <v>33</v>
      </c>
      <c r="AF3" s="14" t="s">
        <v>9</v>
      </c>
      <c r="AG3" s="14" t="s">
        <v>10</v>
      </c>
      <c r="AH3" s="15" t="s">
        <v>11</v>
      </c>
      <c r="AI3" s="15" t="s">
        <v>34</v>
      </c>
      <c r="AJ3" s="15" t="s">
        <v>12</v>
      </c>
      <c r="AK3" s="16" t="s">
        <v>13</v>
      </c>
      <c r="AL3" s="13" t="s">
        <v>37</v>
      </c>
      <c r="AM3" s="13" t="s">
        <v>36</v>
      </c>
      <c r="AN3" s="13" t="s">
        <v>35</v>
      </c>
    </row>
    <row r="4" spans="1:40" hidden="1" x14ac:dyDescent="0.3">
      <c r="A4" s="11">
        <v>45659</v>
      </c>
      <c r="B4" s="6">
        <v>35566440</v>
      </c>
      <c r="C4" s="6">
        <v>3497685.6896551726</v>
      </c>
      <c r="D4" s="7">
        <v>1.0759754885369231E-2</v>
      </c>
      <c r="E4" s="6">
        <v>1767787</v>
      </c>
      <c r="F4" s="11">
        <v>46023</v>
      </c>
      <c r="G4" s="6">
        <v>1183968.5767399564</v>
      </c>
      <c r="H4" s="6">
        <v>944026.04279622261</v>
      </c>
      <c r="I4" s="6">
        <v>239942.53394373384</v>
      </c>
      <c r="J4" s="6">
        <v>2585832</v>
      </c>
      <c r="K4" s="6">
        <v>1117875</v>
      </c>
      <c r="L4" s="6">
        <v>48254.310344827572</v>
      </c>
      <c r="M4" s="6">
        <v>17319</v>
      </c>
      <c r="N4" s="6">
        <v>21696</v>
      </c>
      <c r="O4" s="6">
        <v>0</v>
      </c>
      <c r="P4" s="6">
        <v>5984</v>
      </c>
      <c r="Q4" s="6">
        <v>1884</v>
      </c>
      <c r="R4" s="6">
        <v>47691</v>
      </c>
      <c r="S4" s="6">
        <v>0</v>
      </c>
      <c r="T4" s="6">
        <v>671816</v>
      </c>
      <c r="U4" s="6">
        <v>511381</v>
      </c>
      <c r="V4" s="6">
        <v>116771</v>
      </c>
      <c r="W4" s="6">
        <v>78269</v>
      </c>
      <c r="X4" s="6">
        <v>47895.68965517242</v>
      </c>
      <c r="Y4" s="6">
        <v>31357</v>
      </c>
      <c r="Z4" s="6"/>
      <c r="AA4" s="6">
        <v>7591</v>
      </c>
      <c r="AB4" s="6">
        <v>0</v>
      </c>
      <c r="AC4" s="6">
        <v>2016</v>
      </c>
      <c r="AD4" s="6">
        <v>0</v>
      </c>
      <c r="AE4" s="6">
        <v>0</v>
      </c>
      <c r="AF4" s="8">
        <v>753.53447815769073</v>
      </c>
      <c r="AG4" s="8">
        <v>2715.0889145693332</v>
      </c>
      <c r="AH4" s="9">
        <f t="shared" ref="AH4:AH67" si="1">+AE4+AC4+AA4+Y4+W4+U4+S4+Q4+O4+M4+K4</f>
        <v>1767692</v>
      </c>
      <c r="AI4" s="7">
        <f t="shared" ref="AI4:AI35" si="2">+AH4/G4</f>
        <v>1.4930227328053918</v>
      </c>
      <c r="AJ4" s="9">
        <f t="shared" ref="AJ4:AJ35" si="3">+AH4-G4</f>
        <v>583723.42326004361</v>
      </c>
      <c r="AK4" s="21">
        <f t="shared" ref="AK4:AK67" si="4">+AH4/C4-1</f>
        <v>-0.49461096369288915</v>
      </c>
      <c r="AL4" s="21">
        <f t="shared" ref="AL4:AL67" si="5">+C4/B4</f>
        <v>9.8342304983438669E-2</v>
      </c>
      <c r="AM4" s="18">
        <f t="shared" ref="AM4:AM67" si="6">+AH4/E4</f>
        <v>0.99994626049405277</v>
      </c>
      <c r="AN4" s="18">
        <f t="shared" ref="AN4:AN67" si="7">+E4/B4-1</f>
        <v>-0.95029620619887734</v>
      </c>
    </row>
    <row r="5" spans="1:40" hidden="1" x14ac:dyDescent="0.3">
      <c r="A5" s="11">
        <v>45660</v>
      </c>
      <c r="B5" s="6">
        <v>45059441</v>
      </c>
      <c r="C5" s="6">
        <v>2131778.3793103448</v>
      </c>
      <c r="D5" s="7">
        <v>2.3299537037078648E-2</v>
      </c>
      <c r="E5" s="6">
        <v>37878399</v>
      </c>
      <c r="F5" s="11">
        <v>46024</v>
      </c>
      <c r="G5" s="6">
        <v>2563805.5883596712</v>
      </c>
      <c r="H5" s="6">
        <v>2044225.9124328175</v>
      </c>
      <c r="I5" s="6">
        <v>519579.67592685384</v>
      </c>
      <c r="J5" s="6">
        <v>1283434</v>
      </c>
      <c r="K5" s="6">
        <v>1824628</v>
      </c>
      <c r="L5" s="6">
        <v>33610.344827586181</v>
      </c>
      <c r="M5" s="6">
        <f>20000+12072</f>
        <v>32072</v>
      </c>
      <c r="N5" s="6">
        <v>21922</v>
      </c>
      <c r="O5" s="6">
        <v>15461</v>
      </c>
      <c r="P5" s="6">
        <v>4267</v>
      </c>
      <c r="Q5" s="6">
        <v>5339</v>
      </c>
      <c r="R5" s="6">
        <v>40797</v>
      </c>
      <c r="S5" s="6">
        <v>100874</v>
      </c>
      <c r="T5" s="6">
        <v>650641</v>
      </c>
      <c r="U5" s="6">
        <v>906403</v>
      </c>
      <c r="V5" s="6">
        <v>73651</v>
      </c>
      <c r="W5" s="6">
        <v>134485</v>
      </c>
      <c r="X5" s="6">
        <v>57066.379310344833</v>
      </c>
      <c r="Y5" s="6">
        <v>28403</v>
      </c>
      <c r="Z5" s="6"/>
      <c r="AA5" s="6">
        <v>8334</v>
      </c>
      <c r="AB5" s="6">
        <v>0</v>
      </c>
      <c r="AC5" s="6">
        <v>1412</v>
      </c>
      <c r="AD5" s="6">
        <v>0</v>
      </c>
      <c r="AE5" s="6">
        <v>0</v>
      </c>
      <c r="AF5" s="8">
        <v>1631.7290374731767</v>
      </c>
      <c r="AG5" s="8">
        <v>5879.3453380605524</v>
      </c>
      <c r="AH5" s="9">
        <f t="shared" si="1"/>
        <v>3057411</v>
      </c>
      <c r="AI5" s="7">
        <f t="shared" si="2"/>
        <v>1.1925284092840045</v>
      </c>
      <c r="AJ5" s="9">
        <f t="shared" si="3"/>
        <v>493605.41164032882</v>
      </c>
      <c r="AK5" s="21">
        <f t="shared" si="4"/>
        <v>0.43420677762437387</v>
      </c>
      <c r="AL5" s="21">
        <f t="shared" si="5"/>
        <v>4.7310360093245379E-2</v>
      </c>
      <c r="AM5" s="18">
        <f t="shared" si="6"/>
        <v>8.0716479067660704E-2</v>
      </c>
      <c r="AN5" s="18">
        <f t="shared" si="7"/>
        <v>-0.15936819988512507</v>
      </c>
    </row>
    <row r="6" spans="1:40" hidden="1" x14ac:dyDescent="0.3">
      <c r="A6" s="11">
        <v>45661</v>
      </c>
      <c r="B6" s="6">
        <v>52763562</v>
      </c>
      <c r="C6" s="6">
        <v>1320114.6206896552</v>
      </c>
      <c r="D6" s="7">
        <v>2.8252804505089497E-2</v>
      </c>
      <c r="E6" s="6">
        <v>45280774</v>
      </c>
      <c r="F6" s="11">
        <v>46025</v>
      </c>
      <c r="G6" s="6">
        <v>3108847.0969062559</v>
      </c>
      <c r="H6" s="6">
        <v>2478809.5564427604</v>
      </c>
      <c r="I6" s="6">
        <v>630037.54046349577</v>
      </c>
      <c r="J6" s="6">
        <v>838935</v>
      </c>
      <c r="K6" s="6">
        <v>1844500</v>
      </c>
      <c r="L6" s="6">
        <v>33443.965517241355</v>
      </c>
      <c r="M6" s="6">
        <f>18860+11525</f>
        <v>30385</v>
      </c>
      <c r="N6" s="6">
        <v>-972</v>
      </c>
      <c r="O6" s="6">
        <v>4998</v>
      </c>
      <c r="P6" s="6">
        <v>125</v>
      </c>
      <c r="Q6" s="6">
        <v>903</v>
      </c>
      <c r="R6" s="6">
        <v>76993</v>
      </c>
      <c r="S6" s="6">
        <v>60781</v>
      </c>
      <c r="T6" s="6">
        <v>272764</v>
      </c>
      <c r="U6" s="6">
        <v>517553</v>
      </c>
      <c r="V6" s="6">
        <v>79911</v>
      </c>
      <c r="W6" s="6">
        <v>118746</v>
      </c>
      <c r="X6" s="6">
        <v>52358.620689655174</v>
      </c>
      <c r="Y6" s="6">
        <v>27889</v>
      </c>
      <c r="Z6" s="6"/>
      <c r="AA6" s="6">
        <v>13091</v>
      </c>
      <c r="AB6" s="6">
        <v>0</v>
      </c>
      <c r="AC6" s="6">
        <v>688</v>
      </c>
      <c r="AD6" s="6">
        <v>0</v>
      </c>
      <c r="AE6" s="6">
        <v>0</v>
      </c>
      <c r="AF6" s="8">
        <v>1978.6196364177956</v>
      </c>
      <c r="AG6" s="8">
        <v>7129.2401299558669</v>
      </c>
      <c r="AH6" s="9">
        <f t="shared" si="1"/>
        <v>2619534</v>
      </c>
      <c r="AI6" s="7">
        <f t="shared" si="2"/>
        <v>0.84260625188250915</v>
      </c>
      <c r="AJ6" s="9">
        <f t="shared" si="3"/>
        <v>-489313.09690625593</v>
      </c>
      <c r="AK6" s="21">
        <f t="shared" si="4"/>
        <v>0.98432314811535182</v>
      </c>
      <c r="AL6" s="21">
        <f t="shared" si="5"/>
        <v>2.5019437101112606E-2</v>
      </c>
      <c r="AM6" s="18">
        <f t="shared" si="6"/>
        <v>5.7850910410674521E-2</v>
      </c>
      <c r="AN6" s="18">
        <f t="shared" si="7"/>
        <v>-0.1418173397770226</v>
      </c>
    </row>
    <row r="7" spans="1:40" hidden="1" x14ac:dyDescent="0.3">
      <c r="A7" s="11">
        <v>45662</v>
      </c>
      <c r="B7" s="6">
        <v>49776636</v>
      </c>
      <c r="C7" s="6">
        <v>1827728.7586206896</v>
      </c>
      <c r="D7" s="7">
        <v>2.3808667177502046E-2</v>
      </c>
      <c r="E7" s="6">
        <v>49319936</v>
      </c>
      <c r="F7" s="11">
        <v>46026</v>
      </c>
      <c r="G7" s="6">
        <v>2619828.619939337</v>
      </c>
      <c r="H7" s="6">
        <v>2088895.3418810416</v>
      </c>
      <c r="I7" s="6">
        <v>530933.2780582956</v>
      </c>
      <c r="J7" s="6">
        <v>1254687</v>
      </c>
      <c r="K7" s="6">
        <v>1894237</v>
      </c>
      <c r="L7" s="6">
        <v>26220.689655172398</v>
      </c>
      <c r="M7" s="6">
        <f>20047+15747</f>
        <v>35794</v>
      </c>
      <c r="N7" s="6">
        <v>6650</v>
      </c>
      <c r="O7" s="6">
        <v>2820</v>
      </c>
      <c r="P7" s="6">
        <v>4220</v>
      </c>
      <c r="Q7" s="6">
        <v>1256</v>
      </c>
      <c r="R7" s="6">
        <v>118329</v>
      </c>
      <c r="S7" s="6">
        <v>34216</v>
      </c>
      <c r="T7" s="6">
        <v>311434</v>
      </c>
      <c r="U7" s="6">
        <v>181111</v>
      </c>
      <c r="V7" s="6">
        <v>74826</v>
      </c>
      <c r="W7" s="6">
        <v>111132</v>
      </c>
      <c r="X7" s="6">
        <v>57582.758620689659</v>
      </c>
      <c r="Y7" s="6">
        <v>24171</v>
      </c>
      <c r="Z7" s="6"/>
      <c r="AA7" s="6">
        <v>11093</v>
      </c>
      <c r="AB7" s="6">
        <v>0</v>
      </c>
      <c r="AC7" s="6">
        <v>0</v>
      </c>
      <c r="AD7" s="6">
        <v>0</v>
      </c>
      <c r="AE7" s="6">
        <v>0</v>
      </c>
      <c r="AF7" s="8">
        <v>1667.3847860255873</v>
      </c>
      <c r="AG7" s="8">
        <v>6007.8179301468599</v>
      </c>
      <c r="AH7" s="9">
        <f t="shared" si="1"/>
        <v>2295830</v>
      </c>
      <c r="AI7" s="7">
        <f t="shared" si="2"/>
        <v>0.87632831496174768</v>
      </c>
      <c r="AJ7" s="9">
        <f t="shared" si="3"/>
        <v>-323998.61993933702</v>
      </c>
      <c r="AK7" s="21">
        <f t="shared" si="4"/>
        <v>0.25611089127500897</v>
      </c>
      <c r="AL7" s="21">
        <f t="shared" si="5"/>
        <v>3.6718607473206696E-2</v>
      </c>
      <c r="AM7" s="18">
        <f t="shared" si="6"/>
        <v>4.6549735993169174E-2</v>
      </c>
      <c r="AN7" s="18">
        <f t="shared" si="7"/>
        <v>-9.1749872369840668E-3</v>
      </c>
    </row>
    <row r="8" spans="1:40" hidden="1" x14ac:dyDescent="0.3">
      <c r="A8" s="11">
        <v>45663</v>
      </c>
      <c r="B8" s="6">
        <v>22835293</v>
      </c>
      <c r="C8" s="6">
        <v>3149895.9310344825</v>
      </c>
      <c r="D8" s="7">
        <v>2.020812553849757E-2</v>
      </c>
      <c r="E8" s="6">
        <v>42820052</v>
      </c>
      <c r="F8" s="11">
        <v>46027</v>
      </c>
      <c r="G8" s="6">
        <v>2223636.6801376529</v>
      </c>
      <c r="H8" s="6">
        <v>1772995.4806291575</v>
      </c>
      <c r="I8" s="6">
        <v>450641.1995084958</v>
      </c>
      <c r="J8" s="6">
        <v>2166076</v>
      </c>
      <c r="K8" s="6">
        <v>2243868</v>
      </c>
      <c r="L8" s="6">
        <v>18699.999999999996</v>
      </c>
      <c r="M8" s="6">
        <f>16759+12375</f>
        <v>29134</v>
      </c>
      <c r="N8" s="6">
        <v>36331</v>
      </c>
      <c r="O8" s="6">
        <v>10063</v>
      </c>
      <c r="P8" s="6">
        <v>-500</v>
      </c>
      <c r="Q8" s="6">
        <v>4612</v>
      </c>
      <c r="R8" s="6">
        <v>58951</v>
      </c>
      <c r="S8" s="6">
        <v>91070</v>
      </c>
      <c r="T8" s="6">
        <v>714238</v>
      </c>
      <c r="U8" s="6">
        <v>1061982</v>
      </c>
      <c r="V8" s="6">
        <v>83712</v>
      </c>
      <c r="W8" s="6">
        <v>81808</v>
      </c>
      <c r="X8" s="6">
        <v>91087.931034482768</v>
      </c>
      <c r="Y8" s="6">
        <v>39071</v>
      </c>
      <c r="Z8" s="6"/>
      <c r="AA8" s="6">
        <v>9717</v>
      </c>
      <c r="AB8" s="6">
        <v>0</v>
      </c>
      <c r="AC8" s="6">
        <v>11108</v>
      </c>
      <c r="AD8" s="6">
        <v>0</v>
      </c>
      <c r="AE8" s="6">
        <v>0</v>
      </c>
      <c r="AF8" s="8">
        <v>1415.229203120859</v>
      </c>
      <c r="AG8" s="8">
        <v>5099.2664998722566</v>
      </c>
      <c r="AH8" s="9">
        <f t="shared" si="1"/>
        <v>3582433</v>
      </c>
      <c r="AI8" s="7">
        <f t="shared" si="2"/>
        <v>1.6110693945641479</v>
      </c>
      <c r="AJ8" s="9">
        <f t="shared" si="3"/>
        <v>1358796.3198623471</v>
      </c>
      <c r="AK8" s="21">
        <f t="shared" si="4"/>
        <v>0.13731789190364285</v>
      </c>
      <c r="AL8" s="21">
        <f t="shared" si="5"/>
        <v>0.13793980795580257</v>
      </c>
      <c r="AM8" s="18">
        <f t="shared" si="6"/>
        <v>8.3662509330908796E-2</v>
      </c>
      <c r="AN8" s="18">
        <f t="shared" si="7"/>
        <v>0.87516980841892411</v>
      </c>
    </row>
    <row r="9" spans="1:40" hidden="1" x14ac:dyDescent="0.3">
      <c r="A9" s="11">
        <v>45664</v>
      </c>
      <c r="B9" s="6">
        <v>23686629</v>
      </c>
      <c r="C9" s="6">
        <v>2931460</v>
      </c>
      <c r="D9" s="7">
        <v>3.4750237390936689E-2</v>
      </c>
      <c r="E9" s="6">
        <v>22329279</v>
      </c>
      <c r="F9" s="11">
        <v>46028</v>
      </c>
      <c r="G9" s="6">
        <v>3823803.5664797635</v>
      </c>
      <c r="H9" s="6">
        <v>3048873.2726618759</v>
      </c>
      <c r="I9" s="6">
        <v>774930.29381788813</v>
      </c>
      <c r="J9" s="6">
        <v>2464818</v>
      </c>
      <c r="K9" s="6">
        <v>2374462</v>
      </c>
      <c r="L9" s="6">
        <v>20049.137931034478</v>
      </c>
      <c r="M9" s="6">
        <f>12777+8956</f>
        <v>21733</v>
      </c>
      <c r="N9" s="6">
        <v>54064</v>
      </c>
      <c r="O9" s="6">
        <v>67853</v>
      </c>
      <c r="P9" s="6">
        <v>-344</v>
      </c>
      <c r="Q9" s="6">
        <v>-114</v>
      </c>
      <c r="R9" s="6">
        <v>55989</v>
      </c>
      <c r="S9" s="6">
        <v>66697</v>
      </c>
      <c r="T9" s="6">
        <v>209116</v>
      </c>
      <c r="U9" s="6">
        <v>650825</v>
      </c>
      <c r="V9" s="6">
        <v>80417</v>
      </c>
      <c r="W9" s="6">
        <v>87785</v>
      </c>
      <c r="X9" s="6">
        <v>67400</v>
      </c>
      <c r="Y9" s="6">
        <v>32894</v>
      </c>
      <c r="Z9" s="6"/>
      <c r="AA9" s="6">
        <v>14047</v>
      </c>
      <c r="AB9" s="6">
        <v>0</v>
      </c>
      <c r="AC9" s="6">
        <v>11280</v>
      </c>
      <c r="AD9" s="6">
        <v>0</v>
      </c>
      <c r="AE9" s="6">
        <v>1120</v>
      </c>
      <c r="AF9" s="8">
        <v>2433.6522789976893</v>
      </c>
      <c r="AG9" s="8">
        <v>8768.7856576620561</v>
      </c>
      <c r="AH9" s="9">
        <f t="shared" si="1"/>
        <v>3328582</v>
      </c>
      <c r="AI9" s="7">
        <f t="shared" si="2"/>
        <v>0.87048979952292105</v>
      </c>
      <c r="AJ9" s="9">
        <f t="shared" si="3"/>
        <v>-495221.56647976348</v>
      </c>
      <c r="AK9" s="21">
        <f t="shared" si="4"/>
        <v>0.13546901543940559</v>
      </c>
      <c r="AL9" s="21">
        <f t="shared" si="5"/>
        <v>0.12376011799737312</v>
      </c>
      <c r="AM9" s="18">
        <f t="shared" si="6"/>
        <v>0.14906804648730484</v>
      </c>
      <c r="AN9" s="18">
        <f t="shared" si="7"/>
        <v>-5.730448178168368E-2</v>
      </c>
    </row>
    <row r="10" spans="1:40" hidden="1" x14ac:dyDescent="0.3">
      <c r="A10" s="11">
        <v>45665</v>
      </c>
      <c r="B10" s="6">
        <v>26858516</v>
      </c>
      <c r="C10" s="6">
        <v>3283700.3793103448</v>
      </c>
      <c r="D10" s="7">
        <v>3.7171256164811296E-2</v>
      </c>
      <c r="E10" s="6">
        <v>23046004</v>
      </c>
      <c r="F10" s="11">
        <v>46029</v>
      </c>
      <c r="G10" s="6">
        <v>4090204.6306771166</v>
      </c>
      <c r="H10" s="6">
        <v>3261285.6182018253</v>
      </c>
      <c r="I10" s="6">
        <v>828919.01247529197</v>
      </c>
      <c r="J10" s="6">
        <v>2469589</v>
      </c>
      <c r="K10" s="6">
        <v>2461726</v>
      </c>
      <c r="L10" s="6">
        <v>26274.999999999985</v>
      </c>
      <c r="M10" s="6">
        <f>14222+10727</f>
        <v>24949</v>
      </c>
      <c r="N10" s="6">
        <v>56169</v>
      </c>
      <c r="O10" s="6">
        <v>16759</v>
      </c>
      <c r="P10" s="6">
        <v>3661</v>
      </c>
      <c r="Q10" s="6">
        <v>5667</v>
      </c>
      <c r="R10" s="6">
        <v>70092</v>
      </c>
      <c r="S10" s="6">
        <v>41847</v>
      </c>
      <c r="T10" s="6">
        <v>538812</v>
      </c>
      <c r="U10" s="6">
        <v>438746</v>
      </c>
      <c r="V10" s="6">
        <v>68361</v>
      </c>
      <c r="W10" s="6">
        <v>113224</v>
      </c>
      <c r="X10" s="6">
        <v>77016.379310344826</v>
      </c>
      <c r="Y10" s="6">
        <v>5778</v>
      </c>
      <c r="Z10" s="6"/>
      <c r="AA10" s="6">
        <v>10555</v>
      </c>
      <c r="AB10" s="6">
        <v>0</v>
      </c>
      <c r="AC10" s="6">
        <v>14781</v>
      </c>
      <c r="AD10" s="6">
        <v>0</v>
      </c>
      <c r="AE10" s="6">
        <v>0</v>
      </c>
      <c r="AF10" s="8">
        <v>2603.2027137257355</v>
      </c>
      <c r="AG10" s="8">
        <v>9379.6993174006548</v>
      </c>
      <c r="AH10" s="9">
        <f t="shared" si="1"/>
        <v>3134032</v>
      </c>
      <c r="AI10" s="7">
        <f t="shared" si="2"/>
        <v>0.76622865675089069</v>
      </c>
      <c r="AJ10" s="9">
        <f t="shared" si="3"/>
        <v>-956172.63067711657</v>
      </c>
      <c r="AK10" s="21">
        <f t="shared" si="4"/>
        <v>-4.5579182635956172E-2</v>
      </c>
      <c r="AL10" s="21">
        <f t="shared" si="5"/>
        <v>0.12225918882898612</v>
      </c>
      <c r="AM10" s="18">
        <f t="shared" si="6"/>
        <v>0.13599025670567444</v>
      </c>
      <c r="AN10" s="18">
        <f t="shared" si="7"/>
        <v>-0.14194797657472957</v>
      </c>
    </row>
    <row r="11" spans="1:40" hidden="1" x14ac:dyDescent="0.3">
      <c r="A11" s="11">
        <v>45666</v>
      </c>
      <c r="B11" s="6">
        <v>28040157</v>
      </c>
      <c r="C11" s="6">
        <v>2531798.1724137929</v>
      </c>
      <c r="D11" s="7">
        <v>3.6682701254760822E-2</v>
      </c>
      <c r="E11" s="6">
        <v>26562197</v>
      </c>
      <c r="F11" s="11">
        <v>46030</v>
      </c>
      <c r="G11" s="6">
        <v>4036445.6308045159</v>
      </c>
      <c r="H11" s="6">
        <v>3218421.3928233502</v>
      </c>
      <c r="I11" s="6">
        <v>818024.23798116634</v>
      </c>
      <c r="J11" s="6">
        <v>2209020</v>
      </c>
      <c r="K11" s="6">
        <v>2651325</v>
      </c>
      <c r="L11" s="6">
        <v>24654.31034482758</v>
      </c>
      <c r="M11" s="6">
        <f>16483+7384</f>
        <v>23867</v>
      </c>
      <c r="N11" s="6">
        <v>59780</v>
      </c>
      <c r="O11" s="6">
        <v>32696</v>
      </c>
      <c r="P11" s="6">
        <v>2734</v>
      </c>
      <c r="Q11" s="6">
        <v>1757</v>
      </c>
      <c r="R11" s="6">
        <v>31913</v>
      </c>
      <c r="S11" s="6">
        <v>21864</v>
      </c>
      <c r="T11" s="6">
        <v>73729</v>
      </c>
      <c r="U11" s="6">
        <v>443664</v>
      </c>
      <c r="V11" s="6">
        <v>68117</v>
      </c>
      <c r="W11" s="6">
        <v>108455</v>
      </c>
      <c r="X11" s="6">
        <v>86505.172413793116</v>
      </c>
      <c r="Y11" s="6">
        <v>25645</v>
      </c>
      <c r="Z11" s="6"/>
      <c r="AA11" s="6">
        <v>3530</v>
      </c>
      <c r="AB11" s="6">
        <v>0</v>
      </c>
      <c r="AC11" s="6">
        <v>21246</v>
      </c>
      <c r="AD11" s="6">
        <v>0</v>
      </c>
      <c r="AE11" s="6">
        <v>947</v>
      </c>
      <c r="AF11" s="8">
        <v>2568.9879037120936</v>
      </c>
      <c r="AG11" s="8">
        <v>9256.4186261053383</v>
      </c>
      <c r="AH11" s="9">
        <f t="shared" si="1"/>
        <v>3334996</v>
      </c>
      <c r="AI11" s="7">
        <f t="shared" si="2"/>
        <v>0.82622096394626576</v>
      </c>
      <c r="AJ11" s="9">
        <f t="shared" si="3"/>
        <v>-701449.63080451591</v>
      </c>
      <c r="AK11" s="21">
        <f t="shared" si="4"/>
        <v>0.31724401902875443</v>
      </c>
      <c r="AL11" s="21">
        <f t="shared" si="5"/>
        <v>9.0291868637318723E-2</v>
      </c>
      <c r="AM11" s="18">
        <f t="shared" si="6"/>
        <v>0.12555422279264022</v>
      </c>
      <c r="AN11" s="18">
        <f t="shared" si="7"/>
        <v>-5.2708692037637284E-2</v>
      </c>
    </row>
    <row r="12" spans="1:40" hidden="1" x14ac:dyDescent="0.3">
      <c r="A12" s="11">
        <v>45667</v>
      </c>
      <c r="B12" s="6">
        <v>28699623</v>
      </c>
      <c r="C12" s="6">
        <v>2294284.9655172415</v>
      </c>
      <c r="D12" s="7">
        <v>3.5036682824930998E-2</v>
      </c>
      <c r="E12" s="6">
        <v>26952477</v>
      </c>
      <c r="F12" s="11">
        <v>46031</v>
      </c>
      <c r="G12" s="6">
        <v>3855323.0942397364</v>
      </c>
      <c r="H12" s="6">
        <v>3074005.0672437758</v>
      </c>
      <c r="I12" s="6">
        <v>781318.02699596121</v>
      </c>
      <c r="J12" s="6">
        <v>2033563</v>
      </c>
      <c r="K12" s="6">
        <v>1967914</v>
      </c>
      <c r="L12" s="6">
        <v>26027.586206896543</v>
      </c>
      <c r="M12" s="6">
        <f>14542+13435</f>
        <v>27977</v>
      </c>
      <c r="N12" s="6">
        <v>69118</v>
      </c>
      <c r="O12" s="6">
        <v>732</v>
      </c>
      <c r="P12" s="6">
        <v>2178</v>
      </c>
      <c r="Q12" s="6">
        <v>3382</v>
      </c>
      <c r="R12" s="6">
        <v>45932</v>
      </c>
      <c r="S12" s="6">
        <v>81797</v>
      </c>
      <c r="T12" s="6">
        <v>27229</v>
      </c>
      <c r="U12" s="6">
        <v>357183</v>
      </c>
      <c r="V12" s="6">
        <v>63746</v>
      </c>
      <c r="W12" s="6">
        <v>88348</v>
      </c>
      <c r="X12" s="6">
        <v>52518.965517241384</v>
      </c>
      <c r="Y12" s="6">
        <v>22372</v>
      </c>
      <c r="Z12" s="6"/>
      <c r="AA12" s="6">
        <v>11805</v>
      </c>
      <c r="AB12" s="6">
        <v>0</v>
      </c>
      <c r="AC12" s="6">
        <v>15175</v>
      </c>
      <c r="AD12" s="6">
        <v>0</v>
      </c>
      <c r="AE12" s="6">
        <v>689</v>
      </c>
      <c r="AF12" s="8">
        <v>2453.7128206108682</v>
      </c>
      <c r="AG12" s="8">
        <v>8841.0665628269562</v>
      </c>
      <c r="AH12" s="9">
        <f t="shared" si="1"/>
        <v>2577374</v>
      </c>
      <c r="AI12" s="7">
        <f t="shared" si="2"/>
        <v>0.66852347702086801</v>
      </c>
      <c r="AJ12" s="9">
        <f t="shared" si="3"/>
        <v>-1277949.0942397364</v>
      </c>
      <c r="AK12" s="21">
        <f t="shared" si="4"/>
        <v>0.1233887850626858</v>
      </c>
      <c r="AL12" s="21">
        <f t="shared" si="5"/>
        <v>7.9941292800858099E-2</v>
      </c>
      <c r="AM12" s="18">
        <f t="shared" si="6"/>
        <v>9.5626609754643335E-2</v>
      </c>
      <c r="AN12" s="18">
        <f t="shared" si="7"/>
        <v>-6.0876966920436537E-2</v>
      </c>
    </row>
    <row r="13" spans="1:40" hidden="1" x14ac:dyDescent="0.3">
      <c r="A13" s="11">
        <v>45668</v>
      </c>
      <c r="B13" s="6">
        <v>40105570</v>
      </c>
      <c r="C13" s="6">
        <v>2320480.0344827585</v>
      </c>
      <c r="D13" s="7">
        <v>3.0081931241942542E-2</v>
      </c>
      <c r="E13" s="6">
        <v>35436338</v>
      </c>
      <c r="F13" s="11">
        <v>46032</v>
      </c>
      <c r="G13" s="6">
        <v>3310118.2784880642</v>
      </c>
      <c r="H13" s="6">
        <v>2639291.2117927461</v>
      </c>
      <c r="I13" s="6">
        <v>670827.06669531867</v>
      </c>
      <c r="J13" s="6">
        <v>1650651</v>
      </c>
      <c r="K13" s="6">
        <v>1571666</v>
      </c>
      <c r="L13" s="6">
        <v>27638.793103448261</v>
      </c>
      <c r="M13" s="6">
        <f>14575+13419</f>
        <v>27994</v>
      </c>
      <c r="N13" s="6">
        <v>37575</v>
      </c>
      <c r="O13" s="6">
        <v>71315</v>
      </c>
      <c r="P13" s="6">
        <v>943</v>
      </c>
      <c r="Q13" s="6">
        <v>-96</v>
      </c>
      <c r="R13" s="6">
        <v>46764</v>
      </c>
      <c r="S13" s="6">
        <v>34126</v>
      </c>
      <c r="T13" s="6">
        <v>466722</v>
      </c>
      <c r="U13" s="6">
        <v>488987</v>
      </c>
      <c r="V13" s="6">
        <v>44669</v>
      </c>
      <c r="W13" s="6">
        <v>120073</v>
      </c>
      <c r="X13" s="6">
        <v>73156.034482758623</v>
      </c>
      <c r="Y13" s="6">
        <v>23228</v>
      </c>
      <c r="Z13" s="6"/>
      <c r="AA13" s="6">
        <v>6392</v>
      </c>
      <c r="AB13" s="6">
        <v>0</v>
      </c>
      <c r="AC13" s="6">
        <v>-1487</v>
      </c>
      <c r="AD13" s="6">
        <v>0</v>
      </c>
      <c r="AE13" s="6">
        <v>689</v>
      </c>
      <c r="AF13" s="8">
        <v>2106.7182851159196</v>
      </c>
      <c r="AG13" s="8">
        <v>7590.7972731696964</v>
      </c>
      <c r="AH13" s="9">
        <f t="shared" si="1"/>
        <v>2342887</v>
      </c>
      <c r="AI13" s="7">
        <f t="shared" si="2"/>
        <v>0.70779555378007264</v>
      </c>
      <c r="AJ13" s="9">
        <f t="shared" si="3"/>
        <v>-967231.27848806418</v>
      </c>
      <c r="AK13" s="21">
        <f t="shared" si="4"/>
        <v>9.6561768187055641E-3</v>
      </c>
      <c r="AL13" s="21">
        <f t="shared" si="5"/>
        <v>5.7859295715850904E-2</v>
      </c>
      <c r="AM13" s="18">
        <f t="shared" si="6"/>
        <v>6.6115381335396448E-2</v>
      </c>
      <c r="AN13" s="18">
        <f t="shared" si="7"/>
        <v>-0.11642352920055743</v>
      </c>
    </row>
    <row r="14" spans="1:40" hidden="1" x14ac:dyDescent="0.3">
      <c r="A14" s="11">
        <v>45669</v>
      </c>
      <c r="B14" s="6">
        <v>41506617</v>
      </c>
      <c r="C14" s="6">
        <v>2886158.3793103448</v>
      </c>
      <c r="D14" s="7">
        <v>3.0425526345874126E-2</v>
      </c>
      <c r="E14" s="6">
        <v>37766104</v>
      </c>
      <c r="F14" s="11">
        <v>46033</v>
      </c>
      <c r="G14" s="6">
        <v>3347926.370820154</v>
      </c>
      <c r="H14" s="6">
        <v>2669437.1333071617</v>
      </c>
      <c r="I14" s="6">
        <v>678489.23751299304</v>
      </c>
      <c r="J14" s="6">
        <v>2074041</v>
      </c>
      <c r="K14" s="6">
        <v>1877762</v>
      </c>
      <c r="L14" s="6">
        <v>27737.068965517228</v>
      </c>
      <c r="M14" s="6">
        <f>16709+13239</f>
        <v>29948</v>
      </c>
      <c r="N14" s="6">
        <v>14675</v>
      </c>
      <c r="O14" s="6">
        <v>-1145</v>
      </c>
      <c r="P14" s="6">
        <v>-1465</v>
      </c>
      <c r="Q14" s="6">
        <v>2935</v>
      </c>
      <c r="R14" s="6">
        <v>85731</v>
      </c>
      <c r="S14" s="6">
        <v>32600</v>
      </c>
      <c r="T14" s="6">
        <v>581035</v>
      </c>
      <c r="U14" s="6">
        <v>182133</v>
      </c>
      <c r="V14" s="6">
        <v>51725</v>
      </c>
      <c r="W14" s="6">
        <v>111049</v>
      </c>
      <c r="X14" s="6">
        <v>80416.379310344826</v>
      </c>
      <c r="Y14" s="6">
        <v>31695</v>
      </c>
      <c r="Z14" s="6"/>
      <c r="AA14" s="6">
        <v>9041</v>
      </c>
      <c r="AB14" s="6">
        <v>0</v>
      </c>
      <c r="AC14" s="6">
        <v>1612</v>
      </c>
      <c r="AD14" s="6">
        <v>0</v>
      </c>
      <c r="AE14" s="6">
        <v>947</v>
      </c>
      <c r="AF14" s="8">
        <v>2130.7811713151846</v>
      </c>
      <c r="AG14" s="8">
        <v>7677.4991792747751</v>
      </c>
      <c r="AH14" s="9">
        <f t="shared" si="1"/>
        <v>2278577</v>
      </c>
      <c r="AI14" s="7">
        <f t="shared" si="2"/>
        <v>0.68059352196619805</v>
      </c>
      <c r="AJ14" s="9">
        <f t="shared" si="3"/>
        <v>-1069349.370820154</v>
      </c>
      <c r="AK14" s="21">
        <f t="shared" si="4"/>
        <v>-0.2105156056804921</v>
      </c>
      <c r="AL14" s="21">
        <f t="shared" si="5"/>
        <v>6.9534897997356543E-2</v>
      </c>
      <c r="AM14" s="18">
        <f t="shared" si="6"/>
        <v>6.0333917419705244E-2</v>
      </c>
      <c r="AN14" s="18">
        <f t="shared" si="7"/>
        <v>-9.0118474362774537E-2</v>
      </c>
    </row>
    <row r="15" spans="1:40" hidden="1" x14ac:dyDescent="0.3">
      <c r="A15" s="11">
        <v>45670</v>
      </c>
      <c r="B15" s="6">
        <v>25127170</v>
      </c>
      <c r="C15" s="6">
        <v>4231026.3793103453</v>
      </c>
      <c r="D15" s="7">
        <v>3.1748063927038384E-2</v>
      </c>
      <c r="E15" s="6">
        <v>22002628</v>
      </c>
      <c r="F15" s="11">
        <v>46034</v>
      </c>
      <c r="G15" s="6">
        <v>3493454.1225522435</v>
      </c>
      <c r="H15" s="6">
        <v>2785472.2969792881</v>
      </c>
      <c r="I15" s="6">
        <v>707981.825572956</v>
      </c>
      <c r="J15" s="6">
        <v>2819786</v>
      </c>
      <c r="K15" s="6">
        <v>2815225</v>
      </c>
      <c r="L15" s="6">
        <v>21892.241379310333</v>
      </c>
      <c r="M15" s="6">
        <f>15551+12840</f>
        <v>28391</v>
      </c>
      <c r="N15" s="6">
        <v>62339</v>
      </c>
      <c r="O15" s="6">
        <v>25098</v>
      </c>
      <c r="P15" s="6">
        <v>7660</v>
      </c>
      <c r="Q15" s="6">
        <v>689</v>
      </c>
      <c r="R15" s="6">
        <v>57950</v>
      </c>
      <c r="S15" s="6">
        <v>78900</v>
      </c>
      <c r="T15" s="6">
        <v>1124689</v>
      </c>
      <c r="U15" s="6">
        <v>1028542</v>
      </c>
      <c r="V15" s="6">
        <v>34111</v>
      </c>
      <c r="W15" s="6">
        <v>130772</v>
      </c>
      <c r="X15" s="6">
        <v>124491.37931034484</v>
      </c>
      <c r="Y15" s="6">
        <v>38266</v>
      </c>
      <c r="Z15" s="6"/>
      <c r="AA15" s="6">
        <v>9160</v>
      </c>
      <c r="AB15" s="6">
        <v>0</v>
      </c>
      <c r="AC15" s="6">
        <v>15529</v>
      </c>
      <c r="AD15" s="6">
        <v>0</v>
      </c>
      <c r="AE15" s="6">
        <v>0</v>
      </c>
      <c r="AF15" s="8">
        <v>2223.4020234334475</v>
      </c>
      <c r="AG15" s="8">
        <v>8011.2249159644716</v>
      </c>
      <c r="AH15" s="9">
        <f t="shared" si="1"/>
        <v>4170572</v>
      </c>
      <c r="AI15" s="7">
        <f t="shared" si="2"/>
        <v>1.1938247515765481</v>
      </c>
      <c r="AJ15" s="9">
        <f t="shared" si="3"/>
        <v>677117.87744775647</v>
      </c>
      <c r="AK15" s="21">
        <f t="shared" si="4"/>
        <v>-1.4288348474017165E-2</v>
      </c>
      <c r="AL15" s="21">
        <f t="shared" si="5"/>
        <v>0.16838451681229305</v>
      </c>
      <c r="AM15" s="18">
        <f t="shared" si="6"/>
        <v>0.18954881207826629</v>
      </c>
      <c r="AN15" s="18">
        <f t="shared" si="7"/>
        <v>-0.1243491407906262</v>
      </c>
    </row>
    <row r="16" spans="1:40" hidden="1" x14ac:dyDescent="0.3">
      <c r="A16" s="11">
        <v>45671</v>
      </c>
      <c r="B16" s="6">
        <v>26921599</v>
      </c>
      <c r="C16" s="6">
        <v>4058905.5517241377</v>
      </c>
      <c r="D16" s="7">
        <v>4.2321573625999656E-2</v>
      </c>
      <c r="E16" s="6">
        <v>24135120</v>
      </c>
      <c r="F16" s="11">
        <v>46035</v>
      </c>
      <c r="G16" s="6">
        <v>4656928.8822280271</v>
      </c>
      <c r="H16" s="6">
        <v>3713157.7903682352</v>
      </c>
      <c r="I16" s="6">
        <v>943771.09185979236</v>
      </c>
      <c r="J16" s="6">
        <v>3040120</v>
      </c>
      <c r="K16" s="6">
        <v>3308864</v>
      </c>
      <c r="L16" s="6">
        <v>25132.758620689645</v>
      </c>
      <c r="M16" s="6">
        <f>16835+12441</f>
        <v>29276</v>
      </c>
      <c r="N16" s="6">
        <v>88823</v>
      </c>
      <c r="O16" s="6">
        <v>24647</v>
      </c>
      <c r="P16" s="6">
        <v>264</v>
      </c>
      <c r="Q16" s="6">
        <v>3108</v>
      </c>
      <c r="R16" s="6">
        <v>76057</v>
      </c>
      <c r="S16" s="6">
        <v>43565</v>
      </c>
      <c r="T16" s="6">
        <v>657218</v>
      </c>
      <c r="U16" s="6">
        <v>536006</v>
      </c>
      <c r="V16" s="6">
        <v>100302</v>
      </c>
      <c r="W16" s="6">
        <v>110255</v>
      </c>
      <c r="X16" s="6">
        <v>96121.551724137942</v>
      </c>
      <c r="Y16" s="6">
        <v>39605</v>
      </c>
      <c r="Z16" s="6"/>
      <c r="AA16" s="6">
        <v>8501</v>
      </c>
      <c r="AB16" s="6">
        <v>0</v>
      </c>
      <c r="AC16" s="6">
        <v>11906</v>
      </c>
      <c r="AD16" s="6">
        <v>0</v>
      </c>
      <c r="AE16" s="6">
        <v>0</v>
      </c>
      <c r="AF16" s="8">
        <v>2963.8932519219352</v>
      </c>
      <c r="AG16" s="8">
        <v>10679.317198510549</v>
      </c>
      <c r="AH16" s="9">
        <f t="shared" si="1"/>
        <v>4115733</v>
      </c>
      <c r="AI16" s="7">
        <f t="shared" si="2"/>
        <v>0.88378695575675159</v>
      </c>
      <c r="AJ16" s="9">
        <f t="shared" si="3"/>
        <v>-541195.8822280271</v>
      </c>
      <c r="AK16" s="21">
        <f t="shared" si="4"/>
        <v>1.4000682585906254E-2</v>
      </c>
      <c r="AL16" s="21">
        <f t="shared" si="5"/>
        <v>0.15076762534514157</v>
      </c>
      <c r="AM16" s="18">
        <f t="shared" si="6"/>
        <v>0.17052879786800315</v>
      </c>
      <c r="AN16" s="18">
        <f t="shared" si="7"/>
        <v>-0.10350347317780051</v>
      </c>
    </row>
    <row r="17" spans="1:40" hidden="1" x14ac:dyDescent="0.3">
      <c r="A17" s="11">
        <v>45672</v>
      </c>
      <c r="B17" s="6">
        <v>30367300</v>
      </c>
      <c r="C17" s="6">
        <v>4041297.0344827585</v>
      </c>
      <c r="D17" s="7">
        <v>4.4032533329399708E-2</v>
      </c>
      <c r="E17" s="6">
        <v>26317522</v>
      </c>
      <c r="F17" s="11">
        <v>46036</v>
      </c>
      <c r="G17" s="6">
        <v>4845197.3461916894</v>
      </c>
      <c r="H17" s="6">
        <v>3863271.8529460765</v>
      </c>
      <c r="I17" s="6">
        <v>981925.49324561353</v>
      </c>
      <c r="J17" s="6">
        <v>3171817</v>
      </c>
      <c r="K17" s="6">
        <v>3212173</v>
      </c>
      <c r="L17" s="6">
        <v>28275.8620689655</v>
      </c>
      <c r="M17" s="6">
        <f>15827+12102</f>
        <v>27929</v>
      </c>
      <c r="N17" s="6">
        <v>68859</v>
      </c>
      <c r="O17" s="6">
        <v>49002</v>
      </c>
      <c r="P17" s="6">
        <v>5179</v>
      </c>
      <c r="Q17" s="6">
        <v>2343</v>
      </c>
      <c r="R17" s="6">
        <v>64024</v>
      </c>
      <c r="S17" s="6">
        <v>31865</v>
      </c>
      <c r="T17" s="6">
        <v>635340</v>
      </c>
      <c r="U17" s="6">
        <v>514044</v>
      </c>
      <c r="V17" s="6">
        <v>1022</v>
      </c>
      <c r="W17" s="6">
        <v>119118</v>
      </c>
      <c r="X17" s="6">
        <v>95056.034482758623</v>
      </c>
      <c r="Y17" s="6">
        <v>41245</v>
      </c>
      <c r="Z17" s="6"/>
      <c r="AA17" s="6">
        <v>5948</v>
      </c>
      <c r="AB17" s="6">
        <v>0</v>
      </c>
      <c r="AC17" s="6">
        <v>15693</v>
      </c>
      <c r="AD17" s="6">
        <v>0</v>
      </c>
      <c r="AE17" s="6">
        <v>0</v>
      </c>
      <c r="AF17" s="8">
        <v>3083.7163464985128</v>
      </c>
      <c r="AG17" s="8">
        <v>11111.05637597945</v>
      </c>
      <c r="AH17" s="9">
        <f t="shared" si="1"/>
        <v>4019360</v>
      </c>
      <c r="AI17" s="7">
        <f t="shared" si="2"/>
        <v>0.82955547789177353</v>
      </c>
      <c r="AJ17" s="9">
        <f t="shared" si="3"/>
        <v>-825837.34619168937</v>
      </c>
      <c r="AK17" s="21">
        <f t="shared" si="4"/>
        <v>-5.4282163116392557E-3</v>
      </c>
      <c r="AL17" s="21">
        <f t="shared" si="5"/>
        <v>0.13308055159605098</v>
      </c>
      <c r="AM17" s="18">
        <f t="shared" si="6"/>
        <v>0.15272562515574226</v>
      </c>
      <c r="AN17" s="18">
        <f t="shared" si="7"/>
        <v>-0.13335983113414762</v>
      </c>
    </row>
    <row r="18" spans="1:40" hidden="1" x14ac:dyDescent="0.3">
      <c r="A18" s="11">
        <v>45673</v>
      </c>
      <c r="B18" s="6">
        <v>34389586</v>
      </c>
      <c r="C18" s="6">
        <v>3971907.1724137929</v>
      </c>
      <c r="D18" s="7">
        <v>4.6726010877933238E-2</v>
      </c>
      <c r="E18" s="6">
        <v>30903967</v>
      </c>
      <c r="F18" s="11">
        <v>46037</v>
      </c>
      <c r="G18" s="6">
        <v>5141578.8914585393</v>
      </c>
      <c r="H18" s="6">
        <v>4099588.8488806286</v>
      </c>
      <c r="I18" s="6">
        <v>1041990.0425779112</v>
      </c>
      <c r="J18" s="6">
        <v>2677009</v>
      </c>
      <c r="K18" s="6">
        <v>2833552</v>
      </c>
      <c r="L18" s="6">
        <v>24219.827586206891</v>
      </c>
      <c r="M18" s="6">
        <f>21233+15198</f>
        <v>36431</v>
      </c>
      <c r="N18" s="6">
        <v>86898</v>
      </c>
      <c r="O18" s="6">
        <v>39316</v>
      </c>
      <c r="P18" s="6">
        <v>9752</v>
      </c>
      <c r="Q18" s="6">
        <v>1033</v>
      </c>
      <c r="R18" s="6">
        <v>63370</v>
      </c>
      <c r="S18" s="6">
        <v>49218</v>
      </c>
      <c r="T18" s="6">
        <v>467016</v>
      </c>
      <c r="U18" s="6">
        <v>512619</v>
      </c>
      <c r="V18" s="6">
        <v>578857</v>
      </c>
      <c r="W18" s="6">
        <v>120851</v>
      </c>
      <c r="X18" s="6">
        <v>89005.172413793116</v>
      </c>
      <c r="Y18" s="6">
        <v>38749</v>
      </c>
      <c r="Z18" s="6"/>
      <c r="AA18" s="6">
        <v>11568</v>
      </c>
      <c r="AB18" s="6">
        <v>0</v>
      </c>
      <c r="AC18" s="6">
        <v>6953</v>
      </c>
      <c r="AD18" s="6">
        <v>0</v>
      </c>
      <c r="AE18" s="6">
        <v>947</v>
      </c>
      <c r="AF18" s="8">
        <v>3272.3477995926251</v>
      </c>
      <c r="AG18" s="8">
        <v>11790.7215831868</v>
      </c>
      <c r="AH18" s="9">
        <f t="shared" si="1"/>
        <v>3651237</v>
      </c>
      <c r="AI18" s="7">
        <f t="shared" si="2"/>
        <v>0.71013925431847924</v>
      </c>
      <c r="AJ18" s="9">
        <f t="shared" si="3"/>
        <v>-1490341.8914585393</v>
      </c>
      <c r="AK18" s="21">
        <f t="shared" si="4"/>
        <v>-8.0734558612284069E-2</v>
      </c>
      <c r="AL18" s="21">
        <f t="shared" si="5"/>
        <v>0.11549738262082576</v>
      </c>
      <c r="AM18" s="18">
        <f t="shared" si="6"/>
        <v>0.11814784166705847</v>
      </c>
      <c r="AN18" s="18">
        <f t="shared" si="7"/>
        <v>-0.10135681772964644</v>
      </c>
    </row>
    <row r="19" spans="1:40" hidden="1" x14ac:dyDescent="0.3">
      <c r="A19" s="11">
        <v>45674</v>
      </c>
      <c r="B19" s="6">
        <v>33022574</v>
      </c>
      <c r="C19" s="6">
        <v>2440974.5862068967</v>
      </c>
      <c r="D19" s="7">
        <v>3.783393598895169E-2</v>
      </c>
      <c r="E19" s="6">
        <v>32703579</v>
      </c>
      <c r="F19" s="11">
        <v>46038</v>
      </c>
      <c r="G19" s="6">
        <v>4163123.7721055751</v>
      </c>
      <c r="H19" s="6">
        <v>3319426.9995519533</v>
      </c>
      <c r="I19" s="6">
        <v>843696.77255362272</v>
      </c>
      <c r="J19" s="6">
        <v>1755653</v>
      </c>
      <c r="K19" s="6">
        <v>2640237</v>
      </c>
      <c r="L19" s="6">
        <v>19429.310344827587</v>
      </c>
      <c r="M19" s="6">
        <f>19101+16772</f>
        <v>35873</v>
      </c>
      <c r="N19" s="6">
        <v>37364</v>
      </c>
      <c r="O19" s="6">
        <v>-6459</v>
      </c>
      <c r="P19" s="6">
        <v>4728</v>
      </c>
      <c r="Q19" s="6">
        <v>3002</v>
      </c>
      <c r="R19" s="6">
        <v>83214</v>
      </c>
      <c r="S19" s="6">
        <v>52074</v>
      </c>
      <c r="T19" s="6">
        <v>307736</v>
      </c>
      <c r="U19" s="6">
        <v>435351</v>
      </c>
      <c r="V19" s="6">
        <v>197102</v>
      </c>
      <c r="W19" s="6">
        <v>150561</v>
      </c>
      <c r="X19" s="6">
        <v>55177.586206896558</v>
      </c>
      <c r="Y19" s="6">
        <v>53754</v>
      </c>
      <c r="Z19" s="6"/>
      <c r="AA19" s="6">
        <v>6324</v>
      </c>
      <c r="AB19" s="6">
        <v>0</v>
      </c>
      <c r="AC19" s="6">
        <v>8858</v>
      </c>
      <c r="AD19" s="6">
        <v>0</v>
      </c>
      <c r="AE19" s="6">
        <v>947</v>
      </c>
      <c r="AF19" s="8">
        <v>2649.6119582474917</v>
      </c>
      <c r="AG19" s="8">
        <v>9546.9182423297789</v>
      </c>
      <c r="AH19" s="9">
        <f t="shared" si="1"/>
        <v>3380522</v>
      </c>
      <c r="AI19" s="7">
        <f t="shared" si="2"/>
        <v>0.81201573266947091</v>
      </c>
      <c r="AJ19" s="9">
        <f t="shared" si="3"/>
        <v>-782601.77210557507</v>
      </c>
      <c r="AK19" s="21">
        <f t="shared" si="4"/>
        <v>0.38490667584257565</v>
      </c>
      <c r="AL19" s="21">
        <f t="shared" si="5"/>
        <v>7.3918362215098579E-2</v>
      </c>
      <c r="AM19" s="18">
        <f t="shared" si="6"/>
        <v>0.10336856403392423</v>
      </c>
      <c r="AN19" s="18">
        <f t="shared" si="7"/>
        <v>-9.6599071895485666E-3</v>
      </c>
    </row>
    <row r="20" spans="1:40" hidden="1" x14ac:dyDescent="0.3">
      <c r="A20" s="11">
        <v>45675</v>
      </c>
      <c r="B20" s="6">
        <v>45185011</v>
      </c>
      <c r="C20" s="6">
        <v>3359527.3103448274</v>
      </c>
      <c r="D20" s="7">
        <v>3.3407529338029818E-2</v>
      </c>
      <c r="E20" s="6">
        <v>45086574</v>
      </c>
      <c r="F20" s="11">
        <v>46039</v>
      </c>
      <c r="G20" s="6">
        <v>3676056.321369275</v>
      </c>
      <c r="H20" s="6">
        <v>2931068.4171312102</v>
      </c>
      <c r="I20" s="6">
        <v>744987.90423806489</v>
      </c>
      <c r="J20" s="6">
        <v>2608520</v>
      </c>
      <c r="K20" s="6">
        <v>2128824</v>
      </c>
      <c r="L20" s="6">
        <v>28299.999999999993</v>
      </c>
      <c r="M20" s="6">
        <f>23452+18396</f>
        <v>41848</v>
      </c>
      <c r="N20" s="6">
        <v>17517</v>
      </c>
      <c r="O20" s="6">
        <v>39673</v>
      </c>
      <c r="P20" s="6">
        <v>6155</v>
      </c>
      <c r="Q20" s="6">
        <v>3597</v>
      </c>
      <c r="R20" s="6">
        <v>63991</v>
      </c>
      <c r="S20" s="6">
        <v>57603</v>
      </c>
      <c r="T20" s="6">
        <v>488099</v>
      </c>
      <c r="U20" s="6">
        <v>457229</v>
      </c>
      <c r="V20" s="6">
        <v>140441</v>
      </c>
      <c r="W20" s="6">
        <v>118233</v>
      </c>
      <c r="X20" s="6">
        <v>34804.310344827587</v>
      </c>
      <c r="Y20" s="6">
        <v>37402</v>
      </c>
      <c r="Z20" s="6"/>
      <c r="AA20" s="6">
        <v>6671</v>
      </c>
      <c r="AB20" s="6">
        <v>0</v>
      </c>
      <c r="AC20" s="6">
        <v>930</v>
      </c>
      <c r="AD20" s="6">
        <v>0</v>
      </c>
      <c r="AE20" s="6">
        <v>0</v>
      </c>
      <c r="AF20" s="8">
        <v>2339.6188346725689</v>
      </c>
      <c r="AG20" s="8">
        <v>8429.9701559346358</v>
      </c>
      <c r="AH20" s="9">
        <f t="shared" si="1"/>
        <v>2892010</v>
      </c>
      <c r="AI20" s="7">
        <f t="shared" si="2"/>
        <v>0.78671536754985583</v>
      </c>
      <c r="AJ20" s="9">
        <f t="shared" si="3"/>
        <v>-784046.32136927499</v>
      </c>
      <c r="AK20" s="21">
        <f t="shared" si="4"/>
        <v>-0.13916163411002025</v>
      </c>
      <c r="AL20" s="21">
        <f t="shared" si="5"/>
        <v>7.4350481188215869E-2</v>
      </c>
      <c r="AM20" s="18">
        <f t="shared" si="6"/>
        <v>6.4143485375491166E-2</v>
      </c>
      <c r="AN20" s="18">
        <f t="shared" si="7"/>
        <v>-2.178532168554792E-3</v>
      </c>
    </row>
    <row r="21" spans="1:40" hidden="1" x14ac:dyDescent="0.3">
      <c r="A21" s="11">
        <v>45676</v>
      </c>
      <c r="B21" s="6">
        <v>42370788</v>
      </c>
      <c r="C21" s="6">
        <v>2566171.8620689656</v>
      </c>
      <c r="D21" s="7">
        <v>3.145580570938139E-2</v>
      </c>
      <c r="E21" s="6">
        <v>44463837</v>
      </c>
      <c r="F21" s="11">
        <v>46040</v>
      </c>
      <c r="G21" s="6">
        <v>3461294.9749056352</v>
      </c>
      <c r="H21" s="6">
        <v>2759830.5075864303</v>
      </c>
      <c r="I21" s="6">
        <v>701464.46731920505</v>
      </c>
      <c r="J21" s="6">
        <v>2053218</v>
      </c>
      <c r="K21" s="6">
        <v>2552466</v>
      </c>
      <c r="L21" s="6">
        <v>25069.827586206891</v>
      </c>
      <c r="M21" s="6">
        <f>20869+16163</f>
        <v>37032</v>
      </c>
      <c r="N21" s="6">
        <v>22533</v>
      </c>
      <c r="O21" s="6">
        <v>-1059</v>
      </c>
      <c r="P21" s="6">
        <v>9941</v>
      </c>
      <c r="Q21" s="6">
        <v>2557</v>
      </c>
      <c r="R21" s="6">
        <v>65234</v>
      </c>
      <c r="S21" s="6">
        <v>43820</v>
      </c>
      <c r="T21" s="6">
        <v>193047</v>
      </c>
      <c r="U21" s="6">
        <v>167676</v>
      </c>
      <c r="V21" s="6">
        <v>170098</v>
      </c>
      <c r="W21" s="6">
        <v>113618</v>
      </c>
      <c r="X21" s="6">
        <v>52100.862068965522</v>
      </c>
      <c r="Y21" s="6">
        <v>53156</v>
      </c>
      <c r="Z21" s="6"/>
      <c r="AA21" s="6">
        <v>3354</v>
      </c>
      <c r="AB21" s="6">
        <v>0</v>
      </c>
      <c r="AC21" s="6">
        <v>586</v>
      </c>
      <c r="AD21" s="6">
        <v>0</v>
      </c>
      <c r="AE21" s="6">
        <v>0</v>
      </c>
      <c r="AF21" s="8">
        <v>2202.9343969981173</v>
      </c>
      <c r="AG21" s="8">
        <v>7937.4772278985229</v>
      </c>
      <c r="AH21" s="9">
        <f t="shared" si="1"/>
        <v>2973206</v>
      </c>
      <c r="AI21" s="7">
        <f t="shared" si="2"/>
        <v>0.85898659939581079</v>
      </c>
      <c r="AJ21" s="9">
        <f t="shared" si="3"/>
        <v>-488088.97490563523</v>
      </c>
      <c r="AK21" s="21">
        <f t="shared" si="4"/>
        <v>0.15861530708347216</v>
      </c>
      <c r="AL21" s="21">
        <f t="shared" si="5"/>
        <v>6.0564648032247252E-2</v>
      </c>
      <c r="AM21" s="18">
        <f t="shared" si="6"/>
        <v>6.6867958336569111E-2</v>
      </c>
      <c r="AN21" s="18">
        <f t="shared" si="7"/>
        <v>4.93983968388787E-2</v>
      </c>
    </row>
    <row r="22" spans="1:40" hidden="1" x14ac:dyDescent="0.3">
      <c r="A22" s="11">
        <v>45677</v>
      </c>
      <c r="B22" s="6">
        <v>24300769</v>
      </c>
      <c r="C22" s="6">
        <v>3956907.5862068967</v>
      </c>
      <c r="D22" s="7">
        <v>3.3174073554717076E-2</v>
      </c>
      <c r="E22" s="6">
        <v>25877600</v>
      </c>
      <c r="F22" s="11">
        <v>46041</v>
      </c>
      <c r="G22" s="6">
        <v>3650367.603136823</v>
      </c>
      <c r="H22" s="6">
        <v>2910585.7628666325</v>
      </c>
      <c r="I22" s="6">
        <v>739781.84027019085</v>
      </c>
      <c r="J22" s="6">
        <v>3076707</v>
      </c>
      <c r="K22" s="6">
        <v>3650682</v>
      </c>
      <c r="L22" s="6">
        <v>24870.689655172406</v>
      </c>
      <c r="M22" s="6">
        <f>16838+12441</f>
        <v>29279</v>
      </c>
      <c r="N22" s="6">
        <v>62489</v>
      </c>
      <c r="O22" s="6">
        <v>39416</v>
      </c>
      <c r="P22" s="6">
        <v>2112</v>
      </c>
      <c r="Q22" s="6">
        <v>1876</v>
      </c>
      <c r="R22" s="6">
        <v>23575</v>
      </c>
      <c r="S22" s="6">
        <v>66465</v>
      </c>
      <c r="T22" s="6">
        <v>601975</v>
      </c>
      <c r="U22" s="6">
        <v>827888</v>
      </c>
      <c r="V22" s="6">
        <v>119622</v>
      </c>
      <c r="W22" s="6">
        <v>129619</v>
      </c>
      <c r="X22" s="6">
        <v>70427.586206896551</v>
      </c>
      <c r="Y22" s="6">
        <v>40872</v>
      </c>
      <c r="Z22" s="6"/>
      <c r="AA22" s="6">
        <v>7344</v>
      </c>
      <c r="AB22" s="6">
        <v>0</v>
      </c>
      <c r="AC22" s="6">
        <v>6161</v>
      </c>
      <c r="AD22" s="6">
        <v>0</v>
      </c>
      <c r="AE22" s="6">
        <v>861</v>
      </c>
      <c r="AF22" s="8">
        <v>2323.2693003452891</v>
      </c>
      <c r="AG22" s="8">
        <v>8371.0605231346908</v>
      </c>
      <c r="AH22" s="9">
        <f t="shared" si="1"/>
        <v>4800463</v>
      </c>
      <c r="AI22" s="7">
        <f t="shared" si="2"/>
        <v>1.3150628982886219</v>
      </c>
      <c r="AJ22" s="9">
        <f t="shared" si="3"/>
        <v>1150095.396863177</v>
      </c>
      <c r="AK22" s="21">
        <f t="shared" si="4"/>
        <v>0.21318552314276773</v>
      </c>
      <c r="AL22" s="21">
        <f t="shared" si="5"/>
        <v>0.16283055018575324</v>
      </c>
      <c r="AM22" s="18">
        <f t="shared" si="6"/>
        <v>0.18550649982996878</v>
      </c>
      <c r="AN22" s="18">
        <f t="shared" si="7"/>
        <v>6.4888111154013384E-2</v>
      </c>
    </row>
    <row r="23" spans="1:40" hidden="1" x14ac:dyDescent="0.3">
      <c r="A23" s="11">
        <v>45678</v>
      </c>
      <c r="B23" s="6">
        <v>25245959</v>
      </c>
      <c r="C23" s="6">
        <v>4120916.9310344825</v>
      </c>
      <c r="D23" s="7">
        <v>4.5878704901905855E-2</v>
      </c>
      <c r="E23" s="6">
        <v>26671750</v>
      </c>
      <c r="F23" s="11">
        <v>46042</v>
      </c>
      <c r="G23" s="6">
        <v>5048344.0862805424</v>
      </c>
      <c r="H23" s="6">
        <v>4025248.9669680423</v>
      </c>
      <c r="I23" s="6">
        <v>1023095.1193125006</v>
      </c>
      <c r="J23" s="6">
        <v>2989998</v>
      </c>
      <c r="K23" s="6">
        <v>3539014</v>
      </c>
      <c r="L23" s="6">
        <v>20874.999999999993</v>
      </c>
      <c r="M23" s="6">
        <f>16964+18297</f>
        <v>35261</v>
      </c>
      <c r="N23" s="6">
        <v>56684</v>
      </c>
      <c r="O23" s="6">
        <v>50393</v>
      </c>
      <c r="P23" s="6">
        <v>6612</v>
      </c>
      <c r="Q23" s="6">
        <v>1403</v>
      </c>
      <c r="R23" s="6">
        <v>40784</v>
      </c>
      <c r="S23" s="6">
        <v>82775</v>
      </c>
      <c r="T23" s="6">
        <v>884541</v>
      </c>
      <c r="U23" s="6">
        <v>541048</v>
      </c>
      <c r="V23" s="6">
        <v>85285</v>
      </c>
      <c r="W23" s="6">
        <v>103829</v>
      </c>
      <c r="X23" s="6">
        <v>57012.931034482761</v>
      </c>
      <c r="Y23" s="6">
        <v>59350</v>
      </c>
      <c r="Z23" s="6"/>
      <c r="AA23" s="6">
        <v>5233</v>
      </c>
      <c r="AB23" s="6">
        <v>0</v>
      </c>
      <c r="AC23" s="6">
        <v>8443</v>
      </c>
      <c r="AD23" s="6">
        <v>0</v>
      </c>
      <c r="AE23" s="6">
        <v>0</v>
      </c>
      <c r="AF23" s="8">
        <v>3213.0086907292939</v>
      </c>
      <c r="AG23" s="8">
        <v>11576.914569247434</v>
      </c>
      <c r="AH23" s="9">
        <f t="shared" si="1"/>
        <v>4426749</v>
      </c>
      <c r="AI23" s="7">
        <f t="shared" si="2"/>
        <v>0.87687148980795526</v>
      </c>
      <c r="AJ23" s="9">
        <f t="shared" si="3"/>
        <v>-621595.08628054243</v>
      </c>
      <c r="AK23" s="21">
        <f t="shared" si="4"/>
        <v>7.4214567797352693E-2</v>
      </c>
      <c r="AL23" s="21">
        <f t="shared" si="5"/>
        <v>0.1632307543173338</v>
      </c>
      <c r="AM23" s="18">
        <f t="shared" si="6"/>
        <v>0.16597144919249768</v>
      </c>
      <c r="AN23" s="18">
        <f t="shared" si="7"/>
        <v>5.6476008695094615E-2</v>
      </c>
    </row>
    <row r="24" spans="1:40" hidden="1" x14ac:dyDescent="0.3">
      <c r="A24" s="11">
        <v>45679</v>
      </c>
      <c r="B24" s="6">
        <v>27309440</v>
      </c>
      <c r="C24" s="6">
        <v>3457831.2068965519</v>
      </c>
      <c r="D24" s="7">
        <v>4.1722868152034978E-2</v>
      </c>
      <c r="E24" s="6">
        <v>28758026</v>
      </c>
      <c r="F24" s="11">
        <v>46043</v>
      </c>
      <c r="G24" s="6">
        <v>4591049.2710799836</v>
      </c>
      <c r="H24" s="6">
        <v>3660629.3112896048</v>
      </c>
      <c r="I24" s="6">
        <v>930419.95979037997</v>
      </c>
      <c r="J24" s="6">
        <v>2824865</v>
      </c>
      <c r="K24" s="6">
        <v>3499850</v>
      </c>
      <c r="L24" s="6">
        <v>19287.068965517239</v>
      </c>
      <c r="M24" s="6">
        <f>13419+17382</f>
        <v>30801</v>
      </c>
      <c r="N24" s="6">
        <v>90551</v>
      </c>
      <c r="O24" s="6">
        <v>35803</v>
      </c>
      <c r="P24" s="6">
        <v>1592</v>
      </c>
      <c r="Q24" s="6">
        <v>5841</v>
      </c>
      <c r="R24" s="6">
        <v>36254</v>
      </c>
      <c r="S24" s="6">
        <v>48687</v>
      </c>
      <c r="T24" s="6">
        <v>374553</v>
      </c>
      <c r="U24" s="6">
        <v>482866</v>
      </c>
      <c r="V24" s="6">
        <v>69855</v>
      </c>
      <c r="W24" s="6">
        <v>118197</v>
      </c>
      <c r="X24" s="6">
        <v>60161.206896551732</v>
      </c>
      <c r="Y24" s="6">
        <v>45226</v>
      </c>
      <c r="Z24" s="6"/>
      <c r="AA24" s="6">
        <v>2767</v>
      </c>
      <c r="AB24" s="6">
        <v>0</v>
      </c>
      <c r="AC24" s="6">
        <v>9702</v>
      </c>
      <c r="AD24" s="6">
        <v>0</v>
      </c>
      <c r="AE24" s="6">
        <v>0</v>
      </c>
      <c r="AF24" s="8">
        <v>2921.9643026381941</v>
      </c>
      <c r="AG24" s="8">
        <v>10528.241396805823</v>
      </c>
      <c r="AH24" s="9">
        <f t="shared" si="1"/>
        <v>4279740</v>
      </c>
      <c r="AI24" s="7">
        <f t="shared" si="2"/>
        <v>0.93219213023023118</v>
      </c>
      <c r="AJ24" s="9">
        <f t="shared" si="3"/>
        <v>-311309.27107998356</v>
      </c>
      <c r="AK24" s="21">
        <f t="shared" si="4"/>
        <v>0.23769488558729335</v>
      </c>
      <c r="AL24" s="21">
        <f t="shared" si="5"/>
        <v>0.12661670129070943</v>
      </c>
      <c r="AM24" s="18">
        <f t="shared" si="6"/>
        <v>0.14881897665715998</v>
      </c>
      <c r="AN24" s="18">
        <f t="shared" si="7"/>
        <v>5.304341648895039E-2</v>
      </c>
    </row>
    <row r="25" spans="1:40" hidden="1" x14ac:dyDescent="0.3">
      <c r="A25" s="11">
        <v>45680</v>
      </c>
      <c r="B25" s="6">
        <v>28851940</v>
      </c>
      <c r="C25" s="6">
        <v>2305100.7241379311</v>
      </c>
      <c r="D25" s="7">
        <v>3.7020404871962696E-2</v>
      </c>
      <c r="E25" s="6">
        <v>30590251</v>
      </c>
      <c r="F25" s="11">
        <v>46044</v>
      </c>
      <c r="G25" s="6">
        <v>4073605.4430193943</v>
      </c>
      <c r="H25" s="6">
        <v>3248050.4143746267</v>
      </c>
      <c r="I25" s="6">
        <v>825555.02864476817</v>
      </c>
      <c r="J25" s="6">
        <v>1807653</v>
      </c>
      <c r="K25" s="6">
        <v>2626517</v>
      </c>
      <c r="L25" s="6">
        <v>22197.413793103442</v>
      </c>
      <c r="M25" s="6">
        <f>13884+15409</f>
        <v>29293</v>
      </c>
      <c r="N25" s="6">
        <v>61174</v>
      </c>
      <c r="O25" s="6">
        <v>89330</v>
      </c>
      <c r="P25" s="6">
        <v>1316</v>
      </c>
      <c r="Q25" s="6">
        <v>878</v>
      </c>
      <c r="R25" s="6">
        <v>49423</v>
      </c>
      <c r="S25" s="6">
        <v>73394</v>
      </c>
      <c r="T25" s="6">
        <v>276672</v>
      </c>
      <c r="U25" s="6">
        <v>421869</v>
      </c>
      <c r="V25" s="6">
        <v>49661</v>
      </c>
      <c r="W25" s="6">
        <v>87416</v>
      </c>
      <c r="X25" s="6">
        <v>59201.724137931036</v>
      </c>
      <c r="Y25" s="6">
        <v>44135</v>
      </c>
      <c r="Z25" s="6"/>
      <c r="AA25" s="6">
        <v>5521</v>
      </c>
      <c r="AB25" s="6">
        <v>0</v>
      </c>
      <c r="AC25" s="6">
        <v>12903</v>
      </c>
      <c r="AD25" s="6">
        <v>0</v>
      </c>
      <c r="AE25" s="6">
        <v>0</v>
      </c>
      <c r="AF25" s="8">
        <v>2592.638193302445</v>
      </c>
      <c r="AG25" s="8">
        <v>9341.6338895795598</v>
      </c>
      <c r="AH25" s="9">
        <f t="shared" si="1"/>
        <v>3391256</v>
      </c>
      <c r="AI25" s="7">
        <f t="shared" si="2"/>
        <v>0.83249495991599265</v>
      </c>
      <c r="AJ25" s="9">
        <f t="shared" si="3"/>
        <v>-682349.4430193943</v>
      </c>
      <c r="AK25" s="21">
        <f t="shared" si="4"/>
        <v>0.4711964490264402</v>
      </c>
      <c r="AL25" s="21">
        <f t="shared" si="5"/>
        <v>7.9894132739009277E-2</v>
      </c>
      <c r="AM25" s="18">
        <f t="shared" si="6"/>
        <v>0.11086067910982489</v>
      </c>
      <c r="AN25" s="18">
        <f t="shared" si="7"/>
        <v>6.0249362781150895E-2</v>
      </c>
    </row>
    <row r="26" spans="1:40" hidden="1" x14ac:dyDescent="0.3">
      <c r="A26" s="11">
        <v>45681</v>
      </c>
      <c r="B26" s="6">
        <v>31893984</v>
      </c>
      <c r="C26" s="6">
        <v>1987877.6206896552</v>
      </c>
      <c r="D26" s="7">
        <v>2.6786319014382099E-2</v>
      </c>
      <c r="E26" s="6">
        <v>31338795</v>
      </c>
      <c r="F26" s="11">
        <v>46045</v>
      </c>
      <c r="G26" s="6">
        <v>2947479.7834553183</v>
      </c>
      <c r="H26" s="6">
        <v>2350144.8694345979</v>
      </c>
      <c r="I26" s="6">
        <v>597334.91402072075</v>
      </c>
      <c r="J26" s="6">
        <v>1482089</v>
      </c>
      <c r="K26" s="6">
        <v>2207677</v>
      </c>
      <c r="L26" s="6">
        <v>19311.206896551714</v>
      </c>
      <c r="M26" s="6">
        <f>14447+12553</f>
        <v>27000</v>
      </c>
      <c r="N26" s="6">
        <v>70610</v>
      </c>
      <c r="O26" s="6">
        <v>50125</v>
      </c>
      <c r="P26" s="6">
        <v>2246</v>
      </c>
      <c r="Q26" s="6">
        <v>1962</v>
      </c>
      <c r="R26" s="6">
        <v>52560</v>
      </c>
      <c r="S26" s="6">
        <v>62478</v>
      </c>
      <c r="T26" s="6">
        <v>296224</v>
      </c>
      <c r="U26" s="6">
        <v>395456</v>
      </c>
      <c r="V26" s="6">
        <v>49215</v>
      </c>
      <c r="W26" s="6">
        <v>87113</v>
      </c>
      <c r="X26" s="6">
        <v>34933.620689655174</v>
      </c>
      <c r="Y26" s="6">
        <v>29785</v>
      </c>
      <c r="Z26" s="6"/>
      <c r="AA26" s="6">
        <v>3177</v>
      </c>
      <c r="AB26" s="6">
        <v>0</v>
      </c>
      <c r="AC26" s="6">
        <v>1034</v>
      </c>
      <c r="AD26" s="6">
        <v>0</v>
      </c>
      <c r="AE26" s="6">
        <v>947</v>
      </c>
      <c r="AF26" s="8">
        <v>1875.9177263149334</v>
      </c>
      <c r="AG26" s="8">
        <v>6759.1909474591048</v>
      </c>
      <c r="AH26" s="9">
        <f t="shared" si="1"/>
        <v>2866754</v>
      </c>
      <c r="AI26" s="7">
        <f t="shared" si="2"/>
        <v>0.97261192972096189</v>
      </c>
      <c r="AJ26" s="9">
        <f t="shared" si="3"/>
        <v>-80725.783455318306</v>
      </c>
      <c r="AK26" s="21">
        <f t="shared" si="4"/>
        <v>0.44211795040251811</v>
      </c>
      <c r="AL26" s="21">
        <f t="shared" si="5"/>
        <v>6.2327667208011868E-2</v>
      </c>
      <c r="AM26" s="18">
        <f t="shared" si="6"/>
        <v>9.1476203855317351E-2</v>
      </c>
      <c r="AN26" s="18">
        <f t="shared" si="7"/>
        <v>-1.7407326723434702E-2</v>
      </c>
    </row>
    <row r="27" spans="1:40" hidden="1" x14ac:dyDescent="0.3">
      <c r="A27" s="11">
        <v>45682</v>
      </c>
      <c r="B27" s="6">
        <v>39659176</v>
      </c>
      <c r="C27" s="6">
        <v>1569694.3103448276</v>
      </c>
      <c r="D27" s="7">
        <v>2.3470210259515893E-2</v>
      </c>
      <c r="E27" s="6">
        <v>40446079</v>
      </c>
      <c r="F27" s="11">
        <v>46046</v>
      </c>
      <c r="G27" s="6">
        <v>2582585.9169460977</v>
      </c>
      <c r="H27" s="6">
        <v>2059200.228158894</v>
      </c>
      <c r="I27" s="6">
        <v>523385.68878720445</v>
      </c>
      <c r="J27" s="6">
        <v>1125243</v>
      </c>
      <c r="K27" s="6">
        <v>1954073</v>
      </c>
      <c r="L27" s="6">
        <v>21284.482758620688</v>
      </c>
      <c r="M27" s="6">
        <f>17029+13804</f>
        <v>30833</v>
      </c>
      <c r="N27" s="6">
        <v>11116</v>
      </c>
      <c r="O27" s="6">
        <v>29064</v>
      </c>
      <c r="P27" s="6">
        <v>430</v>
      </c>
      <c r="Q27" s="6">
        <v>1720</v>
      </c>
      <c r="R27" s="6">
        <v>56626</v>
      </c>
      <c r="S27" s="6">
        <v>60413</v>
      </c>
      <c r="T27" s="6">
        <v>295266</v>
      </c>
      <c r="U27" s="6">
        <v>400858</v>
      </c>
      <c r="V27" s="6">
        <v>41484</v>
      </c>
      <c r="W27" s="6">
        <v>71989</v>
      </c>
      <c r="X27" s="6">
        <v>39529.310344827587</v>
      </c>
      <c r="Y27" s="6">
        <v>36844</v>
      </c>
      <c r="Z27" s="6"/>
      <c r="AA27" s="6">
        <v>3208</v>
      </c>
      <c r="AB27" s="6">
        <v>0</v>
      </c>
      <c r="AC27" s="6">
        <v>0</v>
      </c>
      <c r="AD27" s="6">
        <v>0</v>
      </c>
      <c r="AE27" s="6">
        <v>0</v>
      </c>
      <c r="AF27" s="8">
        <v>1643.6817407619492</v>
      </c>
      <c r="AG27" s="8">
        <v>5922.4125806873608</v>
      </c>
      <c r="AH27" s="9">
        <f t="shared" si="1"/>
        <v>2589002</v>
      </c>
      <c r="AI27" s="7">
        <f t="shared" si="2"/>
        <v>1.0024843638354108</v>
      </c>
      <c r="AJ27" s="9">
        <f t="shared" si="3"/>
        <v>6416.0830539022572</v>
      </c>
      <c r="AK27" s="21">
        <f t="shared" si="4"/>
        <v>0.64936700282187609</v>
      </c>
      <c r="AL27" s="21">
        <f t="shared" si="5"/>
        <v>3.9579599695788628E-2</v>
      </c>
      <c r="AM27" s="18">
        <f t="shared" si="6"/>
        <v>6.4011198712241049E-2</v>
      </c>
      <c r="AN27" s="18">
        <f t="shared" si="7"/>
        <v>1.9841637657827205E-2</v>
      </c>
    </row>
    <row r="28" spans="1:40" hidden="1" x14ac:dyDescent="0.3">
      <c r="A28" s="11">
        <v>45683</v>
      </c>
      <c r="B28" s="6">
        <v>37682085</v>
      </c>
      <c r="C28" s="6">
        <v>1985322.2413793104</v>
      </c>
      <c r="D28" s="7">
        <v>2.0385724630830836E-2</v>
      </c>
      <c r="E28" s="6">
        <v>40762958</v>
      </c>
      <c r="F28" s="11">
        <v>46047</v>
      </c>
      <c r="G28" s="6">
        <v>2243179.1090145456</v>
      </c>
      <c r="H28" s="6">
        <v>1788577.4497470183</v>
      </c>
      <c r="I28" s="6">
        <v>454601.65926752763</v>
      </c>
      <c r="J28" s="6">
        <v>1658716</v>
      </c>
      <c r="K28" s="6">
        <v>2194390</v>
      </c>
      <c r="L28" s="6">
        <v>18636.206896551717</v>
      </c>
      <c r="M28" s="6">
        <f>16696+14416</f>
        <v>31112</v>
      </c>
      <c r="N28" s="6">
        <v>20959</v>
      </c>
      <c r="O28" s="6">
        <v>5527</v>
      </c>
      <c r="P28" s="6">
        <v>6107</v>
      </c>
      <c r="Q28" s="6">
        <v>1670</v>
      </c>
      <c r="R28" s="6">
        <v>42996</v>
      </c>
      <c r="S28" s="6">
        <v>80142</v>
      </c>
      <c r="T28" s="6">
        <v>181222</v>
      </c>
      <c r="U28" s="6">
        <v>329347</v>
      </c>
      <c r="V28" s="6">
        <v>38455</v>
      </c>
      <c r="W28" s="6">
        <v>91250</v>
      </c>
      <c r="X28" s="6">
        <v>36867.241379310348</v>
      </c>
      <c r="Y28" s="6">
        <v>31562</v>
      </c>
      <c r="Z28" s="6"/>
      <c r="AA28" s="6">
        <v>3487</v>
      </c>
      <c r="AB28" s="6">
        <v>0</v>
      </c>
      <c r="AC28" s="6">
        <v>1118</v>
      </c>
      <c r="AD28" s="6">
        <v>0</v>
      </c>
      <c r="AE28" s="6">
        <v>0</v>
      </c>
      <c r="AF28" s="8">
        <v>1427.6669436445397</v>
      </c>
      <c r="AG28" s="8">
        <v>5144.0813987216079</v>
      </c>
      <c r="AH28" s="9">
        <f t="shared" si="1"/>
        <v>2769605</v>
      </c>
      <c r="AI28" s="7">
        <f t="shared" si="2"/>
        <v>1.2346784921765428</v>
      </c>
      <c r="AJ28" s="9">
        <f t="shared" si="3"/>
        <v>526425.89098545443</v>
      </c>
      <c r="AK28" s="21">
        <f t="shared" si="4"/>
        <v>0.39504053411289353</v>
      </c>
      <c r="AL28" s="21">
        <f t="shared" si="5"/>
        <v>5.2686103791212996E-2</v>
      </c>
      <c r="AM28" s="18">
        <f t="shared" si="6"/>
        <v>6.7944161461491584E-2</v>
      </c>
      <c r="AN28" s="18">
        <f t="shared" si="7"/>
        <v>8.1759621316070952E-2</v>
      </c>
    </row>
    <row r="29" spans="1:40" hidden="1" x14ac:dyDescent="0.3">
      <c r="A29" s="11">
        <v>45684</v>
      </c>
      <c r="B29" s="6">
        <v>22768991</v>
      </c>
      <c r="C29" s="6">
        <v>2910562.1724137929</v>
      </c>
      <c r="D29" s="7">
        <v>2.6183239898551234E-2</v>
      </c>
      <c r="E29" s="6">
        <v>22718693</v>
      </c>
      <c r="F29" s="11">
        <v>46048</v>
      </c>
      <c r="G29" s="6">
        <v>2881118.9109225459</v>
      </c>
      <c r="H29" s="6">
        <v>2297232.6611848539</v>
      </c>
      <c r="I29" s="6">
        <v>583886.24973769253</v>
      </c>
      <c r="J29" s="6">
        <v>2308167</v>
      </c>
      <c r="K29" s="6">
        <v>3117837</v>
      </c>
      <c r="L29" s="6">
        <v>20571.551724137928</v>
      </c>
      <c r="M29" s="6">
        <f>12809+10481</f>
        <v>23290</v>
      </c>
      <c r="N29" s="6">
        <v>48184</v>
      </c>
      <c r="O29" s="6">
        <v>4291</v>
      </c>
      <c r="P29" s="6">
        <v>6325</v>
      </c>
      <c r="Q29" s="6">
        <v>1531</v>
      </c>
      <c r="R29" s="6">
        <v>38707</v>
      </c>
      <c r="S29" s="6">
        <v>43342</v>
      </c>
      <c r="T29" s="6">
        <v>428538</v>
      </c>
      <c r="U29" s="6">
        <v>517922</v>
      </c>
      <c r="V29" s="6">
        <v>34661</v>
      </c>
      <c r="W29" s="6">
        <v>78533</v>
      </c>
      <c r="X29" s="6">
        <v>45980.172413793109</v>
      </c>
      <c r="Y29" s="6">
        <v>42966</v>
      </c>
      <c r="Z29" s="6"/>
      <c r="AA29" s="6">
        <v>8314</v>
      </c>
      <c r="AB29" s="6">
        <v>0</v>
      </c>
      <c r="AC29" s="6">
        <v>10462</v>
      </c>
      <c r="AD29" s="6">
        <v>0</v>
      </c>
      <c r="AE29" s="6">
        <v>1378</v>
      </c>
      <c r="AF29" s="8">
        <v>1833.6824791669385</v>
      </c>
      <c r="AG29" s="8">
        <v>6607.0115121982544</v>
      </c>
      <c r="AH29" s="9">
        <f t="shared" si="1"/>
        <v>3849866</v>
      </c>
      <c r="AI29" s="7">
        <f t="shared" si="2"/>
        <v>1.3362398842355512</v>
      </c>
      <c r="AJ29" s="9">
        <f t="shared" si="3"/>
        <v>968747.08907745406</v>
      </c>
      <c r="AK29" s="21">
        <f t="shared" si="4"/>
        <v>0.32272247488436978</v>
      </c>
      <c r="AL29" s="21">
        <f t="shared" si="5"/>
        <v>0.1278300901613863</v>
      </c>
      <c r="AM29" s="18">
        <f t="shared" si="6"/>
        <v>0.16945807577927127</v>
      </c>
      <c r="AN29" s="18">
        <f t="shared" si="7"/>
        <v>-2.2090570460500114E-3</v>
      </c>
    </row>
    <row r="30" spans="1:40" hidden="1" x14ac:dyDescent="0.3">
      <c r="A30" s="11">
        <v>45685</v>
      </c>
      <c r="B30" s="6">
        <v>24294621</v>
      </c>
      <c r="C30" s="6">
        <v>3144910.2413793104</v>
      </c>
      <c r="D30" s="7">
        <v>3.5148621072795656E-2</v>
      </c>
      <c r="E30" s="6">
        <v>24708209</v>
      </c>
      <c r="F30" s="11">
        <v>46049</v>
      </c>
      <c r="G30" s="6">
        <v>3867640.4164667786</v>
      </c>
      <c r="H30" s="6">
        <v>3083826.1665434362</v>
      </c>
      <c r="I30" s="6">
        <v>783814.24992334319</v>
      </c>
      <c r="J30" s="6">
        <v>2650613</v>
      </c>
      <c r="K30" s="6">
        <v>3426615</v>
      </c>
      <c r="L30" s="6">
        <v>24700.8620689655</v>
      </c>
      <c r="M30" s="6">
        <f>16341+11476</f>
        <v>27817</v>
      </c>
      <c r="N30" s="6">
        <v>92321</v>
      </c>
      <c r="O30" s="6">
        <v>57382</v>
      </c>
      <c r="P30" s="6">
        <v>6877</v>
      </c>
      <c r="Q30" s="6">
        <v>5403</v>
      </c>
      <c r="R30" s="6">
        <v>49308</v>
      </c>
      <c r="S30" s="6">
        <v>52302</v>
      </c>
      <c r="T30" s="6">
        <v>276028</v>
      </c>
      <c r="U30" s="6">
        <v>411232</v>
      </c>
      <c r="V30" s="6">
        <v>43571</v>
      </c>
      <c r="W30" s="6">
        <v>82440</v>
      </c>
      <c r="X30" s="6">
        <v>26192.241379310348</v>
      </c>
      <c r="Y30" s="6">
        <v>37763</v>
      </c>
      <c r="Z30" s="6"/>
      <c r="AA30" s="6">
        <v>5270</v>
      </c>
      <c r="AB30" s="6">
        <v>0</v>
      </c>
      <c r="AC30" s="6">
        <v>1490</v>
      </c>
      <c r="AD30" s="6">
        <v>0</v>
      </c>
      <c r="AE30" s="6">
        <v>0</v>
      </c>
      <c r="AF30" s="8">
        <v>2461.5521561802384</v>
      </c>
      <c r="AG30" s="8">
        <v>8869.3127728132913</v>
      </c>
      <c r="AH30" s="9">
        <f t="shared" si="1"/>
        <v>4107714</v>
      </c>
      <c r="AI30" s="7">
        <f t="shared" si="2"/>
        <v>1.062072363943424</v>
      </c>
      <c r="AJ30" s="9">
        <f t="shared" si="3"/>
        <v>240073.58353322139</v>
      </c>
      <c r="AK30" s="21">
        <f t="shared" si="4"/>
        <v>0.30614665752699466</v>
      </c>
      <c r="AL30" s="21">
        <f t="shared" si="5"/>
        <v>0.12944882907946209</v>
      </c>
      <c r="AM30" s="18">
        <f t="shared" si="6"/>
        <v>0.1662489579880112</v>
      </c>
      <c r="AN30" s="18">
        <f t="shared" si="7"/>
        <v>1.7023850670483842E-2</v>
      </c>
    </row>
    <row r="31" spans="1:40" hidden="1" x14ac:dyDescent="0.3">
      <c r="A31" s="11">
        <v>45686</v>
      </c>
      <c r="B31" s="6">
        <v>26915536</v>
      </c>
      <c r="C31" s="6">
        <v>2882235.6896551726</v>
      </c>
      <c r="D31" s="7">
        <v>3.7295595767376039E-2</v>
      </c>
      <c r="E31" s="6">
        <v>25710859</v>
      </c>
      <c r="F31" s="11">
        <v>46050</v>
      </c>
      <c r="G31" s="6">
        <v>4103886.5578073682</v>
      </c>
      <c r="H31" s="6">
        <v>3272194.7721948833</v>
      </c>
      <c r="I31" s="6">
        <v>831691.7856124856</v>
      </c>
      <c r="J31" s="6">
        <v>2438915</v>
      </c>
      <c r="K31" s="6">
        <v>2794957</v>
      </c>
      <c r="L31" s="6">
        <v>20333.620689655167</v>
      </c>
      <c r="M31" s="6">
        <f>128+1268</f>
        <v>1396</v>
      </c>
      <c r="N31" s="6">
        <v>55131</v>
      </c>
      <c r="O31" s="6">
        <v>24203</v>
      </c>
      <c r="P31" s="6">
        <v>6277</v>
      </c>
      <c r="Q31" s="6">
        <v>1791</v>
      </c>
      <c r="R31" s="6">
        <v>82493</v>
      </c>
      <c r="S31" s="6">
        <v>86934</v>
      </c>
      <c r="T31" s="6">
        <v>224454</v>
      </c>
      <c r="U31" s="6">
        <v>411456</v>
      </c>
      <c r="V31" s="6">
        <v>43095</v>
      </c>
      <c r="W31" s="6">
        <v>58025</v>
      </c>
      <c r="X31" s="6">
        <v>31870.689655172417</v>
      </c>
      <c r="Y31" s="6">
        <v>39072</v>
      </c>
      <c r="Z31" s="6"/>
      <c r="AA31" s="6">
        <v>4163</v>
      </c>
      <c r="AB31" s="6">
        <v>0</v>
      </c>
      <c r="AC31" s="6">
        <v>4865</v>
      </c>
      <c r="AD31" s="6">
        <v>0</v>
      </c>
      <c r="AE31" s="6">
        <v>0</v>
      </c>
      <c r="AF31" s="8">
        <v>2611.9105494089035</v>
      </c>
      <c r="AG31" s="8">
        <v>9411.0748533828482</v>
      </c>
      <c r="AH31" s="9">
        <f t="shared" si="1"/>
        <v>3426862</v>
      </c>
      <c r="AI31" s="7">
        <f t="shared" si="2"/>
        <v>0.83502844236291707</v>
      </c>
      <c r="AJ31" s="9">
        <f t="shared" si="3"/>
        <v>-677024.55780736823</v>
      </c>
      <c r="AK31" s="21">
        <f t="shared" si="4"/>
        <v>0.188959671930919</v>
      </c>
      <c r="AL31" s="21">
        <f t="shared" si="5"/>
        <v>0.10708446191282138</v>
      </c>
      <c r="AM31" s="18">
        <f t="shared" si="6"/>
        <v>0.1332846172117392</v>
      </c>
      <c r="AN31" s="18">
        <f t="shared" si="7"/>
        <v>-4.4757681957364737E-2</v>
      </c>
    </row>
    <row r="32" spans="1:40" hidden="1" x14ac:dyDescent="0.3">
      <c r="A32" s="11">
        <v>45687</v>
      </c>
      <c r="B32" s="6">
        <v>30731941</v>
      </c>
      <c r="C32" s="6">
        <v>2558066.7241379311</v>
      </c>
      <c r="D32" s="7">
        <v>3.5588559974030758E-2</v>
      </c>
      <c r="E32" s="6">
        <v>28535339</v>
      </c>
      <c r="F32" s="11">
        <v>46051</v>
      </c>
      <c r="G32" s="6">
        <v>3916049.868196588</v>
      </c>
      <c r="H32" s="6">
        <v>3122424.9807757027</v>
      </c>
      <c r="I32" s="6">
        <v>793624.88742088585</v>
      </c>
      <c r="J32" s="6">
        <v>2144681</v>
      </c>
      <c r="K32" s="6">
        <v>2450518</v>
      </c>
      <c r="L32" s="6">
        <v>20593.103448275851</v>
      </c>
      <c r="M32" s="6">
        <f>369+128</f>
        <v>497</v>
      </c>
      <c r="N32" s="6">
        <v>61017</v>
      </c>
      <c r="O32" s="6">
        <v>6335</v>
      </c>
      <c r="P32" s="6">
        <v>4303</v>
      </c>
      <c r="Q32" s="6">
        <v>6576</v>
      </c>
      <c r="R32" s="6">
        <v>68703</v>
      </c>
      <c r="S32" s="6">
        <v>61831</v>
      </c>
      <c r="T32" s="6">
        <v>188379</v>
      </c>
      <c r="U32" s="6">
        <v>318201</v>
      </c>
      <c r="V32" s="6">
        <v>64182</v>
      </c>
      <c r="W32" s="6">
        <v>69719</v>
      </c>
      <c r="X32" s="6">
        <v>26801.724137931036</v>
      </c>
      <c r="Y32" s="6">
        <v>44859</v>
      </c>
      <c r="Z32" s="6"/>
      <c r="AA32" s="6">
        <v>6441</v>
      </c>
      <c r="AB32" s="6">
        <v>0</v>
      </c>
      <c r="AC32" s="6">
        <v>10362</v>
      </c>
      <c r="AD32" s="6">
        <v>0</v>
      </c>
      <c r="AE32" s="6">
        <v>0</v>
      </c>
      <c r="AF32" s="8">
        <v>2492.3622567722355</v>
      </c>
      <c r="AG32" s="8">
        <v>8980.3258252997784</v>
      </c>
      <c r="AH32" s="9">
        <f t="shared" si="1"/>
        <v>2975339</v>
      </c>
      <c r="AI32" s="7">
        <f t="shared" si="2"/>
        <v>0.75978067188664211</v>
      </c>
      <c r="AJ32" s="9">
        <f t="shared" si="3"/>
        <v>-940710.86819658801</v>
      </c>
      <c r="AK32" s="21">
        <f t="shared" si="4"/>
        <v>0.16312016880743774</v>
      </c>
      <c r="AL32" s="21">
        <f t="shared" si="5"/>
        <v>8.3238046179313283E-2</v>
      </c>
      <c r="AM32" s="18">
        <f t="shared" si="6"/>
        <v>0.10426857028052129</v>
      </c>
      <c r="AN32" s="18">
        <f t="shared" si="7"/>
        <v>-7.1476188243365435E-2</v>
      </c>
    </row>
    <row r="33" spans="1:40" hidden="1" x14ac:dyDescent="0.3">
      <c r="A33" s="11">
        <v>45688</v>
      </c>
      <c r="B33" s="6">
        <v>36711884</v>
      </c>
      <c r="C33" s="6">
        <v>2352078.4137931033</v>
      </c>
      <c r="D33" s="7">
        <v>3.096620517286924E-2</v>
      </c>
      <c r="E33" s="6">
        <v>32375122</v>
      </c>
      <c r="F33" s="11">
        <v>46052</v>
      </c>
      <c r="G33" s="6">
        <v>3407420.9176839758</v>
      </c>
      <c r="H33" s="6">
        <v>2716874.5423289924</v>
      </c>
      <c r="I33" s="6">
        <v>690546.37535498408</v>
      </c>
      <c r="J33" s="6">
        <v>1914692</v>
      </c>
      <c r="K33" s="6">
        <v>1981506</v>
      </c>
      <c r="L33" s="6">
        <v>18311.206896551721</v>
      </c>
      <c r="M33" s="6">
        <f>13851+10016</f>
        <v>23867</v>
      </c>
      <c r="N33" s="6">
        <v>57647</v>
      </c>
      <c r="O33" s="6">
        <v>19840</v>
      </c>
      <c r="P33" s="6">
        <v>630</v>
      </c>
      <c r="Q33" s="6">
        <v>1512</v>
      </c>
      <c r="R33" s="6">
        <v>46392</v>
      </c>
      <c r="S33" s="6">
        <v>79127</v>
      </c>
      <c r="T33" s="6">
        <v>251795</v>
      </c>
      <c r="U33" s="6">
        <v>341849</v>
      </c>
      <c r="V33" s="6">
        <v>49925</v>
      </c>
      <c r="W33" s="6">
        <v>52697</v>
      </c>
      <c r="X33" s="6">
        <v>30997.413793103449</v>
      </c>
      <c r="Y33" s="6">
        <v>28869</v>
      </c>
      <c r="Z33" s="6"/>
      <c r="AA33" s="6">
        <v>3232</v>
      </c>
      <c r="AB33" s="6">
        <v>0</v>
      </c>
      <c r="AC33" s="6">
        <v>4079</v>
      </c>
      <c r="AD33" s="6">
        <v>0</v>
      </c>
      <c r="AE33" s="6">
        <v>0</v>
      </c>
      <c r="AF33" s="8">
        <v>2168.6463589603673</v>
      </c>
      <c r="AG33" s="8">
        <v>7813.9326859072471</v>
      </c>
      <c r="AH33" s="9">
        <f t="shared" si="1"/>
        <v>2536578</v>
      </c>
      <c r="AI33" s="7">
        <f t="shared" si="2"/>
        <v>0.74442754836526392</v>
      </c>
      <c r="AJ33" s="9">
        <f t="shared" si="3"/>
        <v>-870842.91768397577</v>
      </c>
      <c r="AK33" s="21">
        <f t="shared" si="4"/>
        <v>7.8441086455685705E-2</v>
      </c>
      <c r="AL33" s="21">
        <f t="shared" si="5"/>
        <v>6.4068583725997372E-2</v>
      </c>
      <c r="AM33" s="18">
        <f t="shared" si="6"/>
        <v>7.8349604365969647E-2</v>
      </c>
      <c r="AN33" s="18">
        <f t="shared" si="7"/>
        <v>-0.11812964978860796</v>
      </c>
    </row>
    <row r="34" spans="1:40" hidden="1" x14ac:dyDescent="0.3">
      <c r="A34" s="11">
        <v>45689</v>
      </c>
      <c r="B34" s="6">
        <v>37774788</v>
      </c>
      <c r="C34" s="6">
        <v>1775542.1034482759</v>
      </c>
      <c r="D34" s="7">
        <v>2.8376795565500393E-2</v>
      </c>
      <c r="E34" s="6">
        <v>38921712</v>
      </c>
      <c r="F34" s="11">
        <v>46053</v>
      </c>
      <c r="G34" s="6">
        <v>3122490.671586826</v>
      </c>
      <c r="H34" s="6">
        <v>2489688.1304761679</v>
      </c>
      <c r="I34" s="6">
        <v>632802.54111065879</v>
      </c>
      <c r="J34" s="6">
        <v>1364982</v>
      </c>
      <c r="K34" s="6">
        <v>1742488</v>
      </c>
      <c r="L34" s="6">
        <v>19268.103448275851</v>
      </c>
      <c r="M34" s="6">
        <f>18139+12919</f>
        <v>31058</v>
      </c>
      <c r="N34" s="6">
        <v>24746</v>
      </c>
      <c r="O34" s="6">
        <v>21274</v>
      </c>
      <c r="P34" s="6">
        <v>1652</v>
      </c>
      <c r="Q34" s="6">
        <v>662</v>
      </c>
      <c r="R34" s="6">
        <v>52485</v>
      </c>
      <c r="S34" s="6">
        <v>34276</v>
      </c>
      <c r="T34" s="6">
        <v>259164</v>
      </c>
      <c r="U34" s="6">
        <v>350135</v>
      </c>
      <c r="V34" s="6">
        <v>40620</v>
      </c>
      <c r="W34" s="6">
        <v>69841</v>
      </c>
      <c r="X34" s="6">
        <v>31893.103448275866</v>
      </c>
      <c r="Y34" s="9">
        <v>46260</v>
      </c>
      <c r="Z34" s="6"/>
      <c r="AA34" s="9">
        <v>4173</v>
      </c>
      <c r="AB34" s="6">
        <v>0</v>
      </c>
      <c r="AC34" s="9">
        <v>418</v>
      </c>
      <c r="AD34" s="6">
        <v>0</v>
      </c>
      <c r="AE34" s="9">
        <v>0</v>
      </c>
      <c r="AF34" s="8">
        <v>1987.303062759597</v>
      </c>
      <c r="AG34" s="8">
        <v>7160.5277157060846</v>
      </c>
      <c r="AH34" s="9">
        <f t="shared" si="1"/>
        <v>2300585</v>
      </c>
      <c r="AI34" s="7">
        <f t="shared" si="2"/>
        <v>0.73677882241065595</v>
      </c>
      <c r="AJ34" s="9">
        <f t="shared" si="3"/>
        <v>-821905.67158682598</v>
      </c>
      <c r="AK34" s="21">
        <f t="shared" si="4"/>
        <v>0.29570850250863634</v>
      </c>
      <c r="AL34" s="21">
        <f t="shared" si="5"/>
        <v>4.7003363816317804E-2</v>
      </c>
      <c r="AM34" s="18">
        <f t="shared" si="6"/>
        <v>5.9108011487264488E-2</v>
      </c>
      <c r="AN34" s="18">
        <f t="shared" si="7"/>
        <v>3.0362155837909688E-2</v>
      </c>
    </row>
    <row r="35" spans="1:40" hidden="1" x14ac:dyDescent="0.3">
      <c r="A35" s="11">
        <v>45690</v>
      </c>
      <c r="B35" s="6">
        <v>31352601</v>
      </c>
      <c r="C35" s="6">
        <v>1724347.1724137932</v>
      </c>
      <c r="D35" s="7">
        <v>2.2891380276690097E-2</v>
      </c>
      <c r="E35" s="6">
        <v>37738958</v>
      </c>
      <c r="F35" s="11">
        <v>46054</v>
      </c>
      <c r="G35" s="6">
        <v>2144662.6978907641</v>
      </c>
      <c r="H35" s="6">
        <v>1824183.3740171026</v>
      </c>
      <c r="I35" s="6">
        <v>320479.32387366134</v>
      </c>
      <c r="J35" s="6">
        <v>1328830</v>
      </c>
      <c r="K35" s="6">
        <v>2180837</v>
      </c>
      <c r="L35" s="6">
        <v>20338.793103448264</v>
      </c>
      <c r="M35" s="6">
        <f>18122+13547</f>
        <v>31669</v>
      </c>
      <c r="N35" s="6">
        <v>36076</v>
      </c>
      <c r="O35" s="6">
        <v>-2281</v>
      </c>
      <c r="P35" s="6">
        <v>6773</v>
      </c>
      <c r="Q35" s="6">
        <v>715</v>
      </c>
      <c r="R35" s="6">
        <v>66898</v>
      </c>
      <c r="S35" s="6">
        <v>55760</v>
      </c>
      <c r="T35" s="6">
        <v>214500</v>
      </c>
      <c r="U35" s="6">
        <v>327974</v>
      </c>
      <c r="V35" s="6">
        <v>45990</v>
      </c>
      <c r="W35" s="6">
        <v>76980</v>
      </c>
      <c r="X35" s="6">
        <v>25280.172413793105</v>
      </c>
      <c r="Y35" s="6">
        <v>25893</v>
      </c>
      <c r="Z35" s="6"/>
      <c r="AA35" s="6">
        <v>4383</v>
      </c>
      <c r="AB35" s="6">
        <v>0</v>
      </c>
      <c r="AC35" s="6">
        <v>774</v>
      </c>
      <c r="AD35" s="6">
        <v>0</v>
      </c>
      <c r="AE35" s="6">
        <v>0</v>
      </c>
      <c r="AF35" s="8">
        <v>1259.0754363228305</v>
      </c>
      <c r="AG35" s="8">
        <v>4607.0125723337796</v>
      </c>
      <c r="AH35" s="9">
        <f t="shared" si="1"/>
        <v>2702704</v>
      </c>
      <c r="AI35" s="7">
        <f t="shared" si="2"/>
        <v>1.2602000317616655</v>
      </c>
      <c r="AJ35" s="9">
        <f t="shared" si="3"/>
        <v>558041.3021092359</v>
      </c>
      <c r="AK35" s="21">
        <f t="shared" si="4"/>
        <v>0.56737810299342062</v>
      </c>
      <c r="AL35" s="21">
        <f t="shared" si="5"/>
        <v>5.4998536562047694E-2</v>
      </c>
      <c r="AM35" s="18">
        <f t="shared" si="6"/>
        <v>7.1615755792727498E-2</v>
      </c>
      <c r="AN35" s="18">
        <f t="shared" si="7"/>
        <v>0.2036946472160317</v>
      </c>
    </row>
    <row r="36" spans="1:40" hidden="1" x14ac:dyDescent="0.3">
      <c r="A36" s="11">
        <v>45691</v>
      </c>
      <c r="B36" s="6">
        <v>36408584</v>
      </c>
      <c r="C36" s="6">
        <v>2408430.3793103448</v>
      </c>
      <c r="D36" s="7">
        <v>2.1629416347145918E-2</v>
      </c>
      <c r="E36" s="6">
        <v>33698919</v>
      </c>
      <c r="F36" s="11">
        <v>46055</v>
      </c>
      <c r="G36" s="6">
        <v>2026430.9908873632</v>
      </c>
      <c r="H36" s="6">
        <v>1723619.1620273204</v>
      </c>
      <c r="I36" s="6">
        <v>302811.82886004285</v>
      </c>
      <c r="J36" s="6">
        <v>2034498</v>
      </c>
      <c r="K36" s="6">
        <v>2671764</v>
      </c>
      <c r="L36" s="6">
        <v>23738.793103448268</v>
      </c>
      <c r="M36" s="6">
        <f>17032+13323</f>
        <v>30355</v>
      </c>
      <c r="N36" s="6">
        <v>37153</v>
      </c>
      <c r="O36" s="6">
        <v>15499</v>
      </c>
      <c r="P36" s="6">
        <v>756</v>
      </c>
      <c r="Q36" s="6">
        <v>3214</v>
      </c>
      <c r="R36" s="6">
        <v>54921</v>
      </c>
      <c r="S36" s="6">
        <v>64407</v>
      </c>
      <c r="T36" s="6">
        <v>213227</v>
      </c>
      <c r="U36" s="6">
        <v>374619</v>
      </c>
      <c r="V36" s="6">
        <v>32459</v>
      </c>
      <c r="W36" s="6">
        <v>115869</v>
      </c>
      <c r="X36" s="6">
        <v>35416.379310344833</v>
      </c>
      <c r="Y36" s="6">
        <v>34782</v>
      </c>
      <c r="Z36" s="6"/>
      <c r="AA36" s="6">
        <v>5635</v>
      </c>
      <c r="AB36" s="6">
        <v>0</v>
      </c>
      <c r="AC36" s="6">
        <v>-148</v>
      </c>
      <c r="AD36" s="6">
        <v>0</v>
      </c>
      <c r="AE36" s="6">
        <v>0</v>
      </c>
      <c r="AF36" s="8">
        <v>1189.6646901813026</v>
      </c>
      <c r="AG36" s="8">
        <v>4353.0355897766394</v>
      </c>
      <c r="AH36" s="9">
        <f t="shared" si="1"/>
        <v>3315996</v>
      </c>
      <c r="AI36" s="7">
        <f t="shared" ref="AI36:AI65" si="8">+AH36/G36</f>
        <v>1.6363725263340665</v>
      </c>
      <c r="AJ36" s="9">
        <f t="shared" ref="AJ36:AJ65" si="9">+AH36-G36</f>
        <v>1289565.0091126368</v>
      </c>
      <c r="AK36" s="21">
        <f t="shared" si="4"/>
        <v>0.37682867168846168</v>
      </c>
      <c r="AL36" s="21">
        <f t="shared" si="5"/>
        <v>6.6150069975540515E-2</v>
      </c>
      <c r="AM36" s="18">
        <f t="shared" si="6"/>
        <v>9.8400663831382837E-2</v>
      </c>
      <c r="AN36" s="18">
        <f t="shared" si="7"/>
        <v>-7.4423795223675815E-2</v>
      </c>
    </row>
    <row r="37" spans="1:40" hidden="1" x14ac:dyDescent="0.3">
      <c r="A37" s="11">
        <v>45692</v>
      </c>
      <c r="B37" s="6">
        <v>22384667</v>
      </c>
      <c r="C37" s="6">
        <v>2758250.1637931033</v>
      </c>
      <c r="D37" s="7">
        <v>3.4903080856978276E-2</v>
      </c>
      <c r="E37" s="6">
        <v>22551540</v>
      </c>
      <c r="F37" s="11">
        <v>46056</v>
      </c>
      <c r="G37" s="6">
        <v>3270022.8055557846</v>
      </c>
      <c r="H37" s="6">
        <v>2781379.673558089</v>
      </c>
      <c r="I37" s="6">
        <v>488643.13199769589</v>
      </c>
      <c r="J37" s="6">
        <v>2378516</v>
      </c>
      <c r="K37" s="6">
        <v>3181814</v>
      </c>
      <c r="L37" s="6">
        <v>23787.931034482746</v>
      </c>
      <c r="M37" s="6">
        <f>13064+9710</f>
        <v>22774</v>
      </c>
      <c r="N37" s="6">
        <v>132035</v>
      </c>
      <c r="O37" s="6">
        <v>13358</v>
      </c>
      <c r="P37" s="6">
        <v>2563</v>
      </c>
      <c r="Q37" s="6">
        <v>6483</v>
      </c>
      <c r="R37" s="6">
        <v>50149</v>
      </c>
      <c r="S37" s="6">
        <v>67690</v>
      </c>
      <c r="T37" s="6">
        <v>79913</v>
      </c>
      <c r="U37" s="6">
        <v>395638</v>
      </c>
      <c r="V37" s="6">
        <v>56003</v>
      </c>
      <c r="W37" s="6">
        <v>87196</v>
      </c>
      <c r="X37" s="6">
        <v>59071.163793103406</v>
      </c>
      <c r="Y37" s="6">
        <v>25879</v>
      </c>
      <c r="Z37" s="6"/>
      <c r="AA37" s="6">
        <v>4357</v>
      </c>
      <c r="AB37" s="6">
        <v>0</v>
      </c>
      <c r="AC37" s="6">
        <v>4453</v>
      </c>
      <c r="AD37" s="6">
        <v>0</v>
      </c>
      <c r="AE37" s="6">
        <v>0</v>
      </c>
      <c r="AF37" s="8">
        <v>1919.744953246005</v>
      </c>
      <c r="AG37" s="8">
        <v>7024.4314837152997</v>
      </c>
      <c r="AH37" s="9">
        <f t="shared" si="1"/>
        <v>3809642</v>
      </c>
      <c r="AI37" s="7">
        <f t="shared" si="8"/>
        <v>1.1650200095018908</v>
      </c>
      <c r="AJ37" s="9">
        <f t="shared" si="9"/>
        <v>539619.19444421539</v>
      </c>
      <c r="AK37" s="21">
        <f t="shared" si="4"/>
        <v>0.38118073915421746</v>
      </c>
      <c r="AL37" s="21">
        <f t="shared" si="5"/>
        <v>0.12322051356819841</v>
      </c>
      <c r="AM37" s="18">
        <f t="shared" si="6"/>
        <v>0.16893045885114719</v>
      </c>
      <c r="AN37" s="18">
        <f t="shared" si="7"/>
        <v>7.4547903705692864E-3</v>
      </c>
    </row>
    <row r="38" spans="1:40" hidden="1" x14ac:dyDescent="0.3">
      <c r="A38" s="11">
        <v>45693</v>
      </c>
      <c r="B38" s="6">
        <v>25531291</v>
      </c>
      <c r="C38" s="6">
        <v>2804133.4396551722</v>
      </c>
      <c r="D38" s="7">
        <v>3.6154324454903644E-2</v>
      </c>
      <c r="E38" s="6">
        <v>25170911</v>
      </c>
      <c r="F38" s="11">
        <v>46057</v>
      </c>
      <c r="G38" s="6">
        <v>3387250.1390765039</v>
      </c>
      <c r="H38" s="6">
        <v>2881089.596707853</v>
      </c>
      <c r="I38" s="6">
        <v>506160.54236865102</v>
      </c>
      <c r="J38" s="6">
        <v>2387054</v>
      </c>
      <c r="K38" s="6">
        <v>3050065</v>
      </c>
      <c r="L38" s="6">
        <v>24452.586206896543</v>
      </c>
      <c r="M38" s="6">
        <f>11845+11364</f>
        <v>23209</v>
      </c>
      <c r="N38" s="6">
        <v>110188</v>
      </c>
      <c r="O38" s="6">
        <v>39499</v>
      </c>
      <c r="P38" s="6">
        <v>-697</v>
      </c>
      <c r="Q38" s="6">
        <v>6199</v>
      </c>
      <c r="R38" s="6">
        <v>48254</v>
      </c>
      <c r="S38" s="6">
        <v>60063</v>
      </c>
      <c r="T38" s="6">
        <v>151535</v>
      </c>
      <c r="U38" s="6">
        <v>318098</v>
      </c>
      <c r="V38" s="6">
        <v>57305</v>
      </c>
      <c r="W38" s="6">
        <v>80270</v>
      </c>
      <c r="X38" s="6">
        <v>50494.439655172398</v>
      </c>
      <c r="Y38" s="6">
        <v>22916</v>
      </c>
      <c r="Z38" s="6"/>
      <c r="AA38" s="6">
        <v>4100</v>
      </c>
      <c r="AB38" s="6">
        <v>0</v>
      </c>
      <c r="AC38" s="6">
        <v>2376</v>
      </c>
      <c r="AD38" s="6">
        <v>0</v>
      </c>
      <c r="AE38" s="6">
        <v>0</v>
      </c>
      <c r="AF38" s="8">
        <v>1988.5660579571195</v>
      </c>
      <c r="AG38" s="8">
        <v>7276.2509422633811</v>
      </c>
      <c r="AH38" s="9">
        <f t="shared" si="1"/>
        <v>3606795</v>
      </c>
      <c r="AI38" s="7">
        <f t="shared" si="8"/>
        <v>1.064815071786624</v>
      </c>
      <c r="AJ38" s="9">
        <f t="shared" si="9"/>
        <v>219544.86092349607</v>
      </c>
      <c r="AK38" s="21">
        <f t="shared" si="4"/>
        <v>0.28624228397758844</v>
      </c>
      <c r="AL38" s="21">
        <f t="shared" si="5"/>
        <v>0.10983124353778946</v>
      </c>
      <c r="AM38" s="18">
        <f t="shared" si="6"/>
        <v>0.14329219153013573</v>
      </c>
      <c r="AN38" s="18">
        <f t="shared" si="7"/>
        <v>-1.4115228250698331E-2</v>
      </c>
    </row>
    <row r="39" spans="1:40" hidden="1" x14ac:dyDescent="0.3">
      <c r="A39" s="11">
        <v>45694</v>
      </c>
      <c r="B39" s="6">
        <v>29376825</v>
      </c>
      <c r="C39" s="6">
        <v>2325952.1293103448</v>
      </c>
      <c r="D39" s="7">
        <v>3.5223270331251541E-2</v>
      </c>
      <c r="E39" s="6">
        <v>29563607</v>
      </c>
      <c r="F39" s="11">
        <v>46058</v>
      </c>
      <c r="G39" s="6">
        <v>3300020.9277061722</v>
      </c>
      <c r="H39" s="6">
        <v>2806895.1430686507</v>
      </c>
      <c r="I39" s="6">
        <v>493125.7846375216</v>
      </c>
      <c r="J39" s="6">
        <v>2011660</v>
      </c>
      <c r="K39" s="6">
        <v>2711541</v>
      </c>
      <c r="L39" s="6">
        <v>22460.344827586192</v>
      </c>
      <c r="M39" s="6">
        <f>13034+9391</f>
        <v>22425</v>
      </c>
      <c r="N39" s="6">
        <v>52855</v>
      </c>
      <c r="O39" s="6">
        <v>48724</v>
      </c>
      <c r="P39" s="6">
        <v>2503</v>
      </c>
      <c r="Q39" s="6">
        <v>4521</v>
      </c>
      <c r="R39" s="6">
        <v>40300</v>
      </c>
      <c r="S39" s="6">
        <v>63963</v>
      </c>
      <c r="T39" s="6">
        <v>119932</v>
      </c>
      <c r="U39" s="6">
        <v>334593</v>
      </c>
      <c r="V39" s="6">
        <v>56342</v>
      </c>
      <c r="W39" s="6">
        <v>91963</v>
      </c>
      <c r="X39" s="6">
        <v>42360.129310344833</v>
      </c>
      <c r="Y39" s="6">
        <v>28657</v>
      </c>
      <c r="Z39" s="6"/>
      <c r="AA39" s="6">
        <v>3153</v>
      </c>
      <c r="AB39" s="6">
        <v>0</v>
      </c>
      <c r="AC39" s="6">
        <v>5982</v>
      </c>
      <c r="AD39" s="6">
        <v>0</v>
      </c>
      <c r="AE39" s="6">
        <v>0</v>
      </c>
      <c r="AF39" s="8">
        <v>1937.3560669994688</v>
      </c>
      <c r="AG39" s="8">
        <v>7088.8713259474416</v>
      </c>
      <c r="AH39" s="9">
        <f t="shared" si="1"/>
        <v>3315522</v>
      </c>
      <c r="AI39" s="7">
        <f t="shared" si="8"/>
        <v>1.004697264845712</v>
      </c>
      <c r="AJ39" s="9">
        <f t="shared" si="9"/>
        <v>15501.072293827776</v>
      </c>
      <c r="AK39" s="21">
        <f t="shared" si="4"/>
        <v>0.42544722147100544</v>
      </c>
      <c r="AL39" s="21">
        <f t="shared" si="5"/>
        <v>7.9176430036613718E-2</v>
      </c>
      <c r="AM39" s="18">
        <f t="shared" si="6"/>
        <v>0.11214876452660191</v>
      </c>
      <c r="AN39" s="18">
        <f t="shared" si="7"/>
        <v>6.3581411537836363E-3</v>
      </c>
    </row>
    <row r="40" spans="1:40" hidden="1" x14ac:dyDescent="0.3">
      <c r="A40" s="11">
        <v>45695</v>
      </c>
      <c r="B40" s="6">
        <v>32016485</v>
      </c>
      <c r="C40" s="6">
        <v>2125578.2155172415</v>
      </c>
      <c r="D40" s="7">
        <v>3.1416180695499465E-2</v>
      </c>
      <c r="E40" s="6">
        <v>30256382</v>
      </c>
      <c r="F40" s="11">
        <v>46059</v>
      </c>
      <c r="G40" s="6">
        <v>2943339.8088468513</v>
      </c>
      <c r="H40" s="6">
        <v>2503513.2791098589</v>
      </c>
      <c r="I40" s="6">
        <v>439826.5297369925</v>
      </c>
      <c r="J40" s="6">
        <v>1699394</v>
      </c>
      <c r="K40" s="6">
        <v>2349247</v>
      </c>
      <c r="L40" s="6">
        <v>23913.793103448268</v>
      </c>
      <c r="M40" s="6">
        <f>13643+8748</f>
        <v>22391</v>
      </c>
      <c r="N40" s="6">
        <v>91347</v>
      </c>
      <c r="O40" s="6">
        <v>29006</v>
      </c>
      <c r="P40" s="6">
        <v>4838</v>
      </c>
      <c r="Q40" s="6">
        <v>4581</v>
      </c>
      <c r="R40" s="6">
        <v>53316</v>
      </c>
      <c r="S40" s="6">
        <v>74959</v>
      </c>
      <c r="T40" s="6">
        <v>166819</v>
      </c>
      <c r="U40" s="6">
        <v>291618</v>
      </c>
      <c r="V40" s="6">
        <v>60494</v>
      </c>
      <c r="W40" s="6">
        <v>85249</v>
      </c>
      <c r="X40" s="6">
        <v>49370.215517241355</v>
      </c>
      <c r="Y40" s="6">
        <v>20982</v>
      </c>
      <c r="Z40" s="6"/>
      <c r="AA40" s="6">
        <v>3548</v>
      </c>
      <c r="AB40" s="6">
        <v>0</v>
      </c>
      <c r="AC40" s="6">
        <v>3560</v>
      </c>
      <c r="AD40" s="6">
        <v>0</v>
      </c>
      <c r="AE40" s="6">
        <v>0</v>
      </c>
      <c r="AF40" s="8">
        <v>1727.95790112584</v>
      </c>
      <c r="AG40" s="8">
        <v>6322.674198298856</v>
      </c>
      <c r="AH40" s="9">
        <f t="shared" si="1"/>
        <v>2885141</v>
      </c>
      <c r="AI40" s="7">
        <f t="shared" si="8"/>
        <v>0.98022694876346861</v>
      </c>
      <c r="AJ40" s="9">
        <f t="shared" si="9"/>
        <v>-58198.808846851345</v>
      </c>
      <c r="AK40" s="21">
        <f t="shared" si="4"/>
        <v>0.35734407651422284</v>
      </c>
      <c r="AL40" s="21">
        <f t="shared" si="5"/>
        <v>6.6390117950713257E-2</v>
      </c>
      <c r="AM40" s="18">
        <f t="shared" si="6"/>
        <v>9.5356444137967317E-2</v>
      </c>
      <c r="AN40" s="18">
        <f t="shared" si="7"/>
        <v>-5.4974898087656987E-2</v>
      </c>
    </row>
    <row r="41" spans="1:40" hidden="1" x14ac:dyDescent="0.3">
      <c r="A41" s="11">
        <v>45696</v>
      </c>
      <c r="B41" s="6">
        <v>42648094</v>
      </c>
      <c r="C41" s="6">
        <v>1979003.1551724139</v>
      </c>
      <c r="D41" s="7">
        <v>2.6737708997144505E-2</v>
      </c>
      <c r="E41" s="6">
        <v>41295456</v>
      </c>
      <c r="F41" s="11">
        <v>46060</v>
      </c>
      <c r="G41" s="6">
        <v>2505020.0739369947</v>
      </c>
      <c r="H41" s="6">
        <v>2130692.1479769712</v>
      </c>
      <c r="I41" s="6">
        <v>374327.92596002307</v>
      </c>
      <c r="J41" s="6">
        <v>1559457</v>
      </c>
      <c r="K41" s="6">
        <v>2093587</v>
      </c>
      <c r="L41" s="6">
        <v>17559.482758620688</v>
      </c>
      <c r="M41" s="6">
        <f>14334+12342</f>
        <v>26676</v>
      </c>
      <c r="N41" s="6">
        <v>13396</v>
      </c>
      <c r="O41" s="6">
        <v>31006</v>
      </c>
      <c r="P41" s="6">
        <v>921</v>
      </c>
      <c r="Q41" s="6">
        <v>2429</v>
      </c>
      <c r="R41" s="6">
        <v>40059</v>
      </c>
      <c r="S41" s="6">
        <v>69984</v>
      </c>
      <c r="T41" s="6">
        <v>260206</v>
      </c>
      <c r="U41" s="6">
        <v>282237</v>
      </c>
      <c r="V41" s="6">
        <v>70792</v>
      </c>
      <c r="W41" s="6">
        <v>81965</v>
      </c>
      <c r="X41" s="6">
        <v>34172.155172413804</v>
      </c>
      <c r="Y41" s="6">
        <v>25885</v>
      </c>
      <c r="Z41" s="6"/>
      <c r="AA41" s="6">
        <v>5353</v>
      </c>
      <c r="AB41" s="6">
        <v>0</v>
      </c>
      <c r="AC41" s="6">
        <v>-930</v>
      </c>
      <c r="AD41" s="6">
        <v>0</v>
      </c>
      <c r="AE41" s="6">
        <v>0</v>
      </c>
      <c r="AF41" s="8">
        <v>1470.6318367413114</v>
      </c>
      <c r="AG41" s="8">
        <v>5381.1067754040077</v>
      </c>
      <c r="AH41" s="9">
        <f t="shared" si="1"/>
        <v>2618192</v>
      </c>
      <c r="AI41" s="7">
        <f t="shared" si="8"/>
        <v>1.0451780515615348</v>
      </c>
      <c r="AJ41" s="9">
        <f t="shared" si="9"/>
        <v>113171.92606300535</v>
      </c>
      <c r="AK41" s="21">
        <f t="shared" si="4"/>
        <v>0.32298525808661438</v>
      </c>
      <c r="AL41" s="21">
        <f t="shared" si="5"/>
        <v>4.6403085567491335E-2</v>
      </c>
      <c r="AM41" s="18">
        <f t="shared" si="6"/>
        <v>6.3401455114092939E-2</v>
      </c>
      <c r="AN41" s="18">
        <f t="shared" si="7"/>
        <v>-3.1716259113478751E-2</v>
      </c>
    </row>
    <row r="42" spans="1:40" hidden="1" x14ac:dyDescent="0.3">
      <c r="A42" s="11">
        <v>45697</v>
      </c>
      <c r="B42" s="6">
        <v>41759438</v>
      </c>
      <c r="C42" s="6">
        <v>2326038.2068965519</v>
      </c>
      <c r="D42" s="7">
        <v>2.7381827313911585E-2</v>
      </c>
      <c r="E42" s="6">
        <v>41339084</v>
      </c>
      <c r="F42" s="11">
        <v>46061</v>
      </c>
      <c r="G42" s="6">
        <v>2565366.6546281213</v>
      </c>
      <c r="H42" s="6">
        <v>2182021.0722333589</v>
      </c>
      <c r="I42" s="6">
        <v>383345.5823947622</v>
      </c>
      <c r="J42" s="6">
        <v>1917961</v>
      </c>
      <c r="K42" s="6">
        <v>2397497</v>
      </c>
      <c r="L42" s="6">
        <v>21667.241379310333</v>
      </c>
      <c r="M42" s="6">
        <f>13709+11462</f>
        <v>25171</v>
      </c>
      <c r="N42" s="6">
        <v>30139</v>
      </c>
      <c r="O42" s="6">
        <v>5807</v>
      </c>
      <c r="P42" s="6">
        <v>3695</v>
      </c>
      <c r="Q42" s="6">
        <v>4467</v>
      </c>
      <c r="R42" s="6">
        <v>40975</v>
      </c>
      <c r="S42" s="6">
        <v>69643</v>
      </c>
      <c r="T42" s="6">
        <v>191313</v>
      </c>
      <c r="U42" s="6">
        <v>234501</v>
      </c>
      <c r="V42" s="6">
        <v>87339</v>
      </c>
      <c r="W42" s="6">
        <v>58072</v>
      </c>
      <c r="X42" s="6">
        <v>54616.206896551688</v>
      </c>
      <c r="Y42" s="6">
        <v>17667</v>
      </c>
      <c r="Z42" s="6"/>
      <c r="AA42" s="6">
        <v>2741</v>
      </c>
      <c r="AB42" s="6">
        <v>0</v>
      </c>
      <c r="AC42" s="6">
        <v>0</v>
      </c>
      <c r="AD42" s="6">
        <v>0</v>
      </c>
      <c r="AE42" s="6">
        <v>0</v>
      </c>
      <c r="AF42" s="8">
        <v>1506.0597375897744</v>
      </c>
      <c r="AG42" s="8">
        <v>5510.7390276993447</v>
      </c>
      <c r="AH42" s="9">
        <f t="shared" si="1"/>
        <v>2815566</v>
      </c>
      <c r="AI42" s="7">
        <f t="shared" si="8"/>
        <v>1.0975296630290643</v>
      </c>
      <c r="AJ42" s="9">
        <f t="shared" si="9"/>
        <v>250199.34537187871</v>
      </c>
      <c r="AK42" s="21">
        <f t="shared" si="4"/>
        <v>0.2104556114564371</v>
      </c>
      <c r="AL42" s="21">
        <f t="shared" si="5"/>
        <v>5.5700898247159167E-2</v>
      </c>
      <c r="AM42" s="18">
        <f t="shared" si="6"/>
        <v>6.8109056310971958E-2</v>
      </c>
      <c r="AN42" s="18">
        <f t="shared" si="7"/>
        <v>-1.0066083743751508E-2</v>
      </c>
    </row>
    <row r="43" spans="1:40" hidden="1" x14ac:dyDescent="0.3">
      <c r="A43" s="11">
        <v>45698</v>
      </c>
      <c r="B43" s="6">
        <v>26398469</v>
      </c>
      <c r="C43" s="6">
        <v>4231589.6724137934</v>
      </c>
      <c r="D43" s="7">
        <v>3.2388452855217006E-2</v>
      </c>
      <c r="E43" s="6">
        <v>22422064</v>
      </c>
      <c r="F43" s="11">
        <v>46062</v>
      </c>
      <c r="G43" s="6">
        <v>3034430.6827015495</v>
      </c>
      <c r="H43" s="6">
        <v>2580992.3427285114</v>
      </c>
      <c r="I43" s="6">
        <v>453438.33997303806</v>
      </c>
      <c r="J43" s="6">
        <v>3650878</v>
      </c>
      <c r="K43" s="6">
        <v>2252123</v>
      </c>
      <c r="L43" s="6">
        <v>20464.655172413786</v>
      </c>
      <c r="M43" s="6">
        <f>6100+3966</f>
        <v>10066</v>
      </c>
      <c r="N43" s="6">
        <v>83992</v>
      </c>
      <c r="O43" s="6">
        <v>16050</v>
      </c>
      <c r="P43" s="6">
        <v>8959</v>
      </c>
      <c r="Q43" s="6">
        <v>1868</v>
      </c>
      <c r="R43" s="6">
        <v>63382</v>
      </c>
      <c r="S43" s="6">
        <v>58213</v>
      </c>
      <c r="T43" s="6">
        <v>281151</v>
      </c>
      <c r="U43" s="6">
        <v>451605</v>
      </c>
      <c r="V43" s="6">
        <v>78555</v>
      </c>
      <c r="W43" s="6">
        <v>67176</v>
      </c>
      <c r="X43" s="6">
        <v>64672.672413793072</v>
      </c>
      <c r="Y43" s="6">
        <v>11686</v>
      </c>
      <c r="Z43" s="6"/>
      <c r="AA43" s="6">
        <v>3093</v>
      </c>
      <c r="AB43" s="6">
        <v>0</v>
      </c>
      <c r="AC43" s="6">
        <v>586</v>
      </c>
      <c r="AD43" s="6">
        <v>0</v>
      </c>
      <c r="AE43" s="6">
        <v>0</v>
      </c>
      <c r="AF43" s="8">
        <v>1781.4349732343946</v>
      </c>
      <c r="AG43" s="8">
        <v>6518.3491645703307</v>
      </c>
      <c r="AH43" s="9">
        <f t="shared" si="1"/>
        <v>2872466</v>
      </c>
      <c r="AI43" s="7">
        <f t="shared" si="8"/>
        <v>0.94662435901901953</v>
      </c>
      <c r="AJ43" s="9">
        <f t="shared" si="9"/>
        <v>-161964.68270154949</v>
      </c>
      <c r="AK43" s="21">
        <f t="shared" si="4"/>
        <v>-0.32118512843390101</v>
      </c>
      <c r="AL43" s="21">
        <f t="shared" si="5"/>
        <v>0.16029678359051025</v>
      </c>
      <c r="AM43" s="18">
        <f t="shared" si="6"/>
        <v>0.12810890201722733</v>
      </c>
      <c r="AN43" s="18">
        <f t="shared" si="7"/>
        <v>-0.15063013692195559</v>
      </c>
    </row>
    <row r="44" spans="1:40" hidden="1" x14ac:dyDescent="0.3">
      <c r="A44" s="11">
        <v>45699</v>
      </c>
      <c r="B44" s="6">
        <v>28654038</v>
      </c>
      <c r="C44" s="6">
        <v>3578900.7241379311</v>
      </c>
      <c r="D44" s="7">
        <v>5.7325534646187566E-2</v>
      </c>
      <c r="E44" s="6">
        <v>27571599</v>
      </c>
      <c r="F44" s="11">
        <v>46063</v>
      </c>
      <c r="G44" s="6">
        <v>5370752.4101338182</v>
      </c>
      <c r="H44" s="6">
        <v>4568194.9250871921</v>
      </c>
      <c r="I44" s="6">
        <v>802557.48504662595</v>
      </c>
      <c r="J44" s="6">
        <v>2872047</v>
      </c>
      <c r="K44" s="6">
        <v>4002151</v>
      </c>
      <c r="L44" s="6">
        <v>16592.241379310341</v>
      </c>
      <c r="M44" s="6">
        <f>10914+11047</f>
        <v>21961</v>
      </c>
      <c r="N44" s="6">
        <v>62364</v>
      </c>
      <c r="O44" s="6">
        <v>55589</v>
      </c>
      <c r="P44" s="6">
        <v>4603</v>
      </c>
      <c r="Q44" s="6">
        <v>3319</v>
      </c>
      <c r="R44" s="6">
        <v>42383</v>
      </c>
      <c r="S44" s="6">
        <v>62975</v>
      </c>
      <c r="T44" s="6">
        <v>448251</v>
      </c>
      <c r="U44" s="6">
        <v>557077</v>
      </c>
      <c r="V44" s="6">
        <v>107546</v>
      </c>
      <c r="W44" s="6">
        <v>78209</v>
      </c>
      <c r="X44" s="6">
        <v>41706.724137931022</v>
      </c>
      <c r="Y44" s="6">
        <v>21078</v>
      </c>
      <c r="Z44" s="6"/>
      <c r="AA44" s="6">
        <v>953</v>
      </c>
      <c r="AB44" s="6">
        <v>0</v>
      </c>
      <c r="AC44" s="6">
        <v>844</v>
      </c>
      <c r="AD44" s="6">
        <v>0</v>
      </c>
      <c r="AE44" s="6">
        <v>0</v>
      </c>
      <c r="AF44" s="8">
        <v>3153.0284183249942</v>
      </c>
      <c r="AG44" s="8">
        <v>11537.070095317484</v>
      </c>
      <c r="AH44" s="9">
        <f t="shared" si="1"/>
        <v>4804156</v>
      </c>
      <c r="AI44" s="7">
        <f t="shared" si="8"/>
        <v>0.89450334573890722</v>
      </c>
      <c r="AJ44" s="9">
        <f t="shared" si="9"/>
        <v>-566596.41013381816</v>
      </c>
      <c r="AK44" s="21">
        <f t="shared" si="4"/>
        <v>0.34235520074595049</v>
      </c>
      <c r="AL44" s="21">
        <f t="shared" si="5"/>
        <v>0.12490039707973903</v>
      </c>
      <c r="AM44" s="18">
        <f t="shared" si="6"/>
        <v>0.17424292294400481</v>
      </c>
      <c r="AN44" s="18">
        <f t="shared" si="7"/>
        <v>-3.7776141708194877E-2</v>
      </c>
    </row>
    <row r="45" spans="1:40" hidden="1" x14ac:dyDescent="0.3">
      <c r="A45" s="11">
        <v>45700</v>
      </c>
      <c r="B45" s="6">
        <v>34103254</v>
      </c>
      <c r="C45" s="6">
        <v>3523793.78</v>
      </c>
      <c r="D45" s="7">
        <v>4.3053422399094911E-2</v>
      </c>
      <c r="E45" s="6">
        <v>29524043</v>
      </c>
      <c r="F45" s="11">
        <v>46064</v>
      </c>
      <c r="G45" s="6">
        <v>4033617.3668783428</v>
      </c>
      <c r="H45" s="6">
        <v>3430869.4532910138</v>
      </c>
      <c r="I45" s="6">
        <v>602747.91358732875</v>
      </c>
      <c r="J45" s="6">
        <v>2949853</v>
      </c>
      <c r="K45" s="6">
        <v>3104553</v>
      </c>
      <c r="L45" s="6">
        <v>19632.758620689645</v>
      </c>
      <c r="M45" s="6">
        <f>12075+10720</f>
        <v>22795</v>
      </c>
      <c r="N45" s="6">
        <v>23666</v>
      </c>
      <c r="O45" s="6">
        <v>17436</v>
      </c>
      <c r="P45" s="6">
        <v>8628</v>
      </c>
      <c r="Q45" s="6">
        <v>696</v>
      </c>
      <c r="R45" s="6">
        <v>92989</v>
      </c>
      <c r="S45" s="6">
        <v>83559</v>
      </c>
      <c r="T45" s="6">
        <v>286849</v>
      </c>
      <c r="U45" s="6">
        <v>555761</v>
      </c>
      <c r="V45" s="6">
        <v>127459</v>
      </c>
      <c r="W45" s="6">
        <v>71762</v>
      </c>
      <c r="X45" s="6">
        <v>34349.78</v>
      </c>
      <c r="Y45" s="6">
        <v>24671</v>
      </c>
      <c r="Z45" s="6"/>
      <c r="AA45" s="6">
        <v>4503</v>
      </c>
      <c r="AB45" s="6">
        <v>0</v>
      </c>
      <c r="AC45" s="6">
        <v>-435</v>
      </c>
      <c r="AD45" s="6">
        <v>0</v>
      </c>
      <c r="AE45" s="6">
        <v>0</v>
      </c>
      <c r="AF45" s="8">
        <v>2368.0313697610504</v>
      </c>
      <c r="AG45" s="8">
        <v>8664.7312602901911</v>
      </c>
      <c r="AH45" s="9">
        <f t="shared" si="1"/>
        <v>3885301</v>
      </c>
      <c r="AI45" s="7">
        <f t="shared" si="8"/>
        <v>0.96322993645945987</v>
      </c>
      <c r="AJ45" s="9">
        <f t="shared" si="9"/>
        <v>-148316.36687834281</v>
      </c>
      <c r="AK45" s="21">
        <f t="shared" si="4"/>
        <v>0.10259034511378262</v>
      </c>
      <c r="AL45" s="21">
        <f t="shared" si="5"/>
        <v>0.10332720097618836</v>
      </c>
      <c r="AM45" s="18">
        <f t="shared" si="6"/>
        <v>0.13159786415430977</v>
      </c>
      <c r="AN45" s="18">
        <f t="shared" si="7"/>
        <v>-0.13427489939816295</v>
      </c>
    </row>
    <row r="46" spans="1:40" hidden="1" x14ac:dyDescent="0.3">
      <c r="A46" s="11">
        <v>45701</v>
      </c>
      <c r="B46" s="6">
        <v>39489691</v>
      </c>
      <c r="C46" s="6">
        <v>2202318.89</v>
      </c>
      <c r="D46" s="7">
        <v>4.1599087399901286E-2</v>
      </c>
      <c r="E46" s="6">
        <v>33200957</v>
      </c>
      <c r="F46" s="11">
        <v>46065</v>
      </c>
      <c r="G46" s="6">
        <v>3897362.6725214608</v>
      </c>
      <c r="H46" s="6">
        <v>3314975.4489228427</v>
      </c>
      <c r="I46" s="6">
        <v>582387.22359861794</v>
      </c>
      <c r="J46" s="6">
        <v>1683298</v>
      </c>
      <c r="K46" s="6">
        <v>2317644</v>
      </c>
      <c r="L46" s="6">
        <v>18078.448275862062</v>
      </c>
      <c r="M46" s="6">
        <f>13963+11447</f>
        <v>25410</v>
      </c>
      <c r="N46" s="6">
        <v>39150</v>
      </c>
      <c r="O46" s="6">
        <v>26530</v>
      </c>
      <c r="P46" s="6">
        <v>4561</v>
      </c>
      <c r="Q46" s="6">
        <v>5396</v>
      </c>
      <c r="R46" s="6">
        <v>81122</v>
      </c>
      <c r="S46" s="6">
        <v>99852</v>
      </c>
      <c r="T46" s="6">
        <v>288539</v>
      </c>
      <c r="U46" s="6">
        <v>459284</v>
      </c>
      <c r="V46" s="6">
        <v>74526</v>
      </c>
      <c r="W46" s="6">
        <v>89138</v>
      </c>
      <c r="X46" s="6">
        <v>31122.89</v>
      </c>
      <c r="Y46" s="6">
        <v>11692</v>
      </c>
      <c r="Z46" s="6"/>
      <c r="AA46" s="6">
        <v>1959</v>
      </c>
      <c r="AB46" s="6">
        <v>0</v>
      </c>
      <c r="AC46" s="6">
        <v>3313</v>
      </c>
      <c r="AD46" s="6">
        <v>0</v>
      </c>
      <c r="AE46" s="6">
        <v>0</v>
      </c>
      <c r="AF46" s="8">
        <v>2288.0397986309395</v>
      </c>
      <c r="AG46" s="8">
        <v>8372.038572270294</v>
      </c>
      <c r="AH46" s="9">
        <f t="shared" si="1"/>
        <v>3040218</v>
      </c>
      <c r="AI46" s="7">
        <f t="shared" si="8"/>
        <v>0.78007059015451663</v>
      </c>
      <c r="AJ46" s="9">
        <f t="shared" si="9"/>
        <v>-857144.6725214608</v>
      </c>
      <c r="AK46" s="21">
        <f t="shared" si="4"/>
        <v>0.38046220908544259</v>
      </c>
      <c r="AL46" s="21">
        <f t="shared" si="5"/>
        <v>5.5769463731686328E-2</v>
      </c>
      <c r="AM46" s="18">
        <f t="shared" si="6"/>
        <v>9.1570191786941563E-2</v>
      </c>
      <c r="AN46" s="18">
        <f t="shared" si="7"/>
        <v>-0.15925001793506055</v>
      </c>
    </row>
    <row r="47" spans="1:40" hidden="1" x14ac:dyDescent="0.3">
      <c r="A47" s="11">
        <v>45702</v>
      </c>
      <c r="B47" s="6">
        <v>32593735</v>
      </c>
      <c r="C47" s="6">
        <v>1871743.0086206896</v>
      </c>
      <c r="D47" s="7">
        <v>2.715022930036606E-2</v>
      </c>
      <c r="E47" s="6">
        <v>35824613</v>
      </c>
      <c r="F47" s="11">
        <v>46066</v>
      </c>
      <c r="G47" s="6">
        <v>2543668.5475435751</v>
      </c>
      <c r="H47" s="6">
        <v>2163565.3373384504</v>
      </c>
      <c r="I47" s="6">
        <v>380103.21020512487</v>
      </c>
      <c r="J47" s="6">
        <v>1416043</v>
      </c>
      <c r="K47" s="6">
        <v>1758784</v>
      </c>
      <c r="L47" s="6">
        <v>14241.379310344822</v>
      </c>
      <c r="M47" s="6">
        <f>8886+9726</f>
        <v>18612</v>
      </c>
      <c r="N47" s="6">
        <v>55802</v>
      </c>
      <c r="O47" s="6">
        <v>25664</v>
      </c>
      <c r="P47" s="6">
        <v>2882</v>
      </c>
      <c r="Q47" s="6">
        <v>3330</v>
      </c>
      <c r="R47" s="6">
        <v>95242</v>
      </c>
      <c r="S47" s="6">
        <v>68260</v>
      </c>
      <c r="T47" s="6">
        <v>211719</v>
      </c>
      <c r="U47" s="6">
        <v>399606</v>
      </c>
      <c r="V47" s="6">
        <v>60511</v>
      </c>
      <c r="W47" s="6">
        <v>59102</v>
      </c>
      <c r="X47" s="6">
        <v>29544.008620689667</v>
      </c>
      <c r="Y47" s="6">
        <v>14235</v>
      </c>
      <c r="Z47" s="6"/>
      <c r="AA47" s="6">
        <v>7832</v>
      </c>
      <c r="AB47" s="6">
        <v>0</v>
      </c>
      <c r="AC47" s="6">
        <v>2440</v>
      </c>
      <c r="AD47" s="6">
        <v>0</v>
      </c>
      <c r="AE47" s="6">
        <v>0</v>
      </c>
      <c r="AF47" s="8">
        <v>1493.3213458269472</v>
      </c>
      <c r="AG47" s="8">
        <v>5464.1286902170632</v>
      </c>
      <c r="AH47" s="9">
        <f t="shared" si="1"/>
        <v>2357865</v>
      </c>
      <c r="AI47" s="7">
        <f t="shared" si="8"/>
        <v>0.92695449738410063</v>
      </c>
      <c r="AJ47" s="9">
        <f t="shared" si="9"/>
        <v>-185803.54754357506</v>
      </c>
      <c r="AK47" s="21">
        <f t="shared" si="4"/>
        <v>0.25971620523777972</v>
      </c>
      <c r="AL47" s="21">
        <f t="shared" si="5"/>
        <v>5.7426465810705325E-2</v>
      </c>
      <c r="AM47" s="18">
        <f t="shared" si="6"/>
        <v>6.5816900799458747E-2</v>
      </c>
      <c r="AN47" s="18">
        <f t="shared" si="7"/>
        <v>9.912573689391535E-2</v>
      </c>
    </row>
    <row r="48" spans="1:40" hidden="1" x14ac:dyDescent="0.3">
      <c r="A48" s="11">
        <v>45703</v>
      </c>
      <c r="B48" s="6">
        <v>42356911</v>
      </c>
      <c r="C48" s="6">
        <v>1865047.75</v>
      </c>
      <c r="D48" s="7">
        <v>2.359843653129649E-2</v>
      </c>
      <c r="E48" s="6">
        <v>40028256</v>
      </c>
      <c r="F48" s="11">
        <v>46067</v>
      </c>
      <c r="G48" s="6">
        <v>2210905.8495153431</v>
      </c>
      <c r="H48" s="6">
        <v>1880527.7380771923</v>
      </c>
      <c r="I48" s="6">
        <v>330378.11143815087</v>
      </c>
      <c r="J48" s="6">
        <v>1501396</v>
      </c>
      <c r="K48" s="6">
        <v>1400645</v>
      </c>
      <c r="L48" s="6">
        <v>20915.517241379304</v>
      </c>
      <c r="M48" s="6">
        <f>11423+8165</f>
        <v>19588</v>
      </c>
      <c r="N48" s="6">
        <v>13567</v>
      </c>
      <c r="O48" s="6">
        <v>-861</v>
      </c>
      <c r="P48" s="6">
        <v>1142</v>
      </c>
      <c r="Q48" s="6">
        <v>1446</v>
      </c>
      <c r="R48" s="6">
        <v>55048</v>
      </c>
      <c r="S48" s="6">
        <v>76825</v>
      </c>
      <c r="T48" s="6">
        <v>234704</v>
      </c>
      <c r="U48" s="6">
        <v>365354</v>
      </c>
      <c r="V48" s="6">
        <v>34552</v>
      </c>
      <c r="W48" s="6">
        <v>48474</v>
      </c>
      <c r="X48" s="6">
        <v>24638.750000000004</v>
      </c>
      <c r="Y48" s="6">
        <v>16510</v>
      </c>
      <c r="Z48" s="6"/>
      <c r="AA48" s="6">
        <v>7433</v>
      </c>
      <c r="AB48" s="6">
        <v>0</v>
      </c>
      <c r="AC48" s="6">
        <v>0</v>
      </c>
      <c r="AD48" s="6">
        <v>0</v>
      </c>
      <c r="AE48" s="6">
        <v>0</v>
      </c>
      <c r="AF48" s="8">
        <v>1297.9650599065967</v>
      </c>
      <c r="AG48" s="8">
        <v>4749.3114208499546</v>
      </c>
      <c r="AH48" s="9">
        <f t="shared" si="1"/>
        <v>1935414</v>
      </c>
      <c r="AI48" s="7">
        <f t="shared" si="8"/>
        <v>0.87539412880212231</v>
      </c>
      <c r="AJ48" s="9">
        <f t="shared" si="9"/>
        <v>-275491.84951534308</v>
      </c>
      <c r="AK48" s="21">
        <f t="shared" si="4"/>
        <v>3.7728926779488692E-2</v>
      </c>
      <c r="AL48" s="21">
        <f t="shared" si="5"/>
        <v>4.4031722473813067E-2</v>
      </c>
      <c r="AM48" s="18">
        <f t="shared" si="6"/>
        <v>4.8351194716052578E-2</v>
      </c>
      <c r="AN48" s="18">
        <f t="shared" si="7"/>
        <v>-5.4976978845317603E-2</v>
      </c>
    </row>
    <row r="49" spans="1:40" hidden="1" x14ac:dyDescent="0.3">
      <c r="A49" s="11">
        <v>45704</v>
      </c>
      <c r="B49" s="6">
        <v>44351566</v>
      </c>
      <c r="C49" s="6">
        <v>2549462.1379310344</v>
      </c>
      <c r="D49" s="7">
        <v>2.5538270218038516E-2</v>
      </c>
      <c r="E49" s="6">
        <v>41383841</v>
      </c>
      <c r="F49" s="11">
        <v>46068</v>
      </c>
      <c r="G49" s="6">
        <v>2392646.264369396</v>
      </c>
      <c r="H49" s="6">
        <v>2035110.4813168568</v>
      </c>
      <c r="I49" s="6">
        <v>357535.78305253922</v>
      </c>
      <c r="J49" s="6">
        <v>1957002</v>
      </c>
      <c r="K49" s="6">
        <v>2149329</v>
      </c>
      <c r="L49" s="6">
        <v>24901.724137931022</v>
      </c>
      <c r="M49" s="6">
        <f>17478+10892</f>
        <v>28370</v>
      </c>
      <c r="N49" s="6">
        <v>13663</v>
      </c>
      <c r="O49" s="6">
        <v>178</v>
      </c>
      <c r="P49" s="6">
        <v>2471</v>
      </c>
      <c r="Q49" s="6">
        <v>0</v>
      </c>
      <c r="R49" s="6">
        <v>72548</v>
      </c>
      <c r="S49" s="6">
        <v>68941</v>
      </c>
      <c r="T49" s="6">
        <v>370770</v>
      </c>
      <c r="U49" s="6">
        <v>492948</v>
      </c>
      <c r="V49" s="6">
        <v>101714</v>
      </c>
      <c r="W49" s="6">
        <v>50253</v>
      </c>
      <c r="X49" s="6">
        <v>31294.137931034482</v>
      </c>
      <c r="Y49" s="6">
        <v>25710</v>
      </c>
      <c r="Z49" s="6"/>
      <c r="AA49" s="6">
        <v>9189</v>
      </c>
      <c r="AB49" s="6">
        <v>0</v>
      </c>
      <c r="AC49" s="6">
        <v>0</v>
      </c>
      <c r="AD49" s="6">
        <v>0</v>
      </c>
      <c r="AE49" s="6">
        <v>0</v>
      </c>
      <c r="AF49" s="8">
        <v>1404.660109135039</v>
      </c>
      <c r="AG49" s="8">
        <v>5139.7133133980124</v>
      </c>
      <c r="AH49" s="9">
        <f t="shared" si="1"/>
        <v>2824918</v>
      </c>
      <c r="AI49" s="7">
        <f t="shared" si="8"/>
        <v>1.1806667964537303</v>
      </c>
      <c r="AJ49" s="9">
        <f t="shared" si="9"/>
        <v>432271.73563060397</v>
      </c>
      <c r="AK49" s="21">
        <f t="shared" si="4"/>
        <v>0.10804469616187595</v>
      </c>
      <c r="AL49" s="21">
        <f t="shared" si="5"/>
        <v>5.7483024115338663E-2</v>
      </c>
      <c r="AM49" s="18">
        <f t="shared" si="6"/>
        <v>6.8261377671540932E-2</v>
      </c>
      <c r="AN49" s="18">
        <f t="shared" si="7"/>
        <v>-6.6913646296051899E-2</v>
      </c>
    </row>
    <row r="50" spans="1:40" hidden="1" x14ac:dyDescent="0.3">
      <c r="A50" s="11">
        <v>45705</v>
      </c>
      <c r="B50" s="6">
        <v>24063181</v>
      </c>
      <c r="C50" s="6">
        <v>3718967.25</v>
      </c>
      <c r="D50" s="7">
        <v>3.4473988353689117E-2</v>
      </c>
      <c r="E50" s="6">
        <v>23766868</v>
      </c>
      <c r="F50" s="11">
        <v>46069</v>
      </c>
      <c r="G50" s="6">
        <v>3229821.7047647629</v>
      </c>
      <c r="H50" s="6">
        <v>2747185.867813115</v>
      </c>
      <c r="I50" s="6">
        <v>482635.83695164765</v>
      </c>
      <c r="J50" s="6">
        <v>3082248</v>
      </c>
      <c r="K50" s="6">
        <v>3080170</v>
      </c>
      <c r="L50" s="6">
        <v>18136.206896551725</v>
      </c>
      <c r="M50" s="6">
        <f>12628+12367</f>
        <v>24995</v>
      </c>
      <c r="N50" s="6">
        <v>41372</v>
      </c>
      <c r="O50" s="6">
        <v>27259</v>
      </c>
      <c r="P50" s="6">
        <v>9059</v>
      </c>
      <c r="Q50" s="6">
        <v>2265</v>
      </c>
      <c r="R50" s="6">
        <v>59366</v>
      </c>
      <c r="S50" s="6">
        <v>98172</v>
      </c>
      <c r="T50" s="6">
        <v>381579</v>
      </c>
      <c r="U50" s="6">
        <v>460199</v>
      </c>
      <c r="V50" s="6">
        <v>106292</v>
      </c>
      <c r="W50" s="6">
        <v>48934</v>
      </c>
      <c r="X50" s="6">
        <v>39051.25</v>
      </c>
      <c r="Y50" s="6">
        <v>24099</v>
      </c>
      <c r="Z50" s="6"/>
      <c r="AA50" s="6">
        <v>5432</v>
      </c>
      <c r="AB50" s="6">
        <v>0</v>
      </c>
      <c r="AC50" s="6">
        <v>430</v>
      </c>
      <c r="AD50" s="6">
        <v>0</v>
      </c>
      <c r="AE50" s="6">
        <v>0</v>
      </c>
      <c r="AF50" s="8">
        <v>1896.143937305879</v>
      </c>
      <c r="AG50" s="8">
        <v>6938.0743251056774</v>
      </c>
      <c r="AH50" s="9">
        <f t="shared" si="1"/>
        <v>3771955</v>
      </c>
      <c r="AI50" s="7">
        <f t="shared" si="8"/>
        <v>1.1678523908720597</v>
      </c>
      <c r="AJ50" s="9">
        <f t="shared" si="9"/>
        <v>542133.29523523711</v>
      </c>
      <c r="AK50" s="21">
        <f t="shared" si="4"/>
        <v>1.4247974353632786E-2</v>
      </c>
      <c r="AL50" s="21">
        <f t="shared" si="5"/>
        <v>0.15455010914807979</v>
      </c>
      <c r="AM50" s="18">
        <f t="shared" si="6"/>
        <v>0.15870643956957223</v>
      </c>
      <c r="AN50" s="18">
        <f t="shared" si="7"/>
        <v>-1.2313957992503122E-2</v>
      </c>
    </row>
    <row r="51" spans="1:40" hidden="1" x14ac:dyDescent="0.3">
      <c r="A51" s="11">
        <v>45706</v>
      </c>
      <c r="B51" s="6">
        <v>28049331</v>
      </c>
      <c r="C51" s="6">
        <v>3641315.0775862071</v>
      </c>
      <c r="D51" s="7">
        <v>4.7420276032149086E-2</v>
      </c>
      <c r="E51" s="6">
        <v>26877030</v>
      </c>
      <c r="F51" s="11">
        <v>46070</v>
      </c>
      <c r="G51" s="6">
        <v>4442742.0234416127</v>
      </c>
      <c r="H51" s="6">
        <v>3778858.1589915254</v>
      </c>
      <c r="I51" s="6">
        <v>663883.86445008719</v>
      </c>
      <c r="J51" s="6">
        <v>3111149</v>
      </c>
      <c r="K51" s="6">
        <v>3594147</v>
      </c>
      <c r="L51" s="6">
        <v>23043.965517241366</v>
      </c>
      <c r="M51" s="6">
        <f>15370+11491</f>
        <v>26861</v>
      </c>
      <c r="N51" s="6">
        <v>65981</v>
      </c>
      <c r="O51" s="6">
        <v>48038</v>
      </c>
      <c r="P51" s="6">
        <v>7052</v>
      </c>
      <c r="Q51" s="6">
        <v>4918</v>
      </c>
      <c r="R51" s="6">
        <v>29733</v>
      </c>
      <c r="S51" s="6">
        <v>78213</v>
      </c>
      <c r="T51" s="6">
        <v>361184</v>
      </c>
      <c r="U51" s="6">
        <v>470863</v>
      </c>
      <c r="V51" s="6">
        <v>44740</v>
      </c>
      <c r="W51" s="6">
        <v>44216</v>
      </c>
      <c r="X51" s="6">
        <v>21476.077586206899</v>
      </c>
      <c r="Y51" s="6">
        <v>21475</v>
      </c>
      <c r="Z51" s="6"/>
      <c r="AA51" s="6">
        <v>6664</v>
      </c>
      <c r="AB51" s="6">
        <v>0</v>
      </c>
      <c r="AC51" s="6">
        <v>0</v>
      </c>
      <c r="AD51" s="6">
        <v>0</v>
      </c>
      <c r="AE51" s="6">
        <v>947</v>
      </c>
      <c r="AF51" s="8">
        <v>2608.217766428199</v>
      </c>
      <c r="AG51" s="8">
        <v>9543.5838827992848</v>
      </c>
      <c r="AH51" s="9">
        <f t="shared" si="1"/>
        <v>4296342</v>
      </c>
      <c r="AI51" s="7">
        <f t="shared" si="8"/>
        <v>0.96704737239543737</v>
      </c>
      <c r="AJ51" s="9">
        <f t="shared" si="9"/>
        <v>-146400.02344161272</v>
      </c>
      <c r="AK51" s="21">
        <f t="shared" si="4"/>
        <v>0.17988746056218896</v>
      </c>
      <c r="AL51" s="21">
        <f t="shared" si="5"/>
        <v>0.12981825048113294</v>
      </c>
      <c r="AM51" s="18">
        <f t="shared" si="6"/>
        <v>0.15985181398391116</v>
      </c>
      <c r="AN51" s="18">
        <f t="shared" si="7"/>
        <v>-4.1794258836333698E-2</v>
      </c>
    </row>
    <row r="52" spans="1:40" hidden="1" x14ac:dyDescent="0.3">
      <c r="A52" s="11">
        <v>45707</v>
      </c>
      <c r="B52" s="6">
        <v>28781067</v>
      </c>
      <c r="C52" s="6">
        <v>3619053.4137931033</v>
      </c>
      <c r="D52" s="7">
        <v>4.7947721204117819E-2</v>
      </c>
      <c r="E52" s="6">
        <v>29417270</v>
      </c>
      <c r="F52" s="11">
        <v>46071</v>
      </c>
      <c r="G52" s="6">
        <v>4492157.6537719425</v>
      </c>
      <c r="H52" s="6">
        <v>3820889.5569142932</v>
      </c>
      <c r="I52" s="6">
        <v>671268.09685764951</v>
      </c>
      <c r="J52" s="6">
        <v>3135182</v>
      </c>
      <c r="K52" s="6">
        <v>3559563</v>
      </c>
      <c r="L52" s="6">
        <v>21506.034482758616</v>
      </c>
      <c r="M52" s="6">
        <f>13096+10747</f>
        <v>23843</v>
      </c>
      <c r="N52" s="6">
        <v>65670</v>
      </c>
      <c r="O52" s="6">
        <v>14662</v>
      </c>
      <c r="P52" s="6">
        <v>2633</v>
      </c>
      <c r="Q52" s="6">
        <v>1851</v>
      </c>
      <c r="R52" s="6">
        <v>66784</v>
      </c>
      <c r="S52" s="6">
        <v>91613</v>
      </c>
      <c r="T52" s="6">
        <v>295101</v>
      </c>
      <c r="U52" s="6">
        <v>453814</v>
      </c>
      <c r="V52" s="6">
        <v>30136</v>
      </c>
      <c r="W52" s="6">
        <v>39979</v>
      </c>
      <c r="X52" s="6">
        <v>23547.413793103449</v>
      </c>
      <c r="Y52" s="6">
        <v>30090</v>
      </c>
      <c r="Z52" s="6"/>
      <c r="AA52" s="6">
        <v>3873</v>
      </c>
      <c r="AB52" s="6">
        <v>0</v>
      </c>
      <c r="AC52" s="6">
        <v>3359</v>
      </c>
      <c r="AD52" s="6">
        <v>0</v>
      </c>
      <c r="AE52" s="6">
        <v>0</v>
      </c>
      <c r="AF52" s="8">
        <v>2637.2283919128113</v>
      </c>
      <c r="AG52" s="8">
        <v>9649.735041405962</v>
      </c>
      <c r="AH52" s="9">
        <f t="shared" si="1"/>
        <v>4222647</v>
      </c>
      <c r="AI52" s="7">
        <f t="shared" si="8"/>
        <v>0.94000418628548321</v>
      </c>
      <c r="AJ52" s="9">
        <f t="shared" si="9"/>
        <v>-269510.65377194248</v>
      </c>
      <c r="AK52" s="21">
        <f t="shared" si="4"/>
        <v>0.16678217124578842</v>
      </c>
      <c r="AL52" s="21">
        <f t="shared" si="5"/>
        <v>0.12574424060765724</v>
      </c>
      <c r="AM52" s="18">
        <f t="shared" si="6"/>
        <v>0.14354312959700202</v>
      </c>
      <c r="AN52" s="18">
        <f t="shared" si="7"/>
        <v>2.2104913622556177E-2</v>
      </c>
    </row>
    <row r="53" spans="1:40" hidden="1" x14ac:dyDescent="0.3">
      <c r="A53" s="11">
        <v>45708</v>
      </c>
      <c r="B53" s="6">
        <v>35878408</v>
      </c>
      <c r="C53" s="6">
        <v>2976351.8965517241</v>
      </c>
      <c r="D53" s="7">
        <v>4.4926323822853324E-2</v>
      </c>
      <c r="E53" s="6">
        <v>35456665</v>
      </c>
      <c r="F53" s="11">
        <v>46072</v>
      </c>
      <c r="G53" s="6">
        <v>4209086.9878365574</v>
      </c>
      <c r="H53" s="6">
        <v>3580118.4543166109</v>
      </c>
      <c r="I53" s="6">
        <v>628968.5335199465</v>
      </c>
      <c r="J53" s="6">
        <v>2443975</v>
      </c>
      <c r="K53" s="6">
        <v>3329797</v>
      </c>
      <c r="L53" s="6">
        <v>22405.172413793087</v>
      </c>
      <c r="M53" s="6">
        <f>15937+12034</f>
        <v>27971</v>
      </c>
      <c r="N53" s="6">
        <v>55891</v>
      </c>
      <c r="O53" s="6">
        <v>23965</v>
      </c>
      <c r="P53" s="6">
        <v>2576</v>
      </c>
      <c r="Q53" s="6">
        <v>344</v>
      </c>
      <c r="R53" s="6">
        <v>61430</v>
      </c>
      <c r="S53" s="6">
        <v>65256</v>
      </c>
      <c r="T53" s="6">
        <v>357973</v>
      </c>
      <c r="U53" s="6">
        <v>368888</v>
      </c>
      <c r="V53" s="6">
        <v>24350</v>
      </c>
      <c r="W53" s="6">
        <v>35313</v>
      </c>
      <c r="X53" s="6">
        <v>30156.896551724141</v>
      </c>
      <c r="Y53" s="6">
        <v>25716</v>
      </c>
      <c r="Z53" s="6"/>
      <c r="AA53" s="6">
        <v>7482</v>
      </c>
      <c r="AB53" s="6">
        <v>0</v>
      </c>
      <c r="AC53" s="6">
        <v>1990</v>
      </c>
      <c r="AD53" s="6">
        <v>0</v>
      </c>
      <c r="AE53" s="6">
        <v>689</v>
      </c>
      <c r="AF53" s="8">
        <v>2471.0449997302976</v>
      </c>
      <c r="AG53" s="8">
        <v>9041.6626773434073</v>
      </c>
      <c r="AH53" s="9">
        <f t="shared" si="1"/>
        <v>3887411</v>
      </c>
      <c r="AI53" s="7">
        <f t="shared" si="8"/>
        <v>0.92357582802015292</v>
      </c>
      <c r="AJ53" s="9">
        <f t="shared" si="9"/>
        <v>-321675.98783655744</v>
      </c>
      <c r="AK53" s="21">
        <f t="shared" si="4"/>
        <v>0.3060992567793448</v>
      </c>
      <c r="AL53" s="21">
        <f t="shared" si="5"/>
        <v>8.2956632204854913E-2</v>
      </c>
      <c r="AM53" s="18">
        <f t="shared" si="6"/>
        <v>0.10963837123429403</v>
      </c>
      <c r="AN53" s="18">
        <f t="shared" si="7"/>
        <v>-1.1754785775333176E-2</v>
      </c>
    </row>
    <row r="54" spans="1:40" hidden="1" x14ac:dyDescent="0.3">
      <c r="A54" s="11">
        <v>45709</v>
      </c>
      <c r="B54" s="6">
        <v>36080831</v>
      </c>
      <c r="C54" s="6">
        <v>2470974.9310344825</v>
      </c>
      <c r="D54" s="7">
        <v>3.7224147990110881E-2</v>
      </c>
      <c r="E54" s="6">
        <v>36977163</v>
      </c>
      <c r="F54" s="11">
        <v>46073</v>
      </c>
      <c r="G54" s="6">
        <v>3487480.4703868856</v>
      </c>
      <c r="H54" s="6">
        <v>2966342.3985253335</v>
      </c>
      <c r="I54" s="6">
        <v>521138.07186155237</v>
      </c>
      <c r="J54" s="6">
        <v>1919659</v>
      </c>
      <c r="K54" s="6">
        <v>2545784</v>
      </c>
      <c r="L54" s="6">
        <v>20191.379310344822</v>
      </c>
      <c r="M54" s="6">
        <f>11741+8386</f>
        <v>20127</v>
      </c>
      <c r="N54" s="6">
        <v>54966</v>
      </c>
      <c r="O54" s="6">
        <v>11485</v>
      </c>
      <c r="P54" s="6">
        <v>2375</v>
      </c>
      <c r="Q54" s="6">
        <v>1656</v>
      </c>
      <c r="R54" s="6">
        <v>91325</v>
      </c>
      <c r="S54" s="6">
        <v>148228</v>
      </c>
      <c r="T54" s="6">
        <v>346747</v>
      </c>
      <c r="U54" s="6">
        <v>360812</v>
      </c>
      <c r="V54" s="6">
        <v>33465</v>
      </c>
      <c r="W54" s="6">
        <v>21316</v>
      </c>
      <c r="X54" s="6">
        <v>22437.931034482761</v>
      </c>
      <c r="Y54" s="6">
        <v>16275</v>
      </c>
      <c r="Z54" s="6"/>
      <c r="AA54" s="6">
        <v>3147</v>
      </c>
      <c r="AB54" s="6">
        <v>0</v>
      </c>
      <c r="AC54" s="6">
        <v>1306</v>
      </c>
      <c r="AD54" s="6">
        <v>0</v>
      </c>
      <c r="AE54" s="6">
        <v>0</v>
      </c>
      <c r="AF54" s="8">
        <v>2047.4086667512734</v>
      </c>
      <c r="AG54" s="8">
        <v>7491.5586439967319</v>
      </c>
      <c r="AH54" s="9">
        <f t="shared" si="1"/>
        <v>3130136</v>
      </c>
      <c r="AI54" s="7">
        <f t="shared" si="8"/>
        <v>0.89753506193907273</v>
      </c>
      <c r="AJ54" s="9">
        <f t="shared" si="9"/>
        <v>-357344.47038688557</v>
      </c>
      <c r="AK54" s="21">
        <f t="shared" si="4"/>
        <v>0.26676153638254729</v>
      </c>
      <c r="AL54" s="21">
        <f t="shared" si="5"/>
        <v>6.8484424070900218E-2</v>
      </c>
      <c r="AM54" s="18">
        <f t="shared" si="6"/>
        <v>8.4650517942655573E-2</v>
      </c>
      <c r="AN54" s="18">
        <f t="shared" si="7"/>
        <v>2.4842332483971941E-2</v>
      </c>
    </row>
    <row r="55" spans="1:40" hidden="1" x14ac:dyDescent="0.3">
      <c r="A55" s="11">
        <v>45710</v>
      </c>
      <c r="B55" s="6">
        <v>47042220</v>
      </c>
      <c r="C55" s="6">
        <v>2203194.5</v>
      </c>
      <c r="D55" s="7">
        <v>3.0958314482202754E-2</v>
      </c>
      <c r="E55" s="6">
        <v>49550104</v>
      </c>
      <c r="F55" s="11">
        <v>46074</v>
      </c>
      <c r="G55" s="6">
        <v>2900442.9377795411</v>
      </c>
      <c r="H55" s="6">
        <v>2467026.5350287026</v>
      </c>
      <c r="I55" s="6">
        <v>433416.40275083855</v>
      </c>
      <c r="J55" s="6">
        <v>1745883</v>
      </c>
      <c r="K55" s="6">
        <v>2157328</v>
      </c>
      <c r="L55" s="6">
        <v>22776.724137931029</v>
      </c>
      <c r="M55" s="6">
        <f>16471+12358</f>
        <v>28829</v>
      </c>
      <c r="N55" s="6">
        <v>25877</v>
      </c>
      <c r="O55" s="6">
        <v>12510</v>
      </c>
      <c r="P55" s="6">
        <v>3459</v>
      </c>
      <c r="Q55" s="6">
        <v>215</v>
      </c>
      <c r="R55" s="6">
        <v>44179</v>
      </c>
      <c r="S55" s="6">
        <v>61838</v>
      </c>
      <c r="T55" s="6">
        <v>327055</v>
      </c>
      <c r="U55" s="6">
        <v>366612</v>
      </c>
      <c r="V55" s="6">
        <v>34049</v>
      </c>
      <c r="W55" s="6">
        <v>23690</v>
      </c>
      <c r="X55" s="6">
        <v>22692.5</v>
      </c>
      <c r="Y55" s="6">
        <v>14858</v>
      </c>
      <c r="Z55" s="6"/>
      <c r="AA55" s="6">
        <v>4463</v>
      </c>
      <c r="AB55" s="6">
        <v>0</v>
      </c>
      <c r="AC55" s="6">
        <v>1379</v>
      </c>
      <c r="AD55" s="6">
        <v>0</v>
      </c>
      <c r="AE55" s="6">
        <v>0</v>
      </c>
      <c r="AF55" s="8">
        <v>1702.774268888903</v>
      </c>
      <c r="AG55" s="8">
        <v>6230.5261768336431</v>
      </c>
      <c r="AH55" s="9">
        <f t="shared" si="1"/>
        <v>2671722</v>
      </c>
      <c r="AI55" s="7">
        <f t="shared" si="8"/>
        <v>0.92114275554248948</v>
      </c>
      <c r="AJ55" s="9">
        <f t="shared" si="9"/>
        <v>-228720.93777954113</v>
      </c>
      <c r="AK55" s="21">
        <f t="shared" si="4"/>
        <v>0.21265825600054833</v>
      </c>
      <c r="AL55" s="21">
        <f t="shared" si="5"/>
        <v>4.6834407474817305E-2</v>
      </c>
      <c r="AM55" s="18">
        <f t="shared" si="6"/>
        <v>5.3919604285795245E-2</v>
      </c>
      <c r="AN55" s="18">
        <f t="shared" si="7"/>
        <v>5.3311344575149633E-2</v>
      </c>
    </row>
    <row r="56" spans="1:40" hidden="1" x14ac:dyDescent="0.3">
      <c r="A56" s="11">
        <v>45711</v>
      </c>
      <c r="B56" s="6">
        <v>46157405</v>
      </c>
      <c r="C56" s="6">
        <v>2544241.5689655175</v>
      </c>
      <c r="D56" s="7">
        <v>3.0800811807128001E-2</v>
      </c>
      <c r="E56" s="6">
        <v>40534030</v>
      </c>
      <c r="F56" s="11">
        <v>46075</v>
      </c>
      <c r="G56" s="6">
        <v>2885686.7235203772</v>
      </c>
      <c r="H56" s="6">
        <v>2454475.3582205852</v>
      </c>
      <c r="I56" s="6">
        <v>431211.36529979203</v>
      </c>
      <c r="J56" s="6">
        <v>2001979</v>
      </c>
      <c r="K56" s="6">
        <v>2371363</v>
      </c>
      <c r="L56" s="6">
        <v>20783.620689655167</v>
      </c>
      <c r="M56" s="6">
        <f>18154+11801</f>
        <v>29955</v>
      </c>
      <c r="N56" s="6">
        <v>20320</v>
      </c>
      <c r="O56" s="6">
        <v>-835</v>
      </c>
      <c r="P56" s="6">
        <v>1308</v>
      </c>
      <c r="Q56" s="6">
        <v>361</v>
      </c>
      <c r="R56" s="6">
        <v>92867</v>
      </c>
      <c r="S56" s="6">
        <v>73803</v>
      </c>
      <c r="T56" s="6">
        <v>375118</v>
      </c>
      <c r="U56" s="6">
        <v>303085</v>
      </c>
      <c r="V56" s="6">
        <v>29980</v>
      </c>
      <c r="W56" s="6">
        <v>29461</v>
      </c>
      <c r="X56" s="6">
        <v>22669.568965517243</v>
      </c>
      <c r="Y56" s="6">
        <v>21582</v>
      </c>
      <c r="Z56" s="6"/>
      <c r="AA56" s="6">
        <v>4347</v>
      </c>
      <c r="AB56" s="6">
        <v>0</v>
      </c>
      <c r="AC56" s="6">
        <v>413</v>
      </c>
      <c r="AD56" s="6">
        <v>0</v>
      </c>
      <c r="AE56" s="6">
        <v>0</v>
      </c>
      <c r="AF56" s="8">
        <v>1694.1112810330028</v>
      </c>
      <c r="AG56" s="8">
        <v>6198.8279220549884</v>
      </c>
      <c r="AH56" s="9">
        <f t="shared" si="1"/>
        <v>2833535</v>
      </c>
      <c r="AI56" s="7">
        <f t="shared" si="8"/>
        <v>0.98192744794668663</v>
      </c>
      <c r="AJ56" s="9">
        <f t="shared" si="9"/>
        <v>-52151.723520377185</v>
      </c>
      <c r="AK56" s="21">
        <f t="shared" si="4"/>
        <v>0.11370517428976235</v>
      </c>
      <c r="AL56" s="21">
        <f t="shared" si="5"/>
        <v>5.5120983707067535E-2</v>
      </c>
      <c r="AM56" s="18">
        <f t="shared" si="6"/>
        <v>6.9905089624693134E-2</v>
      </c>
      <c r="AN56" s="18">
        <f t="shared" si="7"/>
        <v>-0.12183039752776392</v>
      </c>
    </row>
    <row r="57" spans="1:40" hidden="1" x14ac:dyDescent="0.3">
      <c r="A57" s="11">
        <v>45712</v>
      </c>
      <c r="B57" s="6">
        <v>26433260</v>
      </c>
      <c r="C57" s="6">
        <v>3319162.4482758623</v>
      </c>
      <c r="D57" s="7">
        <v>3.4805942268889563E-2</v>
      </c>
      <c r="E57" s="6">
        <v>22061722</v>
      </c>
      <c r="F57" s="11">
        <v>46076</v>
      </c>
      <c r="G57" s="6">
        <v>3260922.0215977384</v>
      </c>
      <c r="H57" s="6">
        <v>2773638.8298332845</v>
      </c>
      <c r="I57" s="6">
        <v>487283.19176445389</v>
      </c>
      <c r="J57" s="6">
        <v>2793335</v>
      </c>
      <c r="K57" s="6">
        <v>3389716</v>
      </c>
      <c r="L57" s="6">
        <v>19384.482758620681</v>
      </c>
      <c r="M57" s="6">
        <f>12794+10935</f>
        <v>23729</v>
      </c>
      <c r="N57" s="6">
        <v>44133</v>
      </c>
      <c r="O57" s="6">
        <v>28866</v>
      </c>
      <c r="P57" s="6">
        <v>1728</v>
      </c>
      <c r="Q57" s="6">
        <v>2677</v>
      </c>
      <c r="R57" s="6">
        <v>54932</v>
      </c>
      <c r="S57" s="6">
        <v>76508</v>
      </c>
      <c r="T57" s="6">
        <v>362431</v>
      </c>
      <c r="U57" s="6">
        <v>327888</v>
      </c>
      <c r="V57" s="6">
        <v>32310</v>
      </c>
      <c r="W57" s="6">
        <v>34023</v>
      </c>
      <c r="X57" s="6">
        <v>30293.448275862065</v>
      </c>
      <c r="Y57" s="6">
        <v>20904</v>
      </c>
      <c r="Z57" s="6"/>
      <c r="AA57" s="6">
        <v>3447</v>
      </c>
      <c r="AB57" s="6">
        <v>0</v>
      </c>
      <c r="AC57" s="6">
        <v>430</v>
      </c>
      <c r="AD57" s="6">
        <v>0</v>
      </c>
      <c r="AE57" s="6">
        <v>0</v>
      </c>
      <c r="AF57" s="8">
        <v>1914.4021207604462</v>
      </c>
      <c r="AG57" s="8">
        <v>7004.8818239230877</v>
      </c>
      <c r="AH57" s="9">
        <f t="shared" si="1"/>
        <v>3908188</v>
      </c>
      <c r="AI57" s="7">
        <f t="shared" si="8"/>
        <v>1.1984917069820407</v>
      </c>
      <c r="AJ57" s="9">
        <f t="shared" si="9"/>
        <v>647265.97840226162</v>
      </c>
      <c r="AK57" s="21">
        <f t="shared" si="4"/>
        <v>0.1774621040407669</v>
      </c>
      <c r="AL57" s="21">
        <f t="shared" si="5"/>
        <v>0.12556765409472243</v>
      </c>
      <c r="AM57" s="18">
        <f t="shared" si="6"/>
        <v>0.17714791257001608</v>
      </c>
      <c r="AN57" s="18">
        <f t="shared" si="7"/>
        <v>-0.1653802066033474</v>
      </c>
    </row>
    <row r="58" spans="1:40" hidden="1" x14ac:dyDescent="0.3">
      <c r="A58" s="11">
        <v>45713</v>
      </c>
      <c r="B58" s="6">
        <v>29336448</v>
      </c>
      <c r="C58" s="6">
        <v>3789558.7241379311</v>
      </c>
      <c r="D58" s="7">
        <v>4.3040043230981713E-2</v>
      </c>
      <c r="E58" s="6">
        <v>27778475</v>
      </c>
      <c r="F58" s="11">
        <v>46077</v>
      </c>
      <c r="G58" s="6">
        <v>4032363.8905726606</v>
      </c>
      <c r="H58" s="6">
        <v>3429803.2853389168</v>
      </c>
      <c r="I58" s="6">
        <v>602560.60523374402</v>
      </c>
      <c r="J58" s="6">
        <v>3258143</v>
      </c>
      <c r="K58" s="6">
        <v>3790804</v>
      </c>
      <c r="L58" s="6">
        <v>19955.172413793101</v>
      </c>
      <c r="M58" s="6">
        <f>11627+12049</f>
        <v>23676</v>
      </c>
      <c r="N58" s="6">
        <v>86781</v>
      </c>
      <c r="O58" s="6">
        <v>53511</v>
      </c>
      <c r="P58" s="6">
        <v>8087</v>
      </c>
      <c r="Q58" s="6">
        <v>3950</v>
      </c>
      <c r="R58" s="6">
        <v>28472</v>
      </c>
      <c r="S58" s="6">
        <v>71433</v>
      </c>
      <c r="T58" s="6">
        <v>347028</v>
      </c>
      <c r="U58" s="6">
        <v>328991</v>
      </c>
      <c r="V58" s="6">
        <v>43531</v>
      </c>
      <c r="W58" s="6">
        <v>44374</v>
      </c>
      <c r="X58" s="6">
        <v>17516.724137931036</v>
      </c>
      <c r="Y58" s="6">
        <v>15412</v>
      </c>
      <c r="Z58" s="6"/>
      <c r="AA58" s="6">
        <v>2538</v>
      </c>
      <c r="AB58" s="6">
        <v>0</v>
      </c>
      <c r="AC58" s="6">
        <v>-680</v>
      </c>
      <c r="AD58" s="6">
        <v>0</v>
      </c>
      <c r="AE58" s="6">
        <v>0</v>
      </c>
      <c r="AF58" s="8">
        <v>2367.2954865715637</v>
      </c>
      <c r="AG58" s="8">
        <v>8662.0386312324463</v>
      </c>
      <c r="AH58" s="9">
        <f t="shared" si="1"/>
        <v>4334009</v>
      </c>
      <c r="AI58" s="7">
        <f t="shared" si="8"/>
        <v>1.0748060238642057</v>
      </c>
      <c r="AJ58" s="9">
        <f t="shared" si="9"/>
        <v>301645.1094273394</v>
      </c>
      <c r="AK58" s="21">
        <f t="shared" si="4"/>
        <v>0.14367115421490761</v>
      </c>
      <c r="AL58" s="21">
        <f t="shared" si="5"/>
        <v>0.12917578583944214</v>
      </c>
      <c r="AM58" s="18">
        <f t="shared" si="6"/>
        <v>0.15602040788776203</v>
      </c>
      <c r="AN58" s="18">
        <f t="shared" si="7"/>
        <v>-5.3107076903107009E-2</v>
      </c>
    </row>
    <row r="59" spans="1:40" hidden="1" x14ac:dyDescent="0.3">
      <c r="A59" s="11">
        <v>45714</v>
      </c>
      <c r="B59" s="6">
        <v>32989145</v>
      </c>
      <c r="C59" s="6">
        <v>3426230.3362068967</v>
      </c>
      <c r="D59" s="7">
        <v>4.9776102292603056E-2</v>
      </c>
      <c r="E59" s="6">
        <v>31602573</v>
      </c>
      <c r="F59" s="11">
        <v>46078</v>
      </c>
      <c r="G59" s="6">
        <v>4663456.2242647037</v>
      </c>
      <c r="H59" s="6">
        <v>3966590.792168261</v>
      </c>
      <c r="I59" s="6">
        <v>696865.43209644279</v>
      </c>
      <c r="J59" s="6">
        <v>2924505</v>
      </c>
      <c r="K59" s="6">
        <v>3614722</v>
      </c>
      <c r="L59" s="6">
        <v>19587.068965517239</v>
      </c>
      <c r="M59" s="6">
        <f>16122+15095</f>
        <v>31217</v>
      </c>
      <c r="N59" s="6">
        <v>64657</v>
      </c>
      <c r="O59" s="6">
        <v>80631</v>
      </c>
      <c r="P59" s="6">
        <v>3724</v>
      </c>
      <c r="Q59" s="6">
        <v>-491</v>
      </c>
      <c r="R59" s="6">
        <v>45659</v>
      </c>
      <c r="S59" s="6">
        <v>33888</v>
      </c>
      <c r="T59" s="6">
        <v>329946</v>
      </c>
      <c r="U59" s="6">
        <v>578952</v>
      </c>
      <c r="V59" s="6">
        <v>38488</v>
      </c>
      <c r="W59" s="6">
        <v>54562</v>
      </c>
      <c r="X59" s="6">
        <v>19251.336206896554</v>
      </c>
      <c r="Y59" s="6">
        <v>28200</v>
      </c>
      <c r="Z59" s="6"/>
      <c r="AA59" s="6">
        <v>5951</v>
      </c>
      <c r="AB59" s="6">
        <v>0</v>
      </c>
      <c r="AC59" s="6">
        <v>7009</v>
      </c>
      <c r="AD59" s="6">
        <v>0</v>
      </c>
      <c r="AE59" s="6">
        <v>775</v>
      </c>
      <c r="AF59" s="8">
        <v>2737.7933071308385</v>
      </c>
      <c r="AG59" s="8">
        <v>10017.706503146352</v>
      </c>
      <c r="AH59" s="9">
        <f t="shared" si="1"/>
        <v>4435416</v>
      </c>
      <c r="AI59" s="7">
        <f t="shared" si="8"/>
        <v>0.95110059721839479</v>
      </c>
      <c r="AJ59" s="9">
        <f t="shared" si="9"/>
        <v>-228040.22426470369</v>
      </c>
      <c r="AK59" s="21">
        <f t="shared" si="4"/>
        <v>0.29454694073789289</v>
      </c>
      <c r="AL59" s="21">
        <f t="shared" si="5"/>
        <v>0.10385932512670143</v>
      </c>
      <c r="AM59" s="18">
        <f t="shared" si="6"/>
        <v>0.14034983797047157</v>
      </c>
      <c r="AN59" s="18">
        <f t="shared" si="7"/>
        <v>-4.2031159037313692E-2</v>
      </c>
    </row>
    <row r="60" spans="1:40" hidden="1" x14ac:dyDescent="0.3">
      <c r="A60" s="11">
        <v>45715</v>
      </c>
      <c r="B60" s="6">
        <v>36962519</v>
      </c>
      <c r="C60" s="6">
        <v>3035213.66</v>
      </c>
      <c r="D60" s="7">
        <v>4.4823151254227207E-2</v>
      </c>
      <c r="E60" s="6">
        <v>36200123</v>
      </c>
      <c r="F60" s="11">
        <v>46079</v>
      </c>
      <c r="G60" s="6">
        <v>4199420.8883395642</v>
      </c>
      <c r="H60" s="6">
        <v>3571896.7707803831</v>
      </c>
      <c r="I60" s="6">
        <v>627524.11755918094</v>
      </c>
      <c r="J60" s="6">
        <v>2473117</v>
      </c>
      <c r="K60" s="6">
        <v>2872787</v>
      </c>
      <c r="L60" s="6">
        <v>20014.655172413793</v>
      </c>
      <c r="M60" s="6">
        <f>12579+13284</f>
        <v>25863</v>
      </c>
      <c r="N60" s="6">
        <v>22443</v>
      </c>
      <c r="O60" s="6">
        <v>7979</v>
      </c>
      <c r="P60" s="6">
        <v>8872</v>
      </c>
      <c r="Q60" s="6">
        <v>0</v>
      </c>
      <c r="R60" s="6">
        <v>97686</v>
      </c>
      <c r="S60" s="6">
        <v>126103</v>
      </c>
      <c r="T60" s="6">
        <v>371645</v>
      </c>
      <c r="U60" s="6">
        <v>530958</v>
      </c>
      <c r="V60" s="6">
        <v>41902</v>
      </c>
      <c r="W60" s="6">
        <v>91753</v>
      </c>
      <c r="X60" s="6">
        <v>19548.66</v>
      </c>
      <c r="Y60" s="6">
        <v>15632</v>
      </c>
      <c r="Z60" s="6"/>
      <c r="AA60" s="6">
        <v>4939</v>
      </c>
      <c r="AB60" s="6">
        <v>0</v>
      </c>
      <c r="AC60" s="6">
        <v>5544</v>
      </c>
      <c r="AD60" s="6">
        <v>0</v>
      </c>
      <c r="AE60" s="6">
        <v>0</v>
      </c>
      <c r="AF60" s="8">
        <v>2465.3702852618235</v>
      </c>
      <c r="AG60" s="8">
        <v>9020.8986467329632</v>
      </c>
      <c r="AH60" s="9">
        <f t="shared" si="1"/>
        <v>3681558</v>
      </c>
      <c r="AI60" s="7">
        <f t="shared" si="8"/>
        <v>0.87668230879702913</v>
      </c>
      <c r="AJ60" s="9">
        <f t="shared" si="9"/>
        <v>-517862.8883395642</v>
      </c>
      <c r="AK60" s="21">
        <f t="shared" si="4"/>
        <v>0.21294854741791047</v>
      </c>
      <c r="AL60" s="21">
        <f t="shared" si="5"/>
        <v>8.2115985114542656E-2</v>
      </c>
      <c r="AM60" s="18">
        <f t="shared" si="6"/>
        <v>0.10170015168180506</v>
      </c>
      <c r="AN60" s="18">
        <f t="shared" si="7"/>
        <v>-2.0626191629417923E-2</v>
      </c>
    </row>
    <row r="61" spans="1:40" hidden="1" x14ac:dyDescent="0.3">
      <c r="A61" s="11">
        <v>45716</v>
      </c>
      <c r="B61" s="6">
        <v>42693027</v>
      </c>
      <c r="C61" s="6">
        <v>2405286.4224137929</v>
      </c>
      <c r="D61" s="7">
        <v>3.6512660341347265E-2</v>
      </c>
      <c r="E61" s="6">
        <v>42656916</v>
      </c>
      <c r="F61" s="11">
        <v>46080</v>
      </c>
      <c r="G61" s="6">
        <v>3420822.1473906473</v>
      </c>
      <c r="H61" s="6">
        <v>2909644.9026117856</v>
      </c>
      <c r="I61" s="6">
        <v>511177.2447788617</v>
      </c>
      <c r="J61" s="6">
        <v>1766542</v>
      </c>
      <c r="K61" s="6">
        <v>2328816</v>
      </c>
      <c r="L61" s="6">
        <v>17482.758620689652</v>
      </c>
      <c r="M61" s="6">
        <f>11774+8876</f>
        <v>20650</v>
      </c>
      <c r="N61" s="6">
        <v>73006</v>
      </c>
      <c r="O61" s="6">
        <v>23531</v>
      </c>
      <c r="P61" s="6">
        <v>3125</v>
      </c>
      <c r="Q61" s="6">
        <v>6440</v>
      </c>
      <c r="R61" s="6">
        <v>104847</v>
      </c>
      <c r="S61" s="6">
        <v>122038</v>
      </c>
      <c r="T61" s="6">
        <v>394351</v>
      </c>
      <c r="U61" s="6">
        <v>450008</v>
      </c>
      <c r="V61" s="6">
        <v>40984</v>
      </c>
      <c r="W61" s="6">
        <v>106960</v>
      </c>
      <c r="X61" s="6">
        <v>22431.422413793105</v>
      </c>
      <c r="Y61" s="6">
        <v>15315</v>
      </c>
      <c r="Z61" s="6"/>
      <c r="AA61" s="6">
        <v>3641</v>
      </c>
      <c r="AB61" s="6">
        <v>0</v>
      </c>
      <c r="AC61" s="6">
        <v>2547</v>
      </c>
      <c r="AD61" s="6">
        <v>0</v>
      </c>
      <c r="AE61" s="6">
        <v>775</v>
      </c>
      <c r="AF61" s="8">
        <v>2008.2753069023897</v>
      </c>
      <c r="AG61" s="8">
        <v>7348.3679537327671</v>
      </c>
      <c r="AH61" s="9">
        <f t="shared" si="1"/>
        <v>3080721</v>
      </c>
      <c r="AI61" s="7">
        <f t="shared" si="8"/>
        <v>0.90057912024158537</v>
      </c>
      <c r="AJ61" s="9">
        <f t="shared" si="9"/>
        <v>-340101.14739064733</v>
      </c>
      <c r="AK61" s="21">
        <f t="shared" si="4"/>
        <v>0.28081253496138059</v>
      </c>
      <c r="AL61" s="21">
        <f t="shared" si="5"/>
        <v>5.6339093089224919E-2</v>
      </c>
      <c r="AM61" s="18">
        <f t="shared" si="6"/>
        <v>7.2220903170777742E-2</v>
      </c>
      <c r="AN61" s="18">
        <f t="shared" si="7"/>
        <v>-8.4582899216778529E-4</v>
      </c>
    </row>
    <row r="62" spans="1:40" hidden="1" x14ac:dyDescent="0.3">
      <c r="A62" s="11">
        <v>45717</v>
      </c>
      <c r="B62" s="6">
        <v>50836467</v>
      </c>
      <c r="C62" s="6">
        <v>2063233</v>
      </c>
      <c r="D62" s="7">
        <v>3.0299894296073281E-2</v>
      </c>
      <c r="E62" s="6">
        <v>51597186</v>
      </c>
      <c r="F62" s="11">
        <v>46081</v>
      </c>
      <c r="G62" s="6">
        <v>2838756.4341409602</v>
      </c>
      <c r="H62" s="6">
        <v>2414557.9139959347</v>
      </c>
      <c r="I62" s="6">
        <v>424198.52014502592</v>
      </c>
      <c r="J62" s="6">
        <v>1547553</v>
      </c>
      <c r="K62" s="6">
        <v>2298757</v>
      </c>
      <c r="L62" s="6">
        <v>23759.482758620685</v>
      </c>
      <c r="M62" s="6">
        <f>17672+10634</f>
        <v>28306</v>
      </c>
      <c r="N62" s="6">
        <v>41023</v>
      </c>
      <c r="O62" s="6">
        <v>7846</v>
      </c>
      <c r="P62" s="6">
        <v>2722</v>
      </c>
      <c r="Q62" s="6">
        <v>0</v>
      </c>
      <c r="R62" s="6">
        <v>37541</v>
      </c>
      <c r="S62" s="6">
        <v>67232</v>
      </c>
      <c r="T62" s="6">
        <v>384483</v>
      </c>
      <c r="U62" s="6">
        <v>415460</v>
      </c>
      <c r="V62" s="6">
        <v>29795</v>
      </c>
      <c r="W62" s="6">
        <v>103810</v>
      </c>
      <c r="X62" s="6">
        <v>13746</v>
      </c>
      <c r="Y62" s="6">
        <v>16109</v>
      </c>
      <c r="Z62" s="6">
        <v>6370</v>
      </c>
      <c r="AA62" s="6">
        <v>3746</v>
      </c>
      <c r="AB62" s="6">
        <v>0</v>
      </c>
      <c r="AC62" s="6">
        <v>-5</v>
      </c>
      <c r="AD62" s="6">
        <v>0</v>
      </c>
      <c r="AE62" s="6">
        <v>1895</v>
      </c>
      <c r="AF62" s="8">
        <v>1666.5597342861606</v>
      </c>
      <c r="AG62" s="8">
        <v>6098.0155969248535</v>
      </c>
      <c r="AH62" s="9">
        <f t="shared" si="1"/>
        <v>2943156</v>
      </c>
      <c r="AI62" s="7">
        <f t="shared" si="8"/>
        <v>1.0367765140409562</v>
      </c>
      <c r="AJ62" s="9">
        <f t="shared" si="9"/>
        <v>104399.56585903978</v>
      </c>
      <c r="AK62" s="21">
        <f t="shared" si="4"/>
        <v>0.4264777657201102</v>
      </c>
      <c r="AL62" s="21">
        <f t="shared" si="5"/>
        <v>4.0585688222590288E-2</v>
      </c>
      <c r="AM62" s="18">
        <f t="shared" si="6"/>
        <v>5.7041017702011886E-2</v>
      </c>
      <c r="AN62" s="18">
        <f t="shared" si="7"/>
        <v>1.4964041462597999E-2</v>
      </c>
    </row>
    <row r="63" spans="1:40" x14ac:dyDescent="0.3">
      <c r="A63" s="11">
        <v>45718</v>
      </c>
      <c r="B63" s="6">
        <v>48002488</v>
      </c>
      <c r="C63" s="6">
        <v>2666616</v>
      </c>
      <c r="D63" s="7">
        <v>2.4565917318807248E-2</v>
      </c>
      <c r="E63" s="6">
        <v>52843119</v>
      </c>
      <c r="F63" s="11">
        <v>46082</v>
      </c>
      <c r="G63" s="6">
        <f>+Tabla2[[#This Row],[Meta Digital]]+Tabla2[[#This Row],[Meta MKPlace]]</f>
        <v>2932029.5766772046</v>
      </c>
      <c r="H63" s="6">
        <v>2431166.5607474316</v>
      </c>
      <c r="I63" s="6">
        <v>500863.0159297731</v>
      </c>
      <c r="J63" s="6">
        <v>2044641</v>
      </c>
      <c r="K63" s="6">
        <v>2769749</v>
      </c>
      <c r="L63" s="6">
        <v>23281.896551724138</v>
      </c>
      <c r="M63" s="6">
        <f>19644+14270</f>
        <v>33914</v>
      </c>
      <c r="N63" s="6">
        <v>3956</v>
      </c>
      <c r="O63" s="6">
        <v>26512</v>
      </c>
      <c r="P63" s="6">
        <v>7228</v>
      </c>
      <c r="Q63" s="6">
        <v>0</v>
      </c>
      <c r="R63" s="6">
        <v>118573</v>
      </c>
      <c r="S63" s="6">
        <v>96454</v>
      </c>
      <c r="T63" s="6">
        <v>444525</v>
      </c>
      <c r="U63" s="6">
        <v>447295</v>
      </c>
      <c r="V63" s="6">
        <v>31189</v>
      </c>
      <c r="W63" s="6">
        <v>95383</v>
      </c>
      <c r="X63" s="6">
        <v>12849</v>
      </c>
      <c r="Y63" s="6">
        <v>21210</v>
      </c>
      <c r="Z63" s="6">
        <v>3655</v>
      </c>
      <c r="AA63" s="6">
        <v>3536</v>
      </c>
      <c r="AB63" s="6">
        <v>0</v>
      </c>
      <c r="AC63" s="6">
        <v>430</v>
      </c>
      <c r="AD63" s="6">
        <v>0</v>
      </c>
      <c r="AE63" s="6">
        <v>0</v>
      </c>
      <c r="AF63" s="8" t="e">
        <f>+Tabla2[[#This Row],[Venta Meta 2026]]/#REF!</f>
        <v>#REF!</v>
      </c>
      <c r="AG63" s="8" t="e">
        <f>+Tabla2[[#This Row],[Ordenes]]*#REF!</f>
        <v>#REF!</v>
      </c>
      <c r="AH63" s="9">
        <f t="shared" si="1"/>
        <v>3494483</v>
      </c>
      <c r="AI63" s="7">
        <f t="shared" si="8"/>
        <v>1.191830746796289</v>
      </c>
      <c r="AJ63" s="9">
        <f t="shared" si="9"/>
        <v>562453.42332279542</v>
      </c>
      <c r="AK63" s="21">
        <f t="shared" si="4"/>
        <v>0.31045602366444958</v>
      </c>
      <c r="AL63" s="21">
        <f t="shared" si="5"/>
        <v>5.5551620574333563E-2</v>
      </c>
      <c r="AM63" s="18">
        <f t="shared" si="6"/>
        <v>6.6129385738945501E-2</v>
      </c>
      <c r="AN63" s="18">
        <f t="shared" si="7"/>
        <v>0.1008412522284261</v>
      </c>
    </row>
    <row r="64" spans="1:40" x14ac:dyDescent="0.3">
      <c r="A64" s="11">
        <v>45719</v>
      </c>
      <c r="B64" s="6">
        <v>28870398</v>
      </c>
      <c r="C64" s="6">
        <v>3576125</v>
      </c>
      <c r="D64" s="7">
        <v>3.2058519439686885E-2</v>
      </c>
      <c r="E64" s="6">
        <v>29862876</v>
      </c>
      <c r="F64" s="11">
        <v>46083</v>
      </c>
      <c r="G64" s="6">
        <f>+Tabla2[[#This Row],[Meta Digital]]+Tabla2[[#This Row],[Meta MKPlace]]</f>
        <v>3826298.2799213827</v>
      </c>
      <c r="H64" s="6">
        <v>3172672.0983941848</v>
      </c>
      <c r="I64" s="6">
        <v>653626.18152719759</v>
      </c>
      <c r="J64" s="6">
        <v>2912160</v>
      </c>
      <c r="K64" s="6">
        <v>3687641</v>
      </c>
      <c r="L64" s="6">
        <v>17015.517241379308</v>
      </c>
      <c r="M64" s="6">
        <f>15565+11372</f>
        <v>26937</v>
      </c>
      <c r="N64" s="6">
        <v>70126</v>
      </c>
      <c r="O64" s="6">
        <v>15825</v>
      </c>
      <c r="P64" s="6">
        <v>2478</v>
      </c>
      <c r="Q64" s="6">
        <v>7457</v>
      </c>
      <c r="R64" s="6">
        <v>47499</v>
      </c>
      <c r="S64" s="6">
        <v>107185</v>
      </c>
      <c r="T64" s="6">
        <v>481304</v>
      </c>
      <c r="U64" s="6">
        <v>452113</v>
      </c>
      <c r="V64" s="6">
        <v>33324</v>
      </c>
      <c r="W64" s="6">
        <v>85564</v>
      </c>
      <c r="X64" s="6">
        <v>22831</v>
      </c>
      <c r="Y64" s="6">
        <v>6520</v>
      </c>
      <c r="Z64" s="6">
        <v>6403</v>
      </c>
      <c r="AA64" s="6">
        <v>4483</v>
      </c>
      <c r="AB64" s="6">
        <v>0</v>
      </c>
      <c r="AC64" s="6">
        <v>515</v>
      </c>
      <c r="AD64" s="6">
        <v>0</v>
      </c>
      <c r="AE64" s="6">
        <v>0</v>
      </c>
      <c r="AF64" s="8" t="e">
        <f>+Tabla2[[#This Row],[Venta Meta 2026]]/#REF!</f>
        <v>#REF!</v>
      </c>
      <c r="AG64" s="8" t="e">
        <f>+Tabla2[[#This Row],[Ordenes]]*#REF!</f>
        <v>#REF!</v>
      </c>
      <c r="AH64" s="9">
        <f t="shared" si="1"/>
        <v>4394240</v>
      </c>
      <c r="AI64" s="7">
        <f t="shared" si="8"/>
        <v>1.1484311150175899</v>
      </c>
      <c r="AJ64" s="9">
        <f t="shared" si="9"/>
        <v>567941.72007861733</v>
      </c>
      <c r="AK64" s="21">
        <f t="shared" si="4"/>
        <v>0.22877136565416478</v>
      </c>
      <c r="AL64" s="21">
        <f t="shared" si="5"/>
        <v>0.12386822654817575</v>
      </c>
      <c r="AM64" s="18">
        <f t="shared" si="6"/>
        <v>0.14714724730464673</v>
      </c>
      <c r="AN64" s="18">
        <f t="shared" si="7"/>
        <v>3.4377011359524756E-2</v>
      </c>
    </row>
    <row r="65" spans="1:40" x14ac:dyDescent="0.3">
      <c r="A65" s="11">
        <v>45720</v>
      </c>
      <c r="B65" s="6">
        <v>30118136</v>
      </c>
      <c r="C65" s="6">
        <v>3878549</v>
      </c>
      <c r="D65" s="7">
        <v>4.0259308525502198E-2</v>
      </c>
      <c r="E65" s="6">
        <v>33171704</v>
      </c>
      <c r="F65" s="11">
        <v>46084</v>
      </c>
      <c r="G65" s="6">
        <f>+Tabla2[[#This Row],[Meta Digital]]+Tabla2[[#This Row],[Meta MKPlace]]</f>
        <v>4805091.6154054888</v>
      </c>
      <c r="H65" s="6">
        <v>3984263.3749761055</v>
      </c>
      <c r="I65" s="6">
        <v>820828.24042938289</v>
      </c>
      <c r="J65" s="6">
        <v>3347118</v>
      </c>
      <c r="K65" s="6">
        <v>4158362</v>
      </c>
      <c r="L65" s="6">
        <v>20705.172413793101</v>
      </c>
      <c r="M65" s="6">
        <f>15135+6897</f>
        <v>22032</v>
      </c>
      <c r="N65" s="6">
        <v>55930</v>
      </c>
      <c r="O65" s="6">
        <v>47632</v>
      </c>
      <c r="P65" s="6">
        <v>5121</v>
      </c>
      <c r="Q65" s="6">
        <v>2071</v>
      </c>
      <c r="R65" s="6">
        <v>33120</v>
      </c>
      <c r="S65" s="6">
        <v>74989</v>
      </c>
      <c r="T65" s="6">
        <v>340219</v>
      </c>
      <c r="U65" s="6">
        <v>653421</v>
      </c>
      <c r="V65" s="6">
        <v>73972</v>
      </c>
      <c r="W65" s="6">
        <v>126548</v>
      </c>
      <c r="X65" s="6">
        <v>16003</v>
      </c>
      <c r="Y65" s="6">
        <v>5908</v>
      </c>
      <c r="Z65" s="6">
        <v>7066</v>
      </c>
      <c r="AA65" s="6">
        <v>4036</v>
      </c>
      <c r="AB65" s="6">
        <v>0</v>
      </c>
      <c r="AC65" s="6">
        <v>2377</v>
      </c>
      <c r="AD65" s="6">
        <v>0</v>
      </c>
      <c r="AE65" s="6">
        <v>775</v>
      </c>
      <c r="AF65" s="8" t="e">
        <f>+Tabla2[[#This Row],[Venta Meta 2026]]/#REF!</f>
        <v>#REF!</v>
      </c>
      <c r="AG65" s="8" t="e">
        <f>+Tabla2[[#This Row],[Ordenes]]*#REF!</f>
        <v>#REF!</v>
      </c>
      <c r="AH65" s="9">
        <f t="shared" si="1"/>
        <v>5098151</v>
      </c>
      <c r="AI65" s="7">
        <f t="shared" si="8"/>
        <v>1.0609893438149942</v>
      </c>
      <c r="AJ65" s="9">
        <f t="shared" si="9"/>
        <v>293059.38459451124</v>
      </c>
      <c r="AK65" s="21">
        <f t="shared" si="4"/>
        <v>0.31444800620025681</v>
      </c>
      <c r="AL65" s="21">
        <f t="shared" si="5"/>
        <v>0.12877785663760866</v>
      </c>
      <c r="AM65" s="18">
        <f t="shared" si="6"/>
        <v>0.15368975317035266</v>
      </c>
      <c r="AN65" s="18">
        <f t="shared" si="7"/>
        <v>0.10138635405590835</v>
      </c>
    </row>
    <row r="66" spans="1:40" x14ac:dyDescent="0.3">
      <c r="A66" s="11">
        <v>45721</v>
      </c>
      <c r="B66" s="6">
        <v>32149498</v>
      </c>
      <c r="C66" s="6">
        <v>3692021</v>
      </c>
      <c r="D66" s="7">
        <v>4.3408363928110295E-2</v>
      </c>
      <c r="E66" s="6">
        <v>34982813</v>
      </c>
      <c r="F66" s="11">
        <v>46085</v>
      </c>
      <c r="G66" s="6">
        <f>+Tabla2[[#This Row],[Meta Digital]]+Tabla2[[#This Row],[Meta MKPlace]]</f>
        <v>5180942.5742448466</v>
      </c>
      <c r="H66" s="6">
        <v>4295909.7138205599</v>
      </c>
      <c r="I66" s="6">
        <v>885032.86042428634</v>
      </c>
      <c r="J66" s="6">
        <v>3027297</v>
      </c>
      <c r="K66" s="6">
        <v>4047073</v>
      </c>
      <c r="L66" s="6">
        <v>20405.172413793101</v>
      </c>
      <c r="M66" s="6">
        <f>12091+9547</f>
        <v>21638</v>
      </c>
      <c r="N66" s="6">
        <v>61036</v>
      </c>
      <c r="O66" s="6">
        <v>50390</v>
      </c>
      <c r="P66" s="6">
        <v>128</v>
      </c>
      <c r="Q66" s="6">
        <v>7095</v>
      </c>
      <c r="R66" s="6">
        <v>94925</v>
      </c>
      <c r="S66" s="6">
        <v>81778</v>
      </c>
      <c r="T66" s="6">
        <v>365903</v>
      </c>
      <c r="U66" s="6">
        <v>480522</v>
      </c>
      <c r="V66" s="6">
        <v>115450</v>
      </c>
      <c r="W66" s="6">
        <v>55623</v>
      </c>
      <c r="X66" s="6">
        <v>19487</v>
      </c>
      <c r="Y66" s="6">
        <v>12102</v>
      </c>
      <c r="Z66" s="6">
        <v>7795</v>
      </c>
      <c r="AA66" s="6">
        <v>6133</v>
      </c>
      <c r="AB66" s="6">
        <v>0</v>
      </c>
      <c r="AC66" s="6">
        <v>1534</v>
      </c>
      <c r="AD66" s="6">
        <v>0</v>
      </c>
      <c r="AE66" s="6">
        <v>0</v>
      </c>
      <c r="AF66" s="8" t="e">
        <f>+Tabla2[[#This Row],[Venta Meta 2026]]/#REF!</f>
        <v>#REF!</v>
      </c>
      <c r="AG66" s="8" t="e">
        <f>+Tabla2[[#This Row],[Ordenes]]*#REF!</f>
        <v>#REF!</v>
      </c>
      <c r="AH66" s="9">
        <f t="shared" si="1"/>
        <v>4763888</v>
      </c>
      <c r="AI66" s="7">
        <f t="shared" ref="AI66" si="10">+AH66/G66</f>
        <v>0.91950218164584951</v>
      </c>
      <c r="AJ66" s="9">
        <f t="shared" ref="AJ66" si="11">+AH66-G66</f>
        <v>-417054.57424484659</v>
      </c>
      <c r="AK66" s="21">
        <f t="shared" si="4"/>
        <v>0.29031985462704579</v>
      </c>
      <c r="AL66" s="21">
        <f t="shared" si="5"/>
        <v>0.11483914927691873</v>
      </c>
      <c r="AM66" s="18">
        <f t="shared" si="6"/>
        <v>0.13617795687270776</v>
      </c>
      <c r="AN66" s="18">
        <f t="shared" si="7"/>
        <v>8.8129369858279016E-2</v>
      </c>
    </row>
    <row r="67" spans="1:40" x14ac:dyDescent="0.3">
      <c r="A67" s="11">
        <v>45722</v>
      </c>
      <c r="B67" s="6">
        <v>37519228</v>
      </c>
      <c r="C67" s="6">
        <v>2780056</v>
      </c>
      <c r="D67" s="7">
        <v>3.9123196726046097E-2</v>
      </c>
      <c r="E67" s="6">
        <v>38712693</v>
      </c>
      <c r="F67" s="11">
        <v>46086</v>
      </c>
      <c r="G67" s="6">
        <f>+Tabla2[[#This Row],[Meta Digital]]+Tabla2[[#This Row],[Meta MKPlace]]</f>
        <v>4669492.6326690689</v>
      </c>
      <c r="H67" s="6">
        <v>3871828.045154586</v>
      </c>
      <c r="I67" s="6">
        <v>797664.58751448279</v>
      </c>
      <c r="J67" s="6">
        <v>2179001</v>
      </c>
      <c r="K67" s="6">
        <v>3273154</v>
      </c>
      <c r="L67" s="6">
        <v>20349.137931034478</v>
      </c>
      <c r="M67" s="6"/>
      <c r="N67" s="6">
        <v>52546</v>
      </c>
      <c r="O67" s="6">
        <v>21743</v>
      </c>
      <c r="P67" s="6">
        <v>1600</v>
      </c>
      <c r="Q67" s="6">
        <v>154</v>
      </c>
      <c r="R67" s="6">
        <v>74876</v>
      </c>
      <c r="S67" s="6">
        <v>89264</v>
      </c>
      <c r="T67" s="6">
        <v>330846</v>
      </c>
      <c r="U67" s="6">
        <v>393807</v>
      </c>
      <c r="V67" s="6">
        <v>120380</v>
      </c>
      <c r="W67" s="6">
        <v>40051</v>
      </c>
      <c r="X67" s="6">
        <v>14076</v>
      </c>
      <c r="Y67" s="6">
        <v>5342</v>
      </c>
      <c r="Z67" s="6">
        <v>6731</v>
      </c>
      <c r="AA67" s="6">
        <v>5065</v>
      </c>
      <c r="AB67" s="6">
        <v>0</v>
      </c>
      <c r="AC67" s="6"/>
      <c r="AD67" s="6">
        <v>0</v>
      </c>
      <c r="AE67" s="6"/>
      <c r="AF67" s="8" t="e">
        <f>+Tabla2[[#This Row],[Venta Meta 2026]]/#REF!</f>
        <v>#REF!</v>
      </c>
      <c r="AG67" s="8" t="e">
        <f>+Tabla2[[#This Row],[Ordenes]]*#REF!</f>
        <v>#REF!</v>
      </c>
      <c r="AH67" s="9">
        <f t="shared" si="1"/>
        <v>3828580</v>
      </c>
      <c r="AI67" s="7">
        <f t="shared" ref="AI67" si="12">+AH67/G67</f>
        <v>0.81991348978991629</v>
      </c>
      <c r="AJ67" s="9">
        <f t="shared" ref="AJ67" si="13">+AH67-G67</f>
        <v>-840912.63266906887</v>
      </c>
      <c r="AK67" s="21">
        <f t="shared" si="4"/>
        <v>0.37715930902111316</v>
      </c>
      <c r="AL67" s="21">
        <f t="shared" si="5"/>
        <v>7.4096833762144571E-2</v>
      </c>
      <c r="AM67" s="18">
        <f t="shared" si="6"/>
        <v>9.8897278988056961E-2</v>
      </c>
      <c r="AN67" s="18">
        <f t="shared" si="7"/>
        <v>3.1809423157640682E-2</v>
      </c>
    </row>
    <row r="68" spans="1:40" x14ac:dyDescent="0.3">
      <c r="A68" s="11">
        <v>45723</v>
      </c>
      <c r="B68" s="6">
        <v>39523265</v>
      </c>
      <c r="C68" s="6">
        <v>2664201</v>
      </c>
      <c r="D68" s="7">
        <v>2.9295637510810733E-2</v>
      </c>
      <c r="E68" s="6">
        <v>39872258</v>
      </c>
      <c r="F68" s="11">
        <v>46087</v>
      </c>
      <c r="G68" s="6">
        <f>+Tabla2[[#This Row],[Meta Digital]]+Tabla2[[#This Row],[Meta MKPlace]]</f>
        <v>3496538.4982204987</v>
      </c>
      <c r="H68" s="6">
        <v>2899243.426075296</v>
      </c>
      <c r="I68" s="6">
        <v>597295.07214520255</v>
      </c>
      <c r="J68" s="6">
        <v>2026319</v>
      </c>
      <c r="K68" s="6">
        <v>2313818</v>
      </c>
      <c r="L68" s="6">
        <v>17718.103448275862</v>
      </c>
      <c r="M68" s="6"/>
      <c r="N68" s="6">
        <v>60599</v>
      </c>
      <c r="O68" s="6">
        <v>32023</v>
      </c>
      <c r="P68" s="6">
        <v>1392</v>
      </c>
      <c r="Q68" s="6">
        <v>1687</v>
      </c>
      <c r="R68" s="6">
        <v>69932</v>
      </c>
      <c r="S68" s="6">
        <v>118330</v>
      </c>
      <c r="T68" s="6">
        <v>369062</v>
      </c>
      <c r="U68" s="6">
        <v>299324</v>
      </c>
      <c r="V68" s="6">
        <v>123391</v>
      </c>
      <c r="W68" s="6">
        <v>33674</v>
      </c>
      <c r="X68" s="6">
        <v>10054</v>
      </c>
      <c r="Y68" s="6">
        <v>6895</v>
      </c>
      <c r="Z68" s="6">
        <v>3452</v>
      </c>
      <c r="AA68" s="6">
        <v>6866</v>
      </c>
      <c r="AB68" s="6">
        <v>0</v>
      </c>
      <c r="AC68" s="6"/>
      <c r="AD68" s="6">
        <v>0</v>
      </c>
      <c r="AE68" s="6"/>
      <c r="AF68" s="8" t="e">
        <f>+Tabla2[[#This Row],[Venta Meta 2026]]/#REF!</f>
        <v>#REF!</v>
      </c>
      <c r="AG68" s="8" t="e">
        <f>+Tabla2[[#This Row],[Ordenes]]*#REF!</f>
        <v>#REF!</v>
      </c>
      <c r="AH68" s="9">
        <f t="shared" ref="AH68:AH131" si="14">+AE68+AC68+AA68+Y68+W68+U68+S68+Q68+O68+M68+K68</f>
        <v>2812617</v>
      </c>
      <c r="AI68" s="7">
        <f t="shared" ref="AI68:AI70" si="15">+AH68/G68</f>
        <v>0.80440040955688941</v>
      </c>
      <c r="AJ68" s="9">
        <f t="shared" ref="AJ68:AJ70" si="16">+AH68-G68</f>
        <v>-683921.49822049867</v>
      </c>
      <c r="AK68" s="21">
        <f t="shared" ref="AK68:AK131" si="17">+AH68/C68-1</f>
        <v>5.5707508555097762E-2</v>
      </c>
      <c r="AL68" s="21">
        <f t="shared" ref="AL68:AL131" si="18">+C68/B68</f>
        <v>6.7408423873887943E-2</v>
      </c>
      <c r="AM68" s="18">
        <f t="shared" ref="AM68:AM131" si="19">+AH68/E68</f>
        <v>7.0540700253293911E-2</v>
      </c>
      <c r="AN68" s="18">
        <f t="shared" ref="AN68:AN131" si="20">+E68/B68-1</f>
        <v>8.8300650262573832E-3</v>
      </c>
    </row>
    <row r="69" spans="1:40" x14ac:dyDescent="0.3">
      <c r="A69" s="11">
        <v>45724</v>
      </c>
      <c r="B69" s="6">
        <v>48982826</v>
      </c>
      <c r="C69" s="6">
        <v>2136930</v>
      </c>
      <c r="D69" s="7">
        <v>2.8269524898256872E-2</v>
      </c>
      <c r="E69" s="6">
        <v>52578844</v>
      </c>
      <c r="F69" s="11">
        <v>46088</v>
      </c>
      <c r="G69" s="6">
        <f>+Tabla2[[#This Row],[Meta Digital]]+Tabla2[[#This Row],[Meta MKPlace]]</f>
        <v>3374068.3095454713</v>
      </c>
      <c r="H69" s="6">
        <v>2797694.1682630396</v>
      </c>
      <c r="I69" s="6">
        <v>576374.1412824319</v>
      </c>
      <c r="J69" s="6">
        <v>1605799</v>
      </c>
      <c r="K69" s="6">
        <v>2036782</v>
      </c>
      <c r="L69" s="6">
        <v>16966.379310344826</v>
      </c>
      <c r="M69" s="6"/>
      <c r="N69" s="6">
        <v>27670</v>
      </c>
      <c r="O69" s="6">
        <v>12659</v>
      </c>
      <c r="P69" s="6">
        <v>257</v>
      </c>
      <c r="Q69" s="6">
        <v>1118</v>
      </c>
      <c r="R69" s="6">
        <v>58244</v>
      </c>
      <c r="S69" s="6">
        <v>33500</v>
      </c>
      <c r="T69" s="6">
        <v>305214</v>
      </c>
      <c r="U69" s="6">
        <v>318037</v>
      </c>
      <c r="V69" s="6">
        <v>118323</v>
      </c>
      <c r="W69" s="6">
        <v>29312</v>
      </c>
      <c r="X69" s="6">
        <v>13685</v>
      </c>
      <c r="Y69" s="6">
        <v>16246</v>
      </c>
      <c r="Z69" s="6">
        <v>7738</v>
      </c>
      <c r="AA69" s="6">
        <v>7308</v>
      </c>
      <c r="AB69" s="6">
        <v>0</v>
      </c>
      <c r="AC69" s="6"/>
      <c r="AD69" s="6">
        <v>0</v>
      </c>
      <c r="AE69" s="6"/>
      <c r="AF69" s="8" t="e">
        <f>+Tabla2[[#This Row],[Venta Meta 2026]]/#REF!</f>
        <v>#REF!</v>
      </c>
      <c r="AG69" s="8" t="e">
        <f>+Tabla2[[#This Row],[Ordenes]]*#REF!</f>
        <v>#REF!</v>
      </c>
      <c r="AH69" s="9">
        <f t="shared" si="14"/>
        <v>2454962</v>
      </c>
      <c r="AI69" s="7">
        <f t="shared" si="15"/>
        <v>0.72759700598080468</v>
      </c>
      <c r="AJ69" s="9">
        <f t="shared" si="16"/>
        <v>-919106.30954547133</v>
      </c>
      <c r="AK69" s="21">
        <f t="shared" si="17"/>
        <v>0.14882658767484203</v>
      </c>
      <c r="AL69" s="21">
        <f t="shared" si="18"/>
        <v>4.3626106831810806E-2</v>
      </c>
      <c r="AM69" s="18">
        <f t="shared" si="19"/>
        <v>4.669106076200534E-2</v>
      </c>
      <c r="AN69" s="18">
        <f t="shared" si="20"/>
        <v>7.341385325542471E-2</v>
      </c>
    </row>
    <row r="70" spans="1:40" x14ac:dyDescent="0.3">
      <c r="A70" s="11">
        <v>45725</v>
      </c>
      <c r="B70" s="6">
        <v>48219670</v>
      </c>
      <c r="C70" s="6">
        <v>2524166</v>
      </c>
      <c r="D70" s="7">
        <v>2.3896756485603358E-2</v>
      </c>
      <c r="E70" s="6">
        <v>53652093</v>
      </c>
      <c r="F70" s="11">
        <v>46089</v>
      </c>
      <c r="G70" s="6">
        <f>+Tabla2[[#This Row],[Meta Digital]]+Tabla2[[#This Row],[Meta MKPlace]]</f>
        <v>2852162.852017764</v>
      </c>
      <c r="H70" s="6">
        <v>2364943.0438180757</v>
      </c>
      <c r="I70" s="6">
        <v>487219.80819968809</v>
      </c>
      <c r="J70" s="6">
        <v>1900810</v>
      </c>
      <c r="K70" s="6">
        <v>4090457</v>
      </c>
      <c r="L70" s="6">
        <v>21363.793103448268</v>
      </c>
      <c r="M70" s="6"/>
      <c r="N70" s="6">
        <v>18440</v>
      </c>
      <c r="O70" s="6">
        <v>-800</v>
      </c>
      <c r="P70" s="6">
        <v>10318</v>
      </c>
      <c r="Q70" s="6">
        <v>2170</v>
      </c>
      <c r="R70" s="6">
        <v>85023</v>
      </c>
      <c r="S70" s="6">
        <v>76790</v>
      </c>
      <c r="T70" s="6">
        <v>365073</v>
      </c>
      <c r="U70" s="6">
        <v>438569</v>
      </c>
      <c r="V70" s="6">
        <v>119743</v>
      </c>
      <c r="W70" s="6">
        <v>28025</v>
      </c>
      <c r="X70" s="6">
        <v>17150</v>
      </c>
      <c r="Y70" s="6">
        <v>15404</v>
      </c>
      <c r="Z70" s="6">
        <v>7609</v>
      </c>
      <c r="AA70" s="6">
        <v>5875</v>
      </c>
      <c r="AB70" s="6">
        <v>0</v>
      </c>
      <c r="AC70" s="6"/>
      <c r="AD70" s="6">
        <v>0</v>
      </c>
      <c r="AE70" s="6"/>
      <c r="AF70" s="8" t="e">
        <f>+Tabla2[[#This Row],[Venta Meta 2026]]/#REF!</f>
        <v>#REF!</v>
      </c>
      <c r="AG70" s="8" t="e">
        <f>+Tabla2[[#This Row],[Ordenes]]*#REF!</f>
        <v>#REF!</v>
      </c>
      <c r="AH70" s="9">
        <f t="shared" si="14"/>
        <v>4656490</v>
      </c>
      <c r="AI70" s="7">
        <f t="shared" si="15"/>
        <v>1.6326171546290786</v>
      </c>
      <c r="AJ70" s="9">
        <f t="shared" si="16"/>
        <v>1804327.147982236</v>
      </c>
      <c r="AK70" s="21">
        <f t="shared" si="17"/>
        <v>0.84476377544107639</v>
      </c>
      <c r="AL70" s="21">
        <f t="shared" si="18"/>
        <v>5.2347226764513317E-2</v>
      </c>
      <c r="AM70" s="18">
        <f t="shared" si="19"/>
        <v>8.6790463141857302E-2</v>
      </c>
      <c r="AN70" s="18">
        <f t="shared" si="20"/>
        <v>0.11265989584748293</v>
      </c>
    </row>
    <row r="71" spans="1:40" x14ac:dyDescent="0.3">
      <c r="A71" s="11">
        <v>45726</v>
      </c>
      <c r="B71" s="6">
        <v>29158858</v>
      </c>
      <c r="C71" s="6">
        <v>3730767</v>
      </c>
      <c r="D71" s="7">
        <v>3.0810577440055664E-2</v>
      </c>
      <c r="E71" s="6"/>
      <c r="F71" s="11">
        <v>46090</v>
      </c>
      <c r="G71" s="6">
        <f>+Tabla2[[#This Row],[Meta Digital]]+Tabla2[[#This Row],[Meta MKPlace]]</f>
        <v>3677351.9651792431</v>
      </c>
      <c r="H71" s="6">
        <v>3049169.4902936127</v>
      </c>
      <c r="I71" s="6">
        <v>628182.47488563042</v>
      </c>
      <c r="J71" s="6">
        <v>3087271</v>
      </c>
      <c r="K71" s="6"/>
      <c r="L71" s="6">
        <v>17939.655172413786</v>
      </c>
      <c r="M71" s="6"/>
      <c r="N71" s="6">
        <v>54141</v>
      </c>
      <c r="O71" s="6"/>
      <c r="P71" s="6">
        <v>9922</v>
      </c>
      <c r="Q71" s="6"/>
      <c r="R71" s="6">
        <v>44926</v>
      </c>
      <c r="S71" s="6"/>
      <c r="T71" s="6">
        <v>397940</v>
      </c>
      <c r="U71" s="6"/>
      <c r="V71" s="6">
        <v>105887</v>
      </c>
      <c r="W71" s="6"/>
      <c r="X71" s="6">
        <v>23153</v>
      </c>
      <c r="Y71" s="6"/>
      <c r="Z71" s="6">
        <v>7527</v>
      </c>
      <c r="AA71" s="6"/>
      <c r="AB71" s="6">
        <v>0</v>
      </c>
      <c r="AC71" s="6"/>
      <c r="AD71" s="6">
        <v>0</v>
      </c>
      <c r="AE71" s="6"/>
      <c r="AF71" s="8" t="e">
        <f>+Tabla2[[#This Row],[Venta Meta 2026]]/#REF!</f>
        <v>#REF!</v>
      </c>
      <c r="AG71" s="8" t="e">
        <f>+Tabla2[[#This Row],[Ordenes]]*#REF!</f>
        <v>#REF!</v>
      </c>
      <c r="AH71" s="9">
        <f t="shared" si="14"/>
        <v>0</v>
      </c>
      <c r="AI71" s="7"/>
      <c r="AJ71" s="9"/>
      <c r="AK71" s="21">
        <f t="shared" si="17"/>
        <v>-1</v>
      </c>
      <c r="AL71" s="21">
        <f t="shared" si="18"/>
        <v>0.12794626593400879</v>
      </c>
      <c r="AM71" s="18" t="e">
        <f t="shared" si="19"/>
        <v>#DIV/0!</v>
      </c>
      <c r="AN71" s="18">
        <f t="shared" si="20"/>
        <v>-1</v>
      </c>
    </row>
    <row r="72" spans="1:40" x14ac:dyDescent="0.3">
      <c r="A72" s="11">
        <v>45727</v>
      </c>
      <c r="B72" s="6">
        <v>32602787</v>
      </c>
      <c r="C72" s="6">
        <v>3885336</v>
      </c>
      <c r="D72" s="7">
        <v>4.1726929536158093E-2</v>
      </c>
      <c r="E72" s="6"/>
      <c r="F72" s="11">
        <v>46091</v>
      </c>
      <c r="G72" s="6">
        <f>+Tabla2[[#This Row],[Meta Digital]]+Tabla2[[#This Row],[Meta MKPlace]]</f>
        <v>4980257.4011871405</v>
      </c>
      <c r="H72" s="6">
        <v>4129506.5213505067</v>
      </c>
      <c r="I72" s="6">
        <v>850750.87983663392</v>
      </c>
      <c r="J72" s="6">
        <v>3094141</v>
      </c>
      <c r="K72" s="6"/>
      <c r="L72" s="6">
        <v>18699.137931034478</v>
      </c>
      <c r="M72" s="6"/>
      <c r="N72" s="6">
        <v>92616</v>
      </c>
      <c r="O72" s="6"/>
      <c r="P72" s="6">
        <v>13747</v>
      </c>
      <c r="Q72" s="6"/>
      <c r="R72" s="6">
        <v>83805</v>
      </c>
      <c r="S72" s="6"/>
      <c r="T72" s="6">
        <v>459672</v>
      </c>
      <c r="U72" s="6"/>
      <c r="V72" s="6">
        <v>109568</v>
      </c>
      <c r="W72" s="6"/>
      <c r="X72" s="6">
        <v>23342</v>
      </c>
      <c r="Y72" s="6"/>
      <c r="Z72" s="6">
        <v>8445</v>
      </c>
      <c r="AA72" s="6"/>
      <c r="AB72" s="6">
        <v>0</v>
      </c>
      <c r="AC72" s="6"/>
      <c r="AD72" s="6">
        <v>0</v>
      </c>
      <c r="AE72" s="6"/>
      <c r="AF72" s="8" t="e">
        <f>+Tabla2[[#This Row],[Venta Meta 2026]]/#REF!</f>
        <v>#REF!</v>
      </c>
      <c r="AG72" s="8" t="e">
        <f>+Tabla2[[#This Row],[Ordenes]]*#REF!</f>
        <v>#REF!</v>
      </c>
      <c r="AH72" s="9">
        <f t="shared" si="14"/>
        <v>0</v>
      </c>
      <c r="AI72" s="7"/>
      <c r="AJ72" s="9"/>
      <c r="AK72" s="21">
        <f t="shared" si="17"/>
        <v>-1</v>
      </c>
      <c r="AL72" s="21">
        <f t="shared" si="18"/>
        <v>0.1191718977889835</v>
      </c>
      <c r="AM72" s="18" t="e">
        <f t="shared" si="19"/>
        <v>#DIV/0!</v>
      </c>
      <c r="AN72" s="18">
        <f t="shared" si="20"/>
        <v>-1</v>
      </c>
    </row>
    <row r="73" spans="1:40" x14ac:dyDescent="0.3">
      <c r="A73" s="11">
        <v>45728</v>
      </c>
      <c r="B73" s="6">
        <v>34731472</v>
      </c>
      <c r="C73" s="6">
        <v>3696035</v>
      </c>
      <c r="D73" s="7">
        <v>4.0917983614091914E-2</v>
      </c>
      <c r="E73" s="6"/>
      <c r="F73" s="11">
        <v>46092</v>
      </c>
      <c r="G73" s="6">
        <f>+Tabla2[[#This Row],[Meta Digital]]+Tabla2[[#This Row],[Meta MKPlace]]</f>
        <v>4883706.8291629246</v>
      </c>
      <c r="H73" s="6">
        <v>4049449.1699535521</v>
      </c>
      <c r="I73" s="6">
        <v>834257.65920937224</v>
      </c>
      <c r="J73" s="6">
        <v>3142268</v>
      </c>
      <c r="K73" s="6"/>
      <c r="L73" s="6">
        <v>20284.482758620685</v>
      </c>
      <c r="M73" s="6"/>
      <c r="N73" s="6">
        <v>49307</v>
      </c>
      <c r="O73" s="6"/>
      <c r="P73" s="6">
        <v>2001</v>
      </c>
      <c r="Q73" s="6"/>
      <c r="R73" s="6">
        <v>60084</v>
      </c>
      <c r="S73" s="6"/>
      <c r="T73" s="6">
        <v>316270</v>
      </c>
      <c r="U73" s="6"/>
      <c r="V73" s="6">
        <v>103062</v>
      </c>
      <c r="W73" s="6"/>
      <c r="X73" s="6">
        <v>15545</v>
      </c>
      <c r="Y73" s="6"/>
      <c r="Z73" s="6">
        <v>7498</v>
      </c>
      <c r="AA73" s="6"/>
      <c r="AB73" s="6">
        <v>0</v>
      </c>
      <c r="AC73" s="6"/>
      <c r="AD73" s="6">
        <v>0</v>
      </c>
      <c r="AE73" s="6"/>
      <c r="AF73" s="8" t="e">
        <f>+Tabla2[[#This Row],[Venta Meta 2026]]/#REF!</f>
        <v>#REF!</v>
      </c>
      <c r="AG73" s="8" t="e">
        <f>+Tabla2[[#This Row],[Ordenes]]*#REF!</f>
        <v>#REF!</v>
      </c>
      <c r="AH73" s="9">
        <f t="shared" si="14"/>
        <v>0</v>
      </c>
      <c r="AI73" s="7"/>
      <c r="AJ73" s="9"/>
      <c r="AK73" s="21">
        <f t="shared" si="17"/>
        <v>-1</v>
      </c>
      <c r="AL73" s="21">
        <f t="shared" si="18"/>
        <v>0.10641745906997549</v>
      </c>
      <c r="AM73" s="18" t="e">
        <f t="shared" si="19"/>
        <v>#DIV/0!</v>
      </c>
      <c r="AN73" s="18">
        <f t="shared" si="20"/>
        <v>-1</v>
      </c>
    </row>
    <row r="74" spans="1:40" x14ac:dyDescent="0.3">
      <c r="A74" s="11">
        <v>45729</v>
      </c>
      <c r="B74" s="6">
        <v>39500276</v>
      </c>
      <c r="C74" s="6">
        <v>2919727</v>
      </c>
      <c r="D74" s="7">
        <v>4.261123442890883E-2</v>
      </c>
      <c r="E74" s="6"/>
      <c r="F74" s="11">
        <v>46093</v>
      </c>
      <c r="G74" s="6">
        <f>+Tabla2[[#This Row],[Meta Digital]]+Tabla2[[#This Row],[Meta MKPlace]]</f>
        <v>5085802.3343030931</v>
      </c>
      <c r="H74" s="6">
        <v>4217021.7749785492</v>
      </c>
      <c r="I74" s="6">
        <v>868780.55932454381</v>
      </c>
      <c r="J74" s="6">
        <v>2261737</v>
      </c>
      <c r="K74" s="6"/>
      <c r="L74" s="6">
        <v>20541.379310344826</v>
      </c>
      <c r="M74" s="6"/>
      <c r="N74" s="6">
        <v>35516</v>
      </c>
      <c r="O74" s="6"/>
      <c r="P74" s="6">
        <v>3738</v>
      </c>
      <c r="Q74" s="6"/>
      <c r="R74" s="6">
        <v>80503</v>
      </c>
      <c r="S74" s="6"/>
      <c r="T74" s="6">
        <v>406345</v>
      </c>
      <c r="U74" s="6"/>
      <c r="V74" s="6">
        <v>108540</v>
      </c>
      <c r="W74" s="6"/>
      <c r="X74" s="6">
        <v>17987</v>
      </c>
      <c r="Y74" s="6"/>
      <c r="Z74" s="6">
        <v>5361</v>
      </c>
      <c r="AA74" s="6"/>
      <c r="AB74" s="6">
        <v>0</v>
      </c>
      <c r="AC74" s="6"/>
      <c r="AD74" s="6">
        <v>0</v>
      </c>
      <c r="AE74" s="6"/>
      <c r="AF74" s="8" t="e">
        <f>+Tabla2[[#This Row],[Venta Meta 2026]]/#REF!</f>
        <v>#REF!</v>
      </c>
      <c r="AG74" s="8" t="e">
        <f>+Tabla2[[#This Row],[Ordenes]]*#REF!</f>
        <v>#REF!</v>
      </c>
      <c r="AH74" s="9">
        <f t="shared" si="14"/>
        <v>0</v>
      </c>
      <c r="AI74" s="7"/>
      <c r="AJ74" s="9"/>
      <c r="AK74" s="21">
        <f t="shared" si="17"/>
        <v>-1</v>
      </c>
      <c r="AL74" s="21">
        <f t="shared" si="18"/>
        <v>7.391662275980046E-2</v>
      </c>
      <c r="AM74" s="18" t="e">
        <f t="shared" si="19"/>
        <v>#DIV/0!</v>
      </c>
      <c r="AN74" s="18">
        <f t="shared" si="20"/>
        <v>-1</v>
      </c>
    </row>
    <row r="75" spans="1:40" x14ac:dyDescent="0.3">
      <c r="A75" s="11">
        <v>45730</v>
      </c>
      <c r="B75" s="6">
        <v>40508948</v>
      </c>
      <c r="C75" s="6">
        <v>2653357</v>
      </c>
      <c r="D75" s="7">
        <v>3.1046011681566624E-2</v>
      </c>
      <c r="E75" s="6"/>
      <c r="F75" s="11">
        <v>46094</v>
      </c>
      <c r="G75" s="6">
        <f>+Tabla2[[#This Row],[Meta Digital]]+Tabla2[[#This Row],[Meta MKPlace]]</f>
        <v>3705451.8789953748</v>
      </c>
      <c r="H75" s="6">
        <v>3072469.2453073682</v>
      </c>
      <c r="I75" s="6">
        <v>632982.63368800667</v>
      </c>
      <c r="J75" s="6">
        <v>2083728</v>
      </c>
      <c r="K75" s="6"/>
      <c r="L75" s="6">
        <v>19974.137931034475</v>
      </c>
      <c r="M75" s="6"/>
      <c r="N75" s="6">
        <v>42958</v>
      </c>
      <c r="O75" s="6"/>
      <c r="P75" s="6">
        <v>2014</v>
      </c>
      <c r="Q75" s="6"/>
      <c r="R75" s="6">
        <v>70959</v>
      </c>
      <c r="S75" s="6"/>
      <c r="T75" s="6">
        <v>344615</v>
      </c>
      <c r="U75" s="6"/>
      <c r="V75" s="6">
        <v>79899</v>
      </c>
      <c r="W75" s="6"/>
      <c r="X75" s="6">
        <v>19325</v>
      </c>
      <c r="Y75" s="6"/>
      <c r="Z75" s="6">
        <v>9859</v>
      </c>
      <c r="AA75" s="6"/>
      <c r="AB75" s="6">
        <v>0</v>
      </c>
      <c r="AC75" s="6"/>
      <c r="AD75" s="6">
        <v>0</v>
      </c>
      <c r="AE75" s="6"/>
      <c r="AF75" s="8" t="e">
        <f>+Tabla2[[#This Row],[Venta Meta 2026]]/#REF!</f>
        <v>#REF!</v>
      </c>
      <c r="AG75" s="8" t="e">
        <f>+Tabla2[[#This Row],[Ordenes]]*#REF!</f>
        <v>#REF!</v>
      </c>
      <c r="AH75" s="9">
        <f t="shared" si="14"/>
        <v>0</v>
      </c>
      <c r="AI75" s="7"/>
      <c r="AJ75" s="9"/>
      <c r="AK75" s="21">
        <f t="shared" si="17"/>
        <v>-1</v>
      </c>
      <c r="AL75" s="21">
        <f t="shared" si="18"/>
        <v>6.5500516083508264E-2</v>
      </c>
      <c r="AM75" s="18" t="e">
        <f t="shared" si="19"/>
        <v>#DIV/0!</v>
      </c>
      <c r="AN75" s="18">
        <f t="shared" si="20"/>
        <v>-1</v>
      </c>
    </row>
    <row r="76" spans="1:40" x14ac:dyDescent="0.3">
      <c r="A76" s="11">
        <v>45731</v>
      </c>
      <c r="B76" s="6">
        <v>50785730</v>
      </c>
      <c r="C76" s="6">
        <v>2384226</v>
      </c>
      <c r="D76" s="7">
        <v>2.7906334899268422E-2</v>
      </c>
      <c r="E76" s="6"/>
      <c r="F76" s="11">
        <v>46095</v>
      </c>
      <c r="G76" s="6">
        <f>+Tabla2[[#This Row],[Meta Digital]]+Tabla2[[#This Row],[Meta MKPlace]]</f>
        <v>3330720.2918359009</v>
      </c>
      <c r="H76" s="6">
        <v>2761751.0618331148</v>
      </c>
      <c r="I76" s="6">
        <v>568969.23000278592</v>
      </c>
      <c r="J76" s="6">
        <v>1788627</v>
      </c>
      <c r="K76" s="6"/>
      <c r="L76" s="6">
        <v>21924.137931034475</v>
      </c>
      <c r="M76" s="6"/>
      <c r="N76" s="6">
        <v>20436</v>
      </c>
      <c r="O76" s="6"/>
      <c r="P76" s="6">
        <v>10353</v>
      </c>
      <c r="Q76" s="6"/>
      <c r="R76" s="6">
        <v>44555</v>
      </c>
      <c r="S76" s="6"/>
      <c r="T76" s="6">
        <v>376445</v>
      </c>
      <c r="U76" s="6"/>
      <c r="V76" s="6">
        <v>119373</v>
      </c>
      <c r="W76" s="6"/>
      <c r="X76" s="6">
        <v>15604</v>
      </c>
      <c r="Y76" s="6"/>
      <c r="Z76" s="6">
        <v>8833</v>
      </c>
      <c r="AA76" s="6"/>
      <c r="AB76" s="6">
        <v>0</v>
      </c>
      <c r="AC76" s="6"/>
      <c r="AD76" s="6">
        <v>0</v>
      </c>
      <c r="AE76" s="6"/>
      <c r="AF76" s="8" t="e">
        <f>+Tabla2[[#This Row],[Venta Meta 2026]]/#REF!</f>
        <v>#REF!</v>
      </c>
      <c r="AG76" s="8" t="e">
        <f>+Tabla2[[#This Row],[Ordenes]]*#REF!</f>
        <v>#REF!</v>
      </c>
      <c r="AH76" s="9">
        <f t="shared" si="14"/>
        <v>0</v>
      </c>
      <c r="AI76" s="7"/>
      <c r="AJ76" s="9"/>
      <c r="AK76" s="21">
        <f t="shared" si="17"/>
        <v>-1</v>
      </c>
      <c r="AL76" s="21">
        <f t="shared" si="18"/>
        <v>4.6946770283699771E-2</v>
      </c>
      <c r="AM76" s="18" t="e">
        <f t="shared" si="19"/>
        <v>#DIV/0!</v>
      </c>
      <c r="AN76" s="18">
        <f t="shared" si="20"/>
        <v>-1</v>
      </c>
    </row>
    <row r="77" spans="1:40" x14ac:dyDescent="0.3">
      <c r="A77" s="11">
        <v>45732</v>
      </c>
      <c r="B77" s="6">
        <v>46643284</v>
      </c>
      <c r="C77" s="6">
        <v>2499420</v>
      </c>
      <c r="D77" s="7">
        <v>2.6518490711088624E-2</v>
      </c>
      <c r="E77" s="6"/>
      <c r="F77" s="11">
        <v>46096</v>
      </c>
      <c r="G77" s="6">
        <f>+Tabla2[[#This Row],[Meta Digital]]+Tabla2[[#This Row],[Meta MKPlace]]</f>
        <v>3165076.1534650773</v>
      </c>
      <c r="H77" s="6">
        <v>2624403.0304918531</v>
      </c>
      <c r="I77" s="6">
        <v>540673.12297322392</v>
      </c>
      <c r="J77" s="6">
        <v>1806001</v>
      </c>
      <c r="K77" s="6"/>
      <c r="L77" s="6">
        <v>22420.689655172406</v>
      </c>
      <c r="M77" s="6"/>
      <c r="N77" s="6">
        <v>15356</v>
      </c>
      <c r="O77" s="6"/>
      <c r="P77" s="6">
        <v>4841</v>
      </c>
      <c r="Q77" s="6"/>
      <c r="R77" s="6">
        <v>72242</v>
      </c>
      <c r="S77" s="6"/>
      <c r="T77" s="6">
        <v>420638</v>
      </c>
      <c r="U77" s="6"/>
      <c r="V77" s="6">
        <v>153175</v>
      </c>
      <c r="W77" s="6"/>
      <c r="X77" s="6">
        <v>16158</v>
      </c>
      <c r="Y77" s="6"/>
      <c r="Z77" s="6">
        <v>11009</v>
      </c>
      <c r="AA77" s="6"/>
      <c r="AB77" s="6">
        <v>0</v>
      </c>
      <c r="AC77" s="6"/>
      <c r="AD77" s="6">
        <v>0</v>
      </c>
      <c r="AE77" s="6"/>
      <c r="AF77" s="8" t="e">
        <f>+Tabla2[[#This Row],[Venta Meta 2026]]/#REF!</f>
        <v>#REF!</v>
      </c>
      <c r="AG77" s="8" t="e">
        <f>+Tabla2[[#This Row],[Ordenes]]*#REF!</f>
        <v>#REF!</v>
      </c>
      <c r="AH77" s="9">
        <f t="shared" si="14"/>
        <v>0</v>
      </c>
      <c r="AI77" s="7"/>
      <c r="AJ77" s="9"/>
      <c r="AK77" s="21">
        <f t="shared" si="17"/>
        <v>-1</v>
      </c>
      <c r="AL77" s="21">
        <f t="shared" si="18"/>
        <v>5.358584957268446E-2</v>
      </c>
      <c r="AM77" s="18" t="e">
        <f t="shared" si="19"/>
        <v>#DIV/0!</v>
      </c>
      <c r="AN77" s="18">
        <f t="shared" si="20"/>
        <v>-1</v>
      </c>
    </row>
    <row r="78" spans="1:40" x14ac:dyDescent="0.3">
      <c r="A78" s="11">
        <v>45733</v>
      </c>
      <c r="B78" s="6">
        <v>47608877</v>
      </c>
      <c r="C78" s="6">
        <v>3266816</v>
      </c>
      <c r="D78" s="7">
        <v>2.7144133042787021E-2</v>
      </c>
      <c r="E78" s="6"/>
      <c r="F78" s="11">
        <v>46097</v>
      </c>
      <c r="G78" s="6">
        <f>+Tabla2[[#This Row],[Meta Digital]]+Tabla2[[#This Row],[Meta MKPlace]]</f>
        <v>3239748.7902388158</v>
      </c>
      <c r="H78" s="6">
        <v>2686319.7379395622</v>
      </c>
      <c r="I78" s="6">
        <v>553429.05229925364</v>
      </c>
      <c r="J78" s="6">
        <v>2518897</v>
      </c>
      <c r="K78" s="6"/>
      <c r="L78" s="6">
        <v>27203.448275862054</v>
      </c>
      <c r="M78" s="6"/>
      <c r="N78" s="6">
        <v>16130</v>
      </c>
      <c r="O78" s="6"/>
      <c r="P78" s="6">
        <v>128</v>
      </c>
      <c r="Q78" s="6"/>
      <c r="R78" s="6">
        <v>62349</v>
      </c>
      <c r="S78" s="6"/>
      <c r="T78" s="6">
        <v>466542</v>
      </c>
      <c r="U78" s="6"/>
      <c r="V78" s="6">
        <v>176254</v>
      </c>
      <c r="W78" s="6"/>
      <c r="X78" s="6">
        <v>16451</v>
      </c>
      <c r="Y78" s="6"/>
      <c r="Z78" s="6">
        <v>10065</v>
      </c>
      <c r="AA78" s="6"/>
      <c r="AB78" s="6">
        <v>0</v>
      </c>
      <c r="AC78" s="6"/>
      <c r="AD78" s="6">
        <v>0</v>
      </c>
      <c r="AE78" s="6"/>
      <c r="AF78" s="8" t="e">
        <f>+Tabla2[[#This Row],[Venta Meta 2026]]/#REF!</f>
        <v>#REF!</v>
      </c>
      <c r="AG78" s="8" t="e">
        <f>+Tabla2[[#This Row],[Ordenes]]*#REF!</f>
        <v>#REF!</v>
      </c>
      <c r="AH78" s="9">
        <f t="shared" si="14"/>
        <v>0</v>
      </c>
      <c r="AI78" s="7"/>
      <c r="AJ78" s="9"/>
      <c r="AK78" s="21">
        <f t="shared" si="17"/>
        <v>-1</v>
      </c>
      <c r="AL78" s="21">
        <f t="shared" si="18"/>
        <v>6.8617791593781979E-2</v>
      </c>
      <c r="AM78" s="18" t="e">
        <f t="shared" si="19"/>
        <v>#DIV/0!</v>
      </c>
      <c r="AN78" s="18">
        <f t="shared" si="20"/>
        <v>-1</v>
      </c>
    </row>
    <row r="79" spans="1:40" x14ac:dyDescent="0.3">
      <c r="A79" s="11">
        <v>45734</v>
      </c>
      <c r="B79" s="6">
        <v>29669203</v>
      </c>
      <c r="C79" s="6">
        <v>3813818</v>
      </c>
      <c r="D79" s="7">
        <v>3.7128329056249534E-2</v>
      </c>
      <c r="E79" s="6"/>
      <c r="F79" s="11">
        <v>46098</v>
      </c>
      <c r="G79" s="6">
        <f>+Tabla2[[#This Row],[Meta Digital]]+Tabla2[[#This Row],[Meta MKPlace]]</f>
        <v>4431398.0834814934</v>
      </c>
      <c r="H79" s="6">
        <v>3674405.9212832912</v>
      </c>
      <c r="I79" s="6">
        <v>756992.16219820245</v>
      </c>
      <c r="J79" s="6">
        <v>3090083</v>
      </c>
      <c r="K79" s="6"/>
      <c r="L79" s="6">
        <v>18998.27586206896</v>
      </c>
      <c r="M79" s="6"/>
      <c r="N79" s="6">
        <v>73572</v>
      </c>
      <c r="O79" s="6"/>
      <c r="P79" s="6">
        <v>-818</v>
      </c>
      <c r="Q79" s="6"/>
      <c r="R79" s="6">
        <v>73153</v>
      </c>
      <c r="S79" s="6"/>
      <c r="T79" s="6">
        <v>419718</v>
      </c>
      <c r="U79" s="6"/>
      <c r="V79" s="6">
        <v>123367</v>
      </c>
      <c r="W79" s="6"/>
      <c r="X79" s="6">
        <v>22898</v>
      </c>
      <c r="Y79" s="6"/>
      <c r="Z79" s="6">
        <v>11845</v>
      </c>
      <c r="AA79" s="6"/>
      <c r="AB79" s="6">
        <v>0</v>
      </c>
      <c r="AC79" s="6"/>
      <c r="AD79" s="6">
        <v>0</v>
      </c>
      <c r="AE79" s="6"/>
      <c r="AF79" s="8" t="e">
        <f>+Tabla2[[#This Row],[Venta Meta 2026]]/#REF!</f>
        <v>#REF!</v>
      </c>
      <c r="AG79" s="8" t="e">
        <f>+Tabla2[[#This Row],[Ordenes]]*#REF!</f>
        <v>#REF!</v>
      </c>
      <c r="AH79" s="9">
        <f t="shared" si="14"/>
        <v>0</v>
      </c>
      <c r="AI79" s="7"/>
      <c r="AJ79" s="9"/>
      <c r="AK79" s="21">
        <f t="shared" si="17"/>
        <v>-1</v>
      </c>
      <c r="AL79" s="21">
        <f t="shared" si="18"/>
        <v>0.12854467307396159</v>
      </c>
      <c r="AM79" s="18" t="e">
        <f t="shared" si="19"/>
        <v>#DIV/0!</v>
      </c>
      <c r="AN79" s="18">
        <f t="shared" si="20"/>
        <v>-1</v>
      </c>
    </row>
    <row r="80" spans="1:40" x14ac:dyDescent="0.3">
      <c r="A80" s="11">
        <v>45735</v>
      </c>
      <c r="B80" s="6">
        <v>31648239</v>
      </c>
      <c r="C80" s="6">
        <v>3646276</v>
      </c>
      <c r="D80" s="7">
        <v>4.0893594943116077E-2</v>
      </c>
      <c r="E80" s="6"/>
      <c r="F80" s="11">
        <v>46099</v>
      </c>
      <c r="G80" s="6">
        <f>+Tabla2[[#This Row],[Meta Digital]]+Tabla2[[#This Row],[Meta MKPlace]]</f>
        <v>4880795.9545674836</v>
      </c>
      <c r="H80" s="6">
        <v>4047035.5445811283</v>
      </c>
      <c r="I80" s="6">
        <v>833760.40998635523</v>
      </c>
      <c r="J80" s="6">
        <v>2996528</v>
      </c>
      <c r="K80" s="6"/>
      <c r="L80" s="6">
        <v>19664.655172413786</v>
      </c>
      <c r="M80" s="6"/>
      <c r="N80" s="6">
        <v>74611</v>
      </c>
      <c r="O80" s="6"/>
      <c r="P80" s="6">
        <v>-1496</v>
      </c>
      <c r="Q80" s="6"/>
      <c r="R80" s="6">
        <v>72214</v>
      </c>
      <c r="S80" s="6"/>
      <c r="T80" s="6">
        <v>365376</v>
      </c>
      <c r="U80" s="6"/>
      <c r="V80" s="6">
        <v>116910</v>
      </c>
      <c r="W80" s="6"/>
      <c r="X80" s="6">
        <v>13598</v>
      </c>
      <c r="Y80" s="6"/>
      <c r="Z80" s="6">
        <v>8535</v>
      </c>
      <c r="AA80" s="6"/>
      <c r="AB80" s="6">
        <v>0</v>
      </c>
      <c r="AC80" s="6"/>
      <c r="AD80" s="6">
        <v>0</v>
      </c>
      <c r="AE80" s="6"/>
      <c r="AF80" s="8" t="e">
        <f>+Tabla2[[#This Row],[Venta Meta 2026]]/#REF!</f>
        <v>#REF!</v>
      </c>
      <c r="AG80" s="8" t="e">
        <f>+Tabla2[[#This Row],[Ordenes]]*#REF!</f>
        <v>#REF!</v>
      </c>
      <c r="AH80" s="9">
        <f t="shared" si="14"/>
        <v>0</v>
      </c>
      <c r="AI80" s="7"/>
      <c r="AJ80" s="9"/>
      <c r="AK80" s="21">
        <f t="shared" si="17"/>
        <v>-1</v>
      </c>
      <c r="AL80" s="21">
        <f t="shared" si="18"/>
        <v>0.11521260314041486</v>
      </c>
      <c r="AM80" s="18" t="e">
        <f t="shared" si="19"/>
        <v>#DIV/0!</v>
      </c>
      <c r="AN80" s="18">
        <f t="shared" si="20"/>
        <v>-1</v>
      </c>
    </row>
    <row r="81" spans="1:40" x14ac:dyDescent="0.3">
      <c r="A81" s="11">
        <v>45736</v>
      </c>
      <c r="B81" s="6">
        <v>34622687</v>
      </c>
      <c r="C81" s="6">
        <v>2948518</v>
      </c>
      <c r="D81" s="7">
        <v>3.7322139682083741E-2</v>
      </c>
      <c r="E81" s="6"/>
      <c r="F81" s="11">
        <v>46100</v>
      </c>
      <c r="G81" s="6">
        <f>+Tabla2[[#This Row],[Meta Digital]]+Tabla2[[#This Row],[Meta MKPlace]]</f>
        <v>4454530.0707728928</v>
      </c>
      <c r="H81" s="6">
        <v>3693586.394234119</v>
      </c>
      <c r="I81" s="6">
        <v>760943.67653877381</v>
      </c>
      <c r="J81" s="6">
        <v>2213197</v>
      </c>
      <c r="K81" s="6"/>
      <c r="L81" s="6">
        <v>18904.310344827583</v>
      </c>
      <c r="M81" s="6"/>
      <c r="N81" s="6">
        <v>70889</v>
      </c>
      <c r="O81" s="6"/>
      <c r="P81" s="6">
        <v>0</v>
      </c>
      <c r="Q81" s="6"/>
      <c r="R81" s="6">
        <v>68484</v>
      </c>
      <c r="S81" s="6"/>
      <c r="T81" s="6">
        <v>455909</v>
      </c>
      <c r="U81" s="6"/>
      <c r="V81" s="6">
        <v>113508</v>
      </c>
      <c r="W81" s="6"/>
      <c r="X81" s="6">
        <v>13831</v>
      </c>
      <c r="Y81" s="6"/>
      <c r="Z81" s="6">
        <v>12700</v>
      </c>
      <c r="AA81" s="6"/>
      <c r="AB81" s="6">
        <v>0</v>
      </c>
      <c r="AC81" s="6"/>
      <c r="AD81" s="6">
        <v>0</v>
      </c>
      <c r="AE81" s="6"/>
      <c r="AF81" s="8" t="e">
        <f>+Tabla2[[#This Row],[Venta Meta 2026]]/#REF!</f>
        <v>#REF!</v>
      </c>
      <c r="AG81" s="8" t="e">
        <f>+Tabla2[[#This Row],[Ordenes]]*#REF!</f>
        <v>#REF!</v>
      </c>
      <c r="AH81" s="9">
        <f t="shared" si="14"/>
        <v>0</v>
      </c>
      <c r="AI81" s="7"/>
      <c r="AJ81" s="9"/>
      <c r="AK81" s="21">
        <f t="shared" si="17"/>
        <v>-1</v>
      </c>
      <c r="AL81" s="21">
        <f t="shared" si="18"/>
        <v>8.5161443420032651E-2</v>
      </c>
      <c r="AM81" s="18" t="e">
        <f t="shared" si="19"/>
        <v>#DIV/0!</v>
      </c>
      <c r="AN81" s="18">
        <f t="shared" si="20"/>
        <v>-1</v>
      </c>
    </row>
    <row r="82" spans="1:40" x14ac:dyDescent="0.3">
      <c r="A82" s="11">
        <v>45737</v>
      </c>
      <c r="B82" s="6">
        <v>37975369</v>
      </c>
      <c r="C82" s="6">
        <v>2433649</v>
      </c>
      <c r="D82" s="7">
        <v>2.8981480343998032E-2</v>
      </c>
      <c r="E82" s="6"/>
      <c r="F82" s="11">
        <v>46101</v>
      </c>
      <c r="G82" s="6">
        <f>+Tabla2[[#This Row],[Meta Digital]]+Tabla2[[#This Row],[Meta MKPlace]]</f>
        <v>3459042.7233684533</v>
      </c>
      <c r="H82" s="6">
        <v>2868152.854985998</v>
      </c>
      <c r="I82" s="6">
        <v>590889.8683824552</v>
      </c>
      <c r="J82" s="6">
        <v>1703577</v>
      </c>
      <c r="K82" s="6"/>
      <c r="L82" s="6">
        <v>18401.724137931029</v>
      </c>
      <c r="M82" s="6"/>
      <c r="N82" s="6">
        <v>87171</v>
      </c>
      <c r="O82" s="6"/>
      <c r="P82" s="6">
        <v>-2861</v>
      </c>
      <c r="Q82" s="6"/>
      <c r="R82" s="6">
        <v>101126</v>
      </c>
      <c r="S82" s="6"/>
      <c r="T82" s="6">
        <v>425643</v>
      </c>
      <c r="U82" s="6"/>
      <c r="V82" s="6">
        <v>104286</v>
      </c>
      <c r="W82" s="6"/>
      <c r="X82" s="6">
        <v>5964</v>
      </c>
      <c r="Y82" s="6"/>
      <c r="Z82" s="6">
        <v>8743</v>
      </c>
      <c r="AA82" s="6"/>
      <c r="AB82" s="6">
        <v>0</v>
      </c>
      <c r="AC82" s="6"/>
      <c r="AD82" s="6">
        <v>0</v>
      </c>
      <c r="AE82" s="6"/>
      <c r="AF82" s="8" t="e">
        <f>+Tabla2[[#This Row],[Venta Meta 2026]]/#REF!</f>
        <v>#REF!</v>
      </c>
      <c r="AG82" s="8" t="e">
        <f>+Tabla2[[#This Row],[Ordenes]]*#REF!</f>
        <v>#REF!</v>
      </c>
      <c r="AH82" s="9">
        <f t="shared" si="14"/>
        <v>0</v>
      </c>
      <c r="AI82" s="7"/>
      <c r="AJ82" s="9"/>
      <c r="AK82" s="21">
        <f t="shared" si="17"/>
        <v>-1</v>
      </c>
      <c r="AL82" s="21">
        <f t="shared" si="18"/>
        <v>6.4084933578920589E-2</v>
      </c>
      <c r="AM82" s="18" t="e">
        <f t="shared" si="19"/>
        <v>#DIV/0!</v>
      </c>
      <c r="AN82" s="18">
        <f t="shared" si="20"/>
        <v>-1</v>
      </c>
    </row>
    <row r="83" spans="1:40" x14ac:dyDescent="0.3">
      <c r="A83" s="11">
        <v>45738</v>
      </c>
      <c r="B83" s="6">
        <v>43118954</v>
      </c>
      <c r="C83" s="6">
        <v>1952698</v>
      </c>
      <c r="D83" s="7">
        <v>2.4714995864571328E-2</v>
      </c>
      <c r="E83" s="6"/>
      <c r="F83" s="11">
        <v>46102</v>
      </c>
      <c r="G83" s="6">
        <f>+Tabla2[[#This Row],[Meta Digital]]+Tabla2[[#This Row],[Meta MKPlace]]</f>
        <v>2949822.6311663063</v>
      </c>
      <c r="H83" s="6">
        <v>2445920.1223866302</v>
      </c>
      <c r="I83" s="6">
        <v>503902.50877967605</v>
      </c>
      <c r="J83" s="6">
        <v>1397511</v>
      </c>
      <c r="K83" s="6"/>
      <c r="L83" s="6">
        <v>18050.862068965511</v>
      </c>
      <c r="M83" s="6"/>
      <c r="N83" s="6">
        <v>29277</v>
      </c>
      <c r="O83" s="6"/>
      <c r="P83" s="6">
        <v>3421</v>
      </c>
      <c r="Q83" s="6"/>
      <c r="R83" s="6">
        <v>45609</v>
      </c>
      <c r="S83" s="6"/>
      <c r="T83" s="6">
        <v>352550</v>
      </c>
      <c r="U83" s="6"/>
      <c r="V83" s="6">
        <v>96081</v>
      </c>
      <c r="W83" s="6"/>
      <c r="X83" s="6">
        <v>18519</v>
      </c>
      <c r="Y83" s="6"/>
      <c r="Z83" s="6">
        <v>9730</v>
      </c>
      <c r="AA83" s="6"/>
      <c r="AB83" s="6">
        <v>0</v>
      </c>
      <c r="AC83" s="6"/>
      <c r="AD83" s="6">
        <v>0</v>
      </c>
      <c r="AE83" s="6"/>
      <c r="AF83" s="8" t="e">
        <f>+Tabla2[[#This Row],[Venta Meta 2026]]/#REF!</f>
        <v>#REF!</v>
      </c>
      <c r="AG83" s="8" t="e">
        <f>+Tabla2[[#This Row],[Ordenes]]*#REF!</f>
        <v>#REF!</v>
      </c>
      <c r="AH83" s="9">
        <f t="shared" si="14"/>
        <v>0</v>
      </c>
      <c r="AI83" s="7"/>
      <c r="AJ83" s="9"/>
      <c r="AK83" s="21">
        <f t="shared" si="17"/>
        <v>-1</v>
      </c>
      <c r="AL83" s="21">
        <f t="shared" si="18"/>
        <v>4.5286302631552706E-2</v>
      </c>
      <c r="AM83" s="18" t="e">
        <f t="shared" si="19"/>
        <v>#DIV/0!</v>
      </c>
      <c r="AN83" s="18">
        <f t="shared" si="20"/>
        <v>-1</v>
      </c>
    </row>
    <row r="84" spans="1:40" x14ac:dyDescent="0.3">
      <c r="A84" s="11">
        <v>45739</v>
      </c>
      <c r="B84" s="6">
        <v>43154994</v>
      </c>
      <c r="C84" s="6">
        <v>2264115</v>
      </c>
      <c r="D84" s="7">
        <v>2.0690481918222252E-2</v>
      </c>
      <c r="E84" s="6"/>
      <c r="F84" s="11">
        <v>46103</v>
      </c>
      <c r="G84" s="6">
        <f>+Tabla2[[#This Row],[Meta Digital]]+Tabla2[[#This Row],[Meta MKPlace]]</f>
        <v>2469482.5824187063</v>
      </c>
      <c r="H84" s="6">
        <v>2047634.0090431287</v>
      </c>
      <c r="I84" s="6">
        <v>421848.57337557769</v>
      </c>
      <c r="J84" s="6">
        <v>1631377</v>
      </c>
      <c r="K84" s="6"/>
      <c r="L84" s="6">
        <v>19763.793103448264</v>
      </c>
      <c r="M84" s="6"/>
      <c r="N84" s="6">
        <v>13804</v>
      </c>
      <c r="O84" s="6"/>
      <c r="P84" s="6">
        <v>693</v>
      </c>
      <c r="Q84" s="6"/>
      <c r="R84" s="6">
        <v>35822</v>
      </c>
      <c r="S84" s="6"/>
      <c r="T84" s="6">
        <v>412452</v>
      </c>
      <c r="U84" s="6"/>
      <c r="V84" s="6">
        <v>148039</v>
      </c>
      <c r="W84" s="6"/>
      <c r="X84" s="6">
        <v>13860</v>
      </c>
      <c r="Y84" s="6"/>
      <c r="Z84" s="6">
        <v>8068</v>
      </c>
      <c r="AA84" s="6"/>
      <c r="AB84" s="6">
        <v>0</v>
      </c>
      <c r="AC84" s="6"/>
      <c r="AD84" s="6">
        <v>0</v>
      </c>
      <c r="AE84" s="6"/>
      <c r="AF84" s="8" t="e">
        <f>+Tabla2[[#This Row],[Venta Meta 2026]]/#REF!</f>
        <v>#REF!</v>
      </c>
      <c r="AG84" s="8" t="e">
        <f>+Tabla2[[#This Row],[Ordenes]]*#REF!</f>
        <v>#REF!</v>
      </c>
      <c r="AH84" s="9">
        <f t="shared" si="14"/>
        <v>0</v>
      </c>
      <c r="AI84" s="7"/>
      <c r="AJ84" s="9"/>
      <c r="AK84" s="21">
        <f t="shared" si="17"/>
        <v>-1</v>
      </c>
      <c r="AL84" s="21">
        <f t="shared" si="18"/>
        <v>5.2464727489013208E-2</v>
      </c>
      <c r="AM84" s="18" t="e">
        <f t="shared" si="19"/>
        <v>#DIV/0!</v>
      </c>
      <c r="AN84" s="18">
        <f t="shared" si="20"/>
        <v>-1</v>
      </c>
    </row>
    <row r="85" spans="1:40" x14ac:dyDescent="0.3">
      <c r="A85" s="11">
        <v>45740</v>
      </c>
      <c r="B85" s="6">
        <v>25517752</v>
      </c>
      <c r="C85" s="6">
        <v>3393646</v>
      </c>
      <c r="D85" s="7">
        <v>2.6988656595994309E-2</v>
      </c>
      <c r="E85" s="6"/>
      <c r="F85" s="11">
        <v>46104</v>
      </c>
      <c r="G85" s="6">
        <f>+Tabla2[[#This Row],[Meta Digital]]+Tabla2[[#This Row],[Meta MKPlace]]</f>
        <v>3221192.1235140637</v>
      </c>
      <c r="H85" s="6">
        <v>2670933.0078809662</v>
      </c>
      <c r="I85" s="6">
        <v>550259.11563309759</v>
      </c>
      <c r="J85" s="6">
        <v>2627347</v>
      </c>
      <c r="K85" s="6"/>
      <c r="L85" s="6">
        <v>17396.551724137928</v>
      </c>
      <c r="M85" s="6"/>
      <c r="N85" s="6">
        <v>77734</v>
      </c>
      <c r="O85" s="6"/>
      <c r="P85" s="6">
        <v>0</v>
      </c>
      <c r="Q85" s="6"/>
      <c r="R85" s="6">
        <v>41412</v>
      </c>
      <c r="S85" s="6"/>
      <c r="T85" s="6">
        <v>451453</v>
      </c>
      <c r="U85" s="6"/>
      <c r="V85" s="6">
        <v>167225</v>
      </c>
      <c r="W85" s="6"/>
      <c r="X85" s="6">
        <v>21788</v>
      </c>
      <c r="Y85" s="6"/>
      <c r="Z85" s="6">
        <v>6687</v>
      </c>
      <c r="AA85" s="6"/>
      <c r="AB85" s="6">
        <v>0</v>
      </c>
      <c r="AC85" s="6"/>
      <c r="AD85" s="6">
        <v>0</v>
      </c>
      <c r="AE85" s="6"/>
      <c r="AF85" s="8" t="e">
        <f>+Tabla2[[#This Row],[Venta Meta 2026]]/#REF!</f>
        <v>#REF!</v>
      </c>
      <c r="AG85" s="8" t="e">
        <f>+Tabla2[[#This Row],[Ordenes]]*#REF!</f>
        <v>#REF!</v>
      </c>
      <c r="AH85" s="9">
        <f t="shared" si="14"/>
        <v>0</v>
      </c>
      <c r="AI85" s="7"/>
      <c r="AJ85" s="9"/>
      <c r="AK85" s="21">
        <f t="shared" si="17"/>
        <v>-1</v>
      </c>
      <c r="AL85" s="21">
        <f t="shared" si="18"/>
        <v>0.13299157386591107</v>
      </c>
      <c r="AM85" s="18" t="e">
        <f t="shared" si="19"/>
        <v>#DIV/0!</v>
      </c>
      <c r="AN85" s="18">
        <f t="shared" si="20"/>
        <v>-1</v>
      </c>
    </row>
    <row r="86" spans="1:40" x14ac:dyDescent="0.3">
      <c r="A86" s="11">
        <v>45741</v>
      </c>
      <c r="B86" s="6">
        <v>28238109</v>
      </c>
      <c r="C86" s="6">
        <v>3564659</v>
      </c>
      <c r="D86" s="7">
        <v>3.6028188151261901E-2</v>
      </c>
      <c r="E86" s="6"/>
      <c r="F86" s="11">
        <v>46105</v>
      </c>
      <c r="G86" s="6">
        <f>+Tabla2[[#This Row],[Meta Digital]]+Tabla2[[#This Row],[Meta MKPlace]]</f>
        <v>4300092.3548952192</v>
      </c>
      <c r="H86" s="6">
        <v>3565530.451843007</v>
      </c>
      <c r="I86" s="6">
        <v>734561.90305221232</v>
      </c>
      <c r="J86" s="6">
        <v>2830590</v>
      </c>
      <c r="K86" s="6"/>
      <c r="L86" s="6">
        <v>19038.793103448268</v>
      </c>
      <c r="M86" s="6"/>
      <c r="N86" s="6">
        <v>62901</v>
      </c>
      <c r="O86" s="6"/>
      <c r="P86" s="6">
        <v>2386</v>
      </c>
      <c r="Q86" s="6"/>
      <c r="R86" s="6">
        <v>32084</v>
      </c>
      <c r="S86" s="6"/>
      <c r="T86" s="6">
        <v>450799</v>
      </c>
      <c r="U86" s="6"/>
      <c r="V86" s="6">
        <v>158470</v>
      </c>
      <c r="W86" s="6"/>
      <c r="X86" s="6">
        <v>18507</v>
      </c>
      <c r="Y86" s="6"/>
      <c r="Z86" s="6">
        <v>8922</v>
      </c>
      <c r="AA86" s="6"/>
      <c r="AB86" s="6">
        <v>0</v>
      </c>
      <c r="AC86" s="6"/>
      <c r="AD86" s="6">
        <v>0</v>
      </c>
      <c r="AE86" s="6"/>
      <c r="AF86" s="8" t="e">
        <f>+Tabla2[[#This Row],[Venta Meta 2026]]/#REF!</f>
        <v>#REF!</v>
      </c>
      <c r="AG86" s="8" t="e">
        <f>+Tabla2[[#This Row],[Ordenes]]*#REF!</f>
        <v>#REF!</v>
      </c>
      <c r="AH86" s="9">
        <f t="shared" si="14"/>
        <v>0</v>
      </c>
      <c r="AI86" s="7"/>
      <c r="AJ86" s="9"/>
      <c r="AK86" s="21">
        <f t="shared" si="17"/>
        <v>-1</v>
      </c>
      <c r="AL86" s="21">
        <f t="shared" si="18"/>
        <v>0.12623575466756645</v>
      </c>
      <c r="AM86" s="18" t="e">
        <f t="shared" si="19"/>
        <v>#DIV/0!</v>
      </c>
      <c r="AN86" s="18">
        <f t="shared" si="20"/>
        <v>-1</v>
      </c>
    </row>
    <row r="87" spans="1:40" x14ac:dyDescent="0.3">
      <c r="A87" s="11">
        <v>45742</v>
      </c>
      <c r="B87" s="6">
        <v>30324337</v>
      </c>
      <c r="C87" s="6">
        <v>3172360</v>
      </c>
      <c r="D87" s="7">
        <v>3.8892968097851262E-2</v>
      </c>
      <c r="E87" s="6"/>
      <c r="F87" s="11">
        <v>46106</v>
      </c>
      <c r="G87" s="6">
        <f>+Tabla2[[#This Row],[Meta Digital]]+Tabla2[[#This Row],[Meta MKPlace]]</f>
        <v>4642014.0273108939</v>
      </c>
      <c r="H87" s="6">
        <v>3849043.4637799058</v>
      </c>
      <c r="I87" s="6">
        <v>792970.56353098771</v>
      </c>
      <c r="J87" s="6">
        <v>2809128</v>
      </c>
      <c r="K87" s="6"/>
      <c r="L87" s="6">
        <v>19578.448275862062</v>
      </c>
      <c r="M87" s="6"/>
      <c r="N87" s="6">
        <v>70468</v>
      </c>
      <c r="O87" s="6"/>
      <c r="P87" s="6">
        <v>7635</v>
      </c>
      <c r="Q87" s="6"/>
      <c r="R87" s="6">
        <v>17001</v>
      </c>
      <c r="S87" s="6"/>
      <c r="T87" s="6">
        <v>173023</v>
      </c>
      <c r="U87" s="6"/>
      <c r="V87" s="6">
        <v>64342</v>
      </c>
      <c r="W87" s="6"/>
      <c r="X87" s="6">
        <v>22411</v>
      </c>
      <c r="Y87" s="6"/>
      <c r="Z87" s="6">
        <v>8352</v>
      </c>
      <c r="AA87" s="6"/>
      <c r="AB87" s="6">
        <v>0</v>
      </c>
      <c r="AC87" s="6"/>
      <c r="AD87" s="6">
        <v>0</v>
      </c>
      <c r="AE87" s="6"/>
      <c r="AF87" s="8" t="e">
        <f>+Tabla2[[#This Row],[Venta Meta 2026]]/#REF!</f>
        <v>#REF!</v>
      </c>
      <c r="AG87" s="8" t="e">
        <f>+Tabla2[[#This Row],[Ordenes]]*#REF!</f>
        <v>#REF!</v>
      </c>
      <c r="AH87" s="9">
        <f t="shared" si="14"/>
        <v>0</v>
      </c>
      <c r="AI87" s="7"/>
      <c r="AJ87" s="9"/>
      <c r="AK87" s="21">
        <f t="shared" si="17"/>
        <v>-1</v>
      </c>
      <c r="AL87" s="21">
        <f t="shared" si="18"/>
        <v>0.10461432347226586</v>
      </c>
      <c r="AM87" s="18" t="e">
        <f t="shared" si="19"/>
        <v>#DIV/0!</v>
      </c>
      <c r="AN87" s="18">
        <f t="shared" si="20"/>
        <v>-1</v>
      </c>
    </row>
    <row r="88" spans="1:40" x14ac:dyDescent="0.3">
      <c r="A88" s="11">
        <v>45743</v>
      </c>
      <c r="B88" s="6">
        <v>35440224</v>
      </c>
      <c r="C88" s="6">
        <v>3165233</v>
      </c>
      <c r="D88" s="7">
        <v>3.7625608841188124E-2</v>
      </c>
      <c r="E88" s="6"/>
      <c r="F88" s="11">
        <v>46107</v>
      </c>
      <c r="G88" s="6">
        <f>+Tabla2[[#This Row],[Meta Digital]]+Tabla2[[#This Row],[Meta MKPlace]]</f>
        <v>4490750.1939034965</v>
      </c>
      <c r="H88" s="6">
        <v>3723619.2263998403</v>
      </c>
      <c r="I88" s="6">
        <v>767130.96750365582</v>
      </c>
      <c r="J88" s="6">
        <v>2155675</v>
      </c>
      <c r="K88" s="6"/>
      <c r="L88" s="6">
        <v>19721.551724137931</v>
      </c>
      <c r="M88" s="6"/>
      <c r="N88" s="6">
        <v>37713</v>
      </c>
      <c r="O88" s="6"/>
      <c r="P88" s="6">
        <v>4760</v>
      </c>
      <c r="Q88" s="6"/>
      <c r="R88" s="6">
        <v>39979</v>
      </c>
      <c r="S88" s="6"/>
      <c r="T88" s="6">
        <v>694821</v>
      </c>
      <c r="U88" s="6"/>
      <c r="V88" s="6">
        <v>205802</v>
      </c>
      <c r="W88" s="6"/>
      <c r="X88" s="6">
        <v>13403</v>
      </c>
      <c r="Y88" s="6"/>
      <c r="Z88" s="6">
        <v>13080</v>
      </c>
      <c r="AA88" s="6"/>
      <c r="AB88" s="6">
        <v>0</v>
      </c>
      <c r="AC88" s="6"/>
      <c r="AD88" s="6">
        <v>0</v>
      </c>
      <c r="AE88" s="6"/>
      <c r="AF88" s="8" t="e">
        <f>+Tabla2[[#This Row],[Venta Meta 2026]]/#REF!</f>
        <v>#REF!</v>
      </c>
      <c r="AG88" s="8" t="e">
        <f>+Tabla2[[#This Row],[Ordenes]]*#REF!</f>
        <v>#REF!</v>
      </c>
      <c r="AH88" s="9">
        <f t="shared" si="14"/>
        <v>0</v>
      </c>
      <c r="AI88" s="7"/>
      <c r="AJ88" s="9"/>
      <c r="AK88" s="21">
        <f t="shared" si="17"/>
        <v>-1</v>
      </c>
      <c r="AL88" s="21">
        <f t="shared" si="18"/>
        <v>8.9311879067130048E-2</v>
      </c>
      <c r="AM88" s="18" t="e">
        <f t="shared" si="19"/>
        <v>#DIV/0!</v>
      </c>
      <c r="AN88" s="18">
        <f t="shared" si="20"/>
        <v>-1</v>
      </c>
    </row>
    <row r="89" spans="1:40" x14ac:dyDescent="0.3">
      <c r="A89" s="11">
        <v>45744</v>
      </c>
      <c r="B89" s="6">
        <v>40613707</v>
      </c>
      <c r="C89" s="6">
        <v>2467849</v>
      </c>
      <c r="D89" s="7">
        <v>2.8624070811329838E-2</v>
      </c>
      <c r="E89" s="6"/>
      <c r="F89" s="11">
        <v>46108</v>
      </c>
      <c r="G89" s="6">
        <f>+Tabla2[[#This Row],[Meta Digital]]+Tabla2[[#This Row],[Meta MKPlace]]</f>
        <v>3416384.6248667846</v>
      </c>
      <c r="H89" s="6">
        <v>2832781.8125356496</v>
      </c>
      <c r="I89" s="6">
        <v>583602.81233113515</v>
      </c>
      <c r="J89" s="6">
        <v>1805470</v>
      </c>
      <c r="K89" s="6"/>
      <c r="L89" s="6">
        <v>23261.206896551717</v>
      </c>
      <c r="M89" s="6"/>
      <c r="N89" s="6">
        <v>33871</v>
      </c>
      <c r="O89" s="6"/>
      <c r="P89" s="6">
        <v>4459</v>
      </c>
      <c r="Q89" s="6"/>
      <c r="R89" s="6">
        <v>53653</v>
      </c>
      <c r="S89" s="6"/>
      <c r="T89" s="6">
        <v>427289</v>
      </c>
      <c r="U89" s="6"/>
      <c r="V89" s="6">
        <v>115398</v>
      </c>
      <c r="W89" s="6"/>
      <c r="X89" s="6">
        <v>14337</v>
      </c>
      <c r="Y89" s="6"/>
      <c r="Z89" s="6">
        <v>13372</v>
      </c>
      <c r="AA89" s="6"/>
      <c r="AB89" s="6">
        <v>0</v>
      </c>
      <c r="AC89" s="6"/>
      <c r="AD89" s="6">
        <v>0</v>
      </c>
      <c r="AE89" s="6"/>
      <c r="AF89" s="8" t="e">
        <f>+Tabla2[[#This Row],[Venta Meta 2026]]/#REF!</f>
        <v>#REF!</v>
      </c>
      <c r="AG89" s="8" t="e">
        <f>+Tabla2[[#This Row],[Ordenes]]*#REF!</f>
        <v>#REF!</v>
      </c>
      <c r="AH89" s="9">
        <f t="shared" si="14"/>
        <v>0</v>
      </c>
      <c r="AI89" s="7"/>
      <c r="AJ89" s="9"/>
      <c r="AK89" s="21">
        <f t="shared" si="17"/>
        <v>-1</v>
      </c>
      <c r="AL89" s="21">
        <f t="shared" si="18"/>
        <v>6.0763943562206719E-2</v>
      </c>
      <c r="AM89" s="18" t="e">
        <f t="shared" si="19"/>
        <v>#DIV/0!</v>
      </c>
      <c r="AN89" s="18">
        <f t="shared" si="20"/>
        <v>-1</v>
      </c>
    </row>
    <row r="90" spans="1:40" x14ac:dyDescent="0.3">
      <c r="A90" s="11">
        <v>45745</v>
      </c>
      <c r="B90" s="6">
        <v>47440357</v>
      </c>
      <c r="C90" s="6">
        <v>2094513</v>
      </c>
      <c r="D90" s="7">
        <v>2.5376183273698033E-2</v>
      </c>
      <c r="E90" s="6"/>
      <c r="F90" s="11">
        <v>46109</v>
      </c>
      <c r="G90" s="6">
        <f>+Tabla2[[#This Row],[Meta Digital]]+Tabla2[[#This Row],[Meta MKPlace]]</f>
        <v>3028737.6993124448</v>
      </c>
      <c r="H90" s="6">
        <v>2511354.5492226044</v>
      </c>
      <c r="I90" s="6">
        <v>517383.1500898404</v>
      </c>
      <c r="J90" s="6">
        <v>1439591</v>
      </c>
      <c r="K90" s="6"/>
      <c r="L90" s="6">
        <v>22200.862068965514</v>
      </c>
      <c r="M90" s="6"/>
      <c r="N90" s="6">
        <v>26911</v>
      </c>
      <c r="O90" s="6"/>
      <c r="P90" s="6">
        <v>3768</v>
      </c>
      <c r="Q90" s="6"/>
      <c r="R90" s="6">
        <v>63590</v>
      </c>
      <c r="S90" s="6"/>
      <c r="T90" s="6">
        <v>438928</v>
      </c>
      <c r="U90" s="6"/>
      <c r="V90" s="6">
        <v>103627</v>
      </c>
      <c r="W90" s="6"/>
      <c r="X90" s="6">
        <v>9571</v>
      </c>
      <c r="Y90" s="6"/>
      <c r="Z90" s="6">
        <v>8527</v>
      </c>
      <c r="AA90" s="6"/>
      <c r="AB90" s="6">
        <v>0</v>
      </c>
      <c r="AC90" s="6"/>
      <c r="AD90" s="6">
        <v>0</v>
      </c>
      <c r="AE90" s="6"/>
      <c r="AF90" s="8" t="e">
        <f>+Tabla2[[#This Row],[Venta Meta 2026]]/#REF!</f>
        <v>#REF!</v>
      </c>
      <c r="AG90" s="8" t="e">
        <f>+Tabla2[[#This Row],[Ordenes]]*#REF!</f>
        <v>#REF!</v>
      </c>
      <c r="AH90" s="9">
        <f t="shared" si="14"/>
        <v>0</v>
      </c>
      <c r="AI90" s="7"/>
      <c r="AJ90" s="9"/>
      <c r="AK90" s="21">
        <f t="shared" si="17"/>
        <v>-1</v>
      </c>
      <c r="AL90" s="21">
        <f t="shared" si="18"/>
        <v>4.4150447687398307E-2</v>
      </c>
      <c r="AM90" s="18" t="e">
        <f t="shared" si="19"/>
        <v>#DIV/0!</v>
      </c>
      <c r="AN90" s="18">
        <f t="shared" si="20"/>
        <v>-1</v>
      </c>
    </row>
    <row r="91" spans="1:40" x14ac:dyDescent="0.3">
      <c r="A91" s="11">
        <v>45746</v>
      </c>
      <c r="B91" s="6">
        <v>46369398</v>
      </c>
      <c r="C91" s="6">
        <v>2409888</v>
      </c>
      <c r="D91" s="7">
        <v>2.2052734502287646E-2</v>
      </c>
      <c r="E91" s="6"/>
      <c r="F91" s="11">
        <v>46110</v>
      </c>
      <c r="G91" s="6">
        <f>+Tabla2[[#This Row],[Meta Digital]]+Tabla2[[#This Row],[Meta MKPlace]]</f>
        <v>2632072.2718469463</v>
      </c>
      <c r="H91" s="6">
        <v>2182449.366706816</v>
      </c>
      <c r="I91" s="6">
        <v>449622.90514013026</v>
      </c>
      <c r="J91" s="6">
        <v>1776348</v>
      </c>
      <c r="K91" s="6"/>
      <c r="L91" s="6">
        <v>25310.344827586203</v>
      </c>
      <c r="M91" s="6"/>
      <c r="N91" s="6">
        <v>1629</v>
      </c>
      <c r="O91" s="6"/>
      <c r="P91" s="6">
        <v>3494</v>
      </c>
      <c r="Q91" s="6"/>
      <c r="R91" s="6">
        <v>52783</v>
      </c>
      <c r="S91" s="6"/>
      <c r="T91" s="6">
        <v>424195</v>
      </c>
      <c r="U91" s="6"/>
      <c r="V91" s="6">
        <v>120034</v>
      </c>
      <c r="W91" s="6"/>
      <c r="X91" s="6">
        <v>20419</v>
      </c>
      <c r="Y91" s="6"/>
      <c r="Z91" s="6">
        <v>10986</v>
      </c>
      <c r="AA91" s="6"/>
      <c r="AB91" s="6">
        <v>0</v>
      </c>
      <c r="AC91" s="6"/>
      <c r="AD91" s="6">
        <v>0</v>
      </c>
      <c r="AE91" s="6"/>
      <c r="AF91" s="8" t="e">
        <f>+Tabla2[[#This Row],[Venta Meta 2026]]/#REF!</f>
        <v>#REF!</v>
      </c>
      <c r="AG91" s="8" t="e">
        <f>+Tabla2[[#This Row],[Ordenes]]*#REF!</f>
        <v>#REF!</v>
      </c>
      <c r="AH91" s="9">
        <f t="shared" si="14"/>
        <v>0</v>
      </c>
      <c r="AI91" s="7"/>
      <c r="AJ91" s="9"/>
      <c r="AK91" s="21">
        <f t="shared" si="17"/>
        <v>-1</v>
      </c>
      <c r="AL91" s="21">
        <f t="shared" si="18"/>
        <v>5.1971517939482417E-2</v>
      </c>
      <c r="AM91" s="18" t="e">
        <f t="shared" si="19"/>
        <v>#DIV/0!</v>
      </c>
      <c r="AN91" s="18">
        <f t="shared" si="20"/>
        <v>-1</v>
      </c>
    </row>
    <row r="92" spans="1:40" x14ac:dyDescent="0.3">
      <c r="A92" s="11">
        <v>45747</v>
      </c>
      <c r="B92" s="6">
        <v>26611832</v>
      </c>
      <c r="C92" s="6">
        <v>3402015</v>
      </c>
      <c r="D92" s="7">
        <v>2.7615406051997103E-2</v>
      </c>
      <c r="E92" s="6"/>
      <c r="F92" s="11">
        <v>46111</v>
      </c>
      <c r="G92" s="6">
        <f>+Tabla2[[#This Row],[Meta Digital]]+Tabla2[[#This Row],[Meta MKPlace]]</f>
        <v>3295996.899509938</v>
      </c>
      <c r="H92" s="6">
        <v>2732959.2819103952</v>
      </c>
      <c r="I92" s="6">
        <v>563037.6175995426</v>
      </c>
      <c r="J92" s="6">
        <v>2676178</v>
      </c>
      <c r="K92" s="6"/>
      <c r="L92" s="6">
        <v>17754.310344827587</v>
      </c>
      <c r="M92" s="6"/>
      <c r="N92" s="6">
        <v>51685</v>
      </c>
      <c r="O92" s="6"/>
      <c r="P92" s="6">
        <v>2075</v>
      </c>
      <c r="Q92" s="6"/>
      <c r="R92" s="6">
        <v>59000</v>
      </c>
      <c r="S92" s="6"/>
      <c r="T92" s="6">
        <v>466998</v>
      </c>
      <c r="U92" s="6"/>
      <c r="V92" s="6">
        <v>119148</v>
      </c>
      <c r="W92" s="6"/>
      <c r="X92" s="6">
        <v>19608</v>
      </c>
      <c r="Y92" s="6"/>
      <c r="Z92" s="6">
        <v>7323</v>
      </c>
      <c r="AA92" s="6"/>
      <c r="AB92" s="6">
        <v>0</v>
      </c>
      <c r="AC92" s="6"/>
      <c r="AD92" s="6">
        <v>0</v>
      </c>
      <c r="AE92" s="6"/>
      <c r="AF92" s="8" t="e">
        <f>+Tabla2[[#This Row],[Venta Meta 2026]]/#REF!</f>
        <v>#REF!</v>
      </c>
      <c r="AG92" s="8" t="e">
        <f>+Tabla2[[#This Row],[Ordenes]]*#REF!</f>
        <v>#REF!</v>
      </c>
      <c r="AH92" s="9">
        <f t="shared" si="14"/>
        <v>0</v>
      </c>
      <c r="AI92" s="7"/>
      <c r="AJ92" s="9"/>
      <c r="AK92" s="21">
        <f t="shared" si="17"/>
        <v>-1</v>
      </c>
      <c r="AL92" s="21">
        <f t="shared" si="18"/>
        <v>0.1278384366773396</v>
      </c>
      <c r="AM92" s="18" t="e">
        <f t="shared" si="19"/>
        <v>#DIV/0!</v>
      </c>
      <c r="AN92" s="18">
        <f t="shared" si="20"/>
        <v>-1</v>
      </c>
    </row>
    <row r="93" spans="1:40" x14ac:dyDescent="0.3">
      <c r="A93" s="11">
        <v>45748</v>
      </c>
      <c r="B93" s="6">
        <v>29808124</v>
      </c>
      <c r="C93" s="6">
        <v>3914726</v>
      </c>
      <c r="D93" s="7">
        <v>3.7506241679401926E-2</v>
      </c>
      <c r="E93" s="6"/>
      <c r="F93" s="11">
        <v>46112</v>
      </c>
      <c r="G93" s="6">
        <f>+Tabla2[[#This Row],[Meta Digital]]+Tabla2[[#This Row],[Meta MKPlace]]</f>
        <v>4476503.2987316558</v>
      </c>
      <c r="H93" s="6">
        <v>3711806.052545194</v>
      </c>
      <c r="I93" s="6">
        <v>764697.24618646165</v>
      </c>
      <c r="J93" s="6">
        <v>3138536</v>
      </c>
      <c r="K93" s="6"/>
      <c r="L93" s="6">
        <v>22106.034482758616</v>
      </c>
      <c r="M93" s="6"/>
      <c r="N93" s="6">
        <v>84893</v>
      </c>
      <c r="O93" s="6"/>
      <c r="P93" s="6">
        <v>8872</v>
      </c>
      <c r="Q93" s="6"/>
      <c r="R93" s="6">
        <v>49545</v>
      </c>
      <c r="S93" s="6"/>
      <c r="T93" s="6">
        <v>478988</v>
      </c>
      <c r="U93" s="6"/>
      <c r="V93" s="6">
        <v>121840</v>
      </c>
      <c r="W93" s="6"/>
      <c r="X93" s="6">
        <v>21703</v>
      </c>
      <c r="Y93" s="6"/>
      <c r="Z93" s="6">
        <v>10349</v>
      </c>
      <c r="AA93" s="6"/>
      <c r="AB93" s="6">
        <v>0</v>
      </c>
      <c r="AC93" s="6"/>
      <c r="AD93" s="6">
        <v>0</v>
      </c>
      <c r="AE93" s="6"/>
      <c r="AF93" s="8" t="e">
        <f>+Tabla2[[#This Row],[Venta Meta 2026]]/#REF!</f>
        <v>#REF!</v>
      </c>
      <c r="AG93" s="8" t="e">
        <f>+Tabla2[[#This Row],[Ordenes]]*#REF!</f>
        <v>#REF!</v>
      </c>
      <c r="AH93" s="9">
        <f t="shared" si="14"/>
        <v>0</v>
      </c>
      <c r="AI93" s="7"/>
      <c r="AJ93" s="9"/>
      <c r="AK93" s="21">
        <f t="shared" si="17"/>
        <v>-1</v>
      </c>
      <c r="AL93" s="21">
        <f t="shared" si="18"/>
        <v>0.13133084121630734</v>
      </c>
      <c r="AM93" s="18" t="e">
        <f t="shared" si="19"/>
        <v>#DIV/0!</v>
      </c>
      <c r="AN93" s="18">
        <f t="shared" si="20"/>
        <v>-1</v>
      </c>
    </row>
    <row r="94" spans="1:40" hidden="1" x14ac:dyDescent="0.3">
      <c r="A94" s="11">
        <v>45749</v>
      </c>
      <c r="B94" s="6">
        <v>33038734</v>
      </c>
      <c r="C94" s="6">
        <v>4036303</v>
      </c>
      <c r="D94" s="7">
        <v>4.6289291929594571E-2</v>
      </c>
      <c r="E94" s="6"/>
      <c r="F94" s="11">
        <v>46113</v>
      </c>
      <c r="G94" s="6">
        <v>5017365.7550025452</v>
      </c>
      <c r="H94" s="6">
        <f t="shared" ref="H94:H131" si="21">87736761*D94</f>
        <v>4061272.5428860676</v>
      </c>
      <c r="I94" s="6">
        <f t="shared" ref="I94:I131" si="22">20388533*D94</f>
        <v>943770.75605317263</v>
      </c>
      <c r="J94" s="6">
        <v>3224956</v>
      </c>
      <c r="K94" s="6"/>
      <c r="L94" s="6">
        <v>19000.862068965514</v>
      </c>
      <c r="M94" s="6"/>
      <c r="N94" s="6">
        <v>53719</v>
      </c>
      <c r="O94" s="6"/>
      <c r="P94" s="6">
        <v>3290</v>
      </c>
      <c r="Q94" s="6"/>
      <c r="R94" s="6">
        <v>91562</v>
      </c>
      <c r="S94" s="6"/>
      <c r="T94" s="6">
        <v>496250</v>
      </c>
      <c r="U94" s="6"/>
      <c r="V94" s="6">
        <v>140257</v>
      </c>
      <c r="W94" s="6"/>
      <c r="X94" s="6">
        <v>19389</v>
      </c>
      <c r="Y94" s="6"/>
      <c r="Z94" s="6">
        <v>6880</v>
      </c>
      <c r="AA94" s="6"/>
      <c r="AB94" s="6">
        <v>0</v>
      </c>
      <c r="AC94" s="6"/>
      <c r="AD94" s="6">
        <v>0</v>
      </c>
      <c r="AE94" s="6"/>
      <c r="AF94" s="8">
        <v>2894.0958656473326</v>
      </c>
      <c r="AG94" s="8">
        <v>11917.117548906805</v>
      </c>
      <c r="AH94" s="9">
        <f t="shared" si="14"/>
        <v>0</v>
      </c>
      <c r="AI94" s="7"/>
      <c r="AJ94" s="9"/>
      <c r="AK94" s="21">
        <f t="shared" si="17"/>
        <v>-1</v>
      </c>
      <c r="AL94" s="21">
        <f t="shared" si="18"/>
        <v>0.12216881554844081</v>
      </c>
      <c r="AM94" s="18" t="e">
        <f t="shared" si="19"/>
        <v>#DIV/0!</v>
      </c>
      <c r="AN94" s="18">
        <f t="shared" si="20"/>
        <v>-1</v>
      </c>
    </row>
    <row r="95" spans="1:40" hidden="1" x14ac:dyDescent="0.3">
      <c r="A95" s="11">
        <v>45750</v>
      </c>
      <c r="B95" s="6">
        <v>37397995</v>
      </c>
      <c r="C95" s="6">
        <v>3031641</v>
      </c>
      <c r="D95" s="7">
        <v>4.6453162886800625E-2</v>
      </c>
      <c r="E95" s="6"/>
      <c r="F95" s="11">
        <v>46114</v>
      </c>
      <c r="G95" s="6">
        <v>5035127.9737501489</v>
      </c>
      <c r="H95" s="6">
        <f t="shared" si="21"/>
        <v>4075650.0498932963</v>
      </c>
      <c r="I95" s="6">
        <f t="shared" si="22"/>
        <v>947111.8444719098</v>
      </c>
      <c r="J95" s="6">
        <v>2284246</v>
      </c>
      <c r="K95" s="6"/>
      <c r="L95" s="6">
        <v>20966.379310344826</v>
      </c>
      <c r="M95" s="6"/>
      <c r="N95" s="6">
        <v>55138</v>
      </c>
      <c r="O95" s="6"/>
      <c r="P95" s="6">
        <v>3034</v>
      </c>
      <c r="Q95" s="6"/>
      <c r="R95" s="6">
        <v>100239</v>
      </c>
      <c r="S95" s="6"/>
      <c r="T95" s="6">
        <v>439577</v>
      </c>
      <c r="U95" s="6"/>
      <c r="V95" s="6">
        <v>113852</v>
      </c>
      <c r="W95" s="6"/>
      <c r="X95" s="6">
        <v>26202</v>
      </c>
      <c r="Y95" s="6"/>
      <c r="Z95" s="6">
        <v>9353</v>
      </c>
      <c r="AA95" s="6"/>
      <c r="AB95" s="6">
        <v>0</v>
      </c>
      <c r="AC95" s="6"/>
      <c r="AD95" s="6">
        <v>0</v>
      </c>
      <c r="AE95" s="6"/>
      <c r="AF95" s="8">
        <v>2904.3413941482017</v>
      </c>
      <c r="AG95" s="8">
        <v>11959.30591209989</v>
      </c>
      <c r="AH95" s="9">
        <f t="shared" si="14"/>
        <v>0</v>
      </c>
      <c r="AI95" s="7"/>
      <c r="AJ95" s="9"/>
      <c r="AK95" s="21">
        <f t="shared" si="17"/>
        <v>-1</v>
      </c>
      <c r="AL95" s="21">
        <f t="shared" si="18"/>
        <v>8.106426561103075E-2</v>
      </c>
      <c r="AM95" s="18" t="e">
        <f t="shared" si="19"/>
        <v>#DIV/0!</v>
      </c>
      <c r="AN95" s="18">
        <f t="shared" si="20"/>
        <v>-1</v>
      </c>
    </row>
    <row r="96" spans="1:40" hidden="1" x14ac:dyDescent="0.3">
      <c r="A96" s="11">
        <v>45751</v>
      </c>
      <c r="B96" s="6">
        <v>37845651</v>
      </c>
      <c r="C96" s="6">
        <v>2473891</v>
      </c>
      <c r="D96" s="7">
        <v>3.3676589260497457E-2</v>
      </c>
      <c r="E96" s="6"/>
      <c r="F96" s="11">
        <v>46115</v>
      </c>
      <c r="G96" s="6">
        <v>3650256.0021420135</v>
      </c>
      <c r="H96" s="6">
        <f t="shared" si="21"/>
        <v>2954674.8632434322</v>
      </c>
      <c r="I96" s="6">
        <f t="shared" si="22"/>
        <v>686616.251465098</v>
      </c>
      <c r="J96" s="6">
        <v>1760543</v>
      </c>
      <c r="K96" s="6"/>
      <c r="L96" s="6">
        <v>20947.413793103446</v>
      </c>
      <c r="M96" s="6"/>
      <c r="N96" s="6">
        <v>62700</v>
      </c>
      <c r="O96" s="6"/>
      <c r="P96" s="6">
        <v>517</v>
      </c>
      <c r="Q96" s="6"/>
      <c r="R96" s="6">
        <v>58034</v>
      </c>
      <c r="S96" s="6"/>
      <c r="T96" s="6">
        <v>446985</v>
      </c>
      <c r="U96" s="6"/>
      <c r="V96" s="6">
        <v>115709</v>
      </c>
      <c r="W96" s="6"/>
      <c r="X96" s="6">
        <v>18229</v>
      </c>
      <c r="Y96" s="6"/>
      <c r="Z96" s="6">
        <v>11174</v>
      </c>
      <c r="AA96" s="6"/>
      <c r="AB96" s="6">
        <v>0</v>
      </c>
      <c r="AC96" s="6"/>
      <c r="AD96" s="6">
        <v>0</v>
      </c>
      <c r="AE96" s="6"/>
      <c r="AF96" s="8">
        <v>2105.5253533830132</v>
      </c>
      <c r="AG96" s="8">
        <v>8669.9937746728847</v>
      </c>
      <c r="AH96" s="9">
        <f t="shared" si="14"/>
        <v>0</v>
      </c>
      <c r="AI96" s="7"/>
      <c r="AJ96" s="9"/>
      <c r="AK96" s="21">
        <f t="shared" si="17"/>
        <v>-1</v>
      </c>
      <c r="AL96" s="21">
        <f t="shared" si="18"/>
        <v>6.5367907134164502E-2</v>
      </c>
      <c r="AM96" s="18" t="e">
        <f t="shared" si="19"/>
        <v>#DIV/0!</v>
      </c>
      <c r="AN96" s="18">
        <f t="shared" si="20"/>
        <v>-1</v>
      </c>
    </row>
    <row r="97" spans="1:40" hidden="1" x14ac:dyDescent="0.3">
      <c r="A97" s="11">
        <v>45752</v>
      </c>
      <c r="B97" s="6">
        <v>49424718</v>
      </c>
      <c r="C97" s="6">
        <v>2122537</v>
      </c>
      <c r="D97" s="7">
        <v>2.8664374287770168E-2</v>
      </c>
      <c r="E97" s="6"/>
      <c r="F97" s="11">
        <v>46116</v>
      </c>
      <c r="G97" s="6">
        <v>3106974.5063022655</v>
      </c>
      <c r="H97" s="6">
        <f t="shared" si="21"/>
        <v>2514919.3561006365</v>
      </c>
      <c r="I97" s="6">
        <f t="shared" si="22"/>
        <v>584424.54109055363</v>
      </c>
      <c r="J97" s="6">
        <v>1496166</v>
      </c>
      <c r="K97" s="6"/>
      <c r="L97" s="6">
        <v>21429.31034482758</v>
      </c>
      <c r="M97" s="6"/>
      <c r="N97" s="6">
        <v>11511</v>
      </c>
      <c r="O97" s="6"/>
      <c r="P97" s="6">
        <v>8</v>
      </c>
      <c r="Q97" s="6"/>
      <c r="R97" s="6">
        <v>49878</v>
      </c>
      <c r="S97" s="6"/>
      <c r="T97" s="6">
        <v>435734</v>
      </c>
      <c r="U97" s="6"/>
      <c r="V97" s="6">
        <v>114189</v>
      </c>
      <c r="W97" s="6"/>
      <c r="X97" s="6">
        <v>9901</v>
      </c>
      <c r="Y97" s="6"/>
      <c r="Z97" s="6">
        <v>5150</v>
      </c>
      <c r="AA97" s="6"/>
      <c r="AB97" s="6">
        <v>0</v>
      </c>
      <c r="AC97" s="6"/>
      <c r="AD97" s="6">
        <v>0</v>
      </c>
      <c r="AE97" s="6"/>
      <c r="AF97" s="8">
        <v>1792.1520001597905</v>
      </c>
      <c r="AG97" s="8">
        <v>7379.6055980459414</v>
      </c>
      <c r="AH97" s="9">
        <f t="shared" si="14"/>
        <v>0</v>
      </c>
      <c r="AI97" s="7"/>
      <c r="AJ97" s="9"/>
      <c r="AK97" s="21">
        <f t="shared" si="17"/>
        <v>-1</v>
      </c>
      <c r="AL97" s="21">
        <f t="shared" si="18"/>
        <v>4.2944847960488107E-2</v>
      </c>
      <c r="AM97" s="18" t="e">
        <f t="shared" si="19"/>
        <v>#DIV/0!</v>
      </c>
      <c r="AN97" s="18">
        <f t="shared" si="20"/>
        <v>-1</v>
      </c>
    </row>
    <row r="98" spans="1:40" hidden="1" x14ac:dyDescent="0.3">
      <c r="A98" s="11">
        <v>45753</v>
      </c>
      <c r="B98" s="6">
        <v>48801683</v>
      </c>
      <c r="C98" s="6">
        <v>2545481</v>
      </c>
      <c r="D98" s="7">
        <v>2.5168625488986816E-2</v>
      </c>
      <c r="E98" s="6"/>
      <c r="F98" s="11">
        <v>46117</v>
      </c>
      <c r="G98" s="6">
        <v>2728065.0527339508</v>
      </c>
      <c r="H98" s="6">
        <f t="shared" si="21"/>
        <v>2208213.6792257442</v>
      </c>
      <c r="I98" s="6">
        <f t="shared" si="22"/>
        <v>513151.35134684882</v>
      </c>
      <c r="J98" s="6">
        <v>1847860</v>
      </c>
      <c r="K98" s="6"/>
      <c r="L98" s="6">
        <v>18636.206896551725</v>
      </c>
      <c r="M98" s="6"/>
      <c r="N98" s="6">
        <v>26062</v>
      </c>
      <c r="O98" s="6"/>
      <c r="P98" s="6">
        <v>2036</v>
      </c>
      <c r="Q98" s="6"/>
      <c r="R98" s="6">
        <v>55957</v>
      </c>
      <c r="S98" s="6"/>
      <c r="T98" s="6">
        <v>473249</v>
      </c>
      <c r="U98" s="6"/>
      <c r="V98" s="6">
        <v>122349</v>
      </c>
      <c r="W98" s="6"/>
      <c r="X98" s="6">
        <v>13822</v>
      </c>
      <c r="Y98" s="6"/>
      <c r="Z98" s="6">
        <v>4146</v>
      </c>
      <c r="AA98" s="6"/>
      <c r="AB98" s="6">
        <v>0</v>
      </c>
      <c r="AC98" s="6"/>
      <c r="AD98" s="6">
        <v>0</v>
      </c>
      <c r="AE98" s="6"/>
      <c r="AF98" s="8">
        <v>1573.5910387761426</v>
      </c>
      <c r="AG98" s="8">
        <v>6479.6296506947883</v>
      </c>
      <c r="AH98" s="9">
        <f t="shared" si="14"/>
        <v>0</v>
      </c>
      <c r="AI98" s="7"/>
      <c r="AJ98" s="9"/>
      <c r="AK98" s="21">
        <f t="shared" si="17"/>
        <v>-1</v>
      </c>
      <c r="AL98" s="21">
        <f t="shared" si="18"/>
        <v>5.2159697033399441E-2</v>
      </c>
      <c r="AM98" s="18" t="e">
        <f t="shared" si="19"/>
        <v>#DIV/0!</v>
      </c>
      <c r="AN98" s="18">
        <f t="shared" si="20"/>
        <v>-1</v>
      </c>
    </row>
    <row r="99" spans="1:40" hidden="1" x14ac:dyDescent="0.3">
      <c r="A99" s="11">
        <v>45754</v>
      </c>
      <c r="B99" s="6">
        <v>28107408</v>
      </c>
      <c r="C99" s="6">
        <v>3663380</v>
      </c>
      <c r="D99" s="7">
        <v>3.2987949487354819E-2</v>
      </c>
      <c r="E99" s="6"/>
      <c r="F99" s="11">
        <v>46118</v>
      </c>
      <c r="G99" s="6">
        <v>3575613.304635345</v>
      </c>
      <c r="H99" s="6">
        <f t="shared" si="21"/>
        <v>2894255.8400521223</v>
      </c>
      <c r="I99" s="6">
        <f t="shared" si="22"/>
        <v>672575.89672526682</v>
      </c>
      <c r="J99" s="6">
        <v>2938155</v>
      </c>
      <c r="K99" s="6"/>
      <c r="L99" s="6">
        <v>17774.137931034486</v>
      </c>
      <c r="M99" s="6"/>
      <c r="N99" s="6">
        <v>73052</v>
      </c>
      <c r="O99" s="6"/>
      <c r="P99" s="6">
        <v>6096</v>
      </c>
      <c r="Q99" s="6"/>
      <c r="R99" s="6">
        <v>48292</v>
      </c>
      <c r="S99" s="6"/>
      <c r="T99" s="6">
        <v>444090</v>
      </c>
      <c r="U99" s="6"/>
      <c r="V99" s="6">
        <v>111346</v>
      </c>
      <c r="W99" s="6"/>
      <c r="X99" s="6">
        <v>36065</v>
      </c>
      <c r="Y99" s="6"/>
      <c r="Z99" s="6">
        <v>6284</v>
      </c>
      <c r="AA99" s="6"/>
      <c r="AB99" s="6">
        <v>0</v>
      </c>
      <c r="AC99" s="6"/>
      <c r="AD99" s="6">
        <v>0</v>
      </c>
      <c r="AE99" s="6"/>
      <c r="AF99" s="8">
        <v>2062.4702657527305</v>
      </c>
      <c r="AG99" s="8">
        <v>8492.7043674839515</v>
      </c>
      <c r="AH99" s="9">
        <f t="shared" si="14"/>
        <v>0</v>
      </c>
      <c r="AI99" s="7"/>
      <c r="AJ99" s="9"/>
      <c r="AK99" s="21">
        <f t="shared" si="17"/>
        <v>-1</v>
      </c>
      <c r="AL99" s="21">
        <f t="shared" si="18"/>
        <v>0.13033503480648234</v>
      </c>
      <c r="AM99" s="18" t="e">
        <f t="shared" si="19"/>
        <v>#DIV/0!</v>
      </c>
      <c r="AN99" s="18">
        <f t="shared" si="20"/>
        <v>-1</v>
      </c>
    </row>
    <row r="100" spans="1:40" hidden="1" x14ac:dyDescent="0.3">
      <c r="A100" s="11">
        <v>45755</v>
      </c>
      <c r="B100" s="6">
        <v>30891733</v>
      </c>
      <c r="C100" s="6">
        <v>3932838</v>
      </c>
      <c r="D100" s="7">
        <v>4.7548133824036602E-2</v>
      </c>
      <c r="E100" s="6"/>
      <c r="F100" s="11">
        <v>46119</v>
      </c>
      <c r="G100" s="6">
        <v>5153813.5153559046</v>
      </c>
      <c r="H100" s="6">
        <f t="shared" si="21"/>
        <v>4171719.2533155154</v>
      </c>
      <c r="I100" s="6">
        <f t="shared" si="22"/>
        <v>969436.6955597864</v>
      </c>
      <c r="J100" s="6">
        <v>3216605</v>
      </c>
      <c r="K100" s="6"/>
      <c r="L100" s="6">
        <v>21327.586206896551</v>
      </c>
      <c r="M100" s="6"/>
      <c r="N100" s="6">
        <v>89117</v>
      </c>
      <c r="O100" s="6"/>
      <c r="P100" s="6">
        <v>9523</v>
      </c>
      <c r="Q100" s="6"/>
      <c r="R100" s="6">
        <v>65722</v>
      </c>
      <c r="S100" s="6"/>
      <c r="T100" s="6">
        <v>426938</v>
      </c>
      <c r="U100" s="6"/>
      <c r="V100" s="6">
        <v>95196</v>
      </c>
      <c r="W100" s="6"/>
      <c r="X100" s="6">
        <v>19287</v>
      </c>
      <c r="Y100" s="6"/>
      <c r="Z100" s="6">
        <v>10450</v>
      </c>
      <c r="AA100" s="6"/>
      <c r="AB100" s="6">
        <v>0</v>
      </c>
      <c r="AC100" s="6"/>
      <c r="AD100" s="6">
        <v>0</v>
      </c>
      <c r="AE100" s="6"/>
      <c r="AF100" s="8">
        <v>2972.8010903405434</v>
      </c>
      <c r="AG100" s="8">
        <v>12241.204745020581</v>
      </c>
      <c r="AH100" s="9">
        <f t="shared" si="14"/>
        <v>0</v>
      </c>
      <c r="AI100" s="7"/>
      <c r="AJ100" s="9"/>
      <c r="AK100" s="21">
        <f t="shared" si="17"/>
        <v>-1</v>
      </c>
      <c r="AL100" s="21">
        <f t="shared" si="18"/>
        <v>0.1273103713540448</v>
      </c>
      <c r="AM100" s="18" t="e">
        <f t="shared" si="19"/>
        <v>#DIV/0!</v>
      </c>
      <c r="AN100" s="18">
        <f t="shared" si="20"/>
        <v>-1</v>
      </c>
    </row>
    <row r="101" spans="1:40" hidden="1" x14ac:dyDescent="0.3">
      <c r="A101" s="11">
        <v>45756</v>
      </c>
      <c r="B101" s="6">
        <v>33570758</v>
      </c>
      <c r="C101" s="6">
        <v>3326039</v>
      </c>
      <c r="D101" s="7">
        <v>4.3667568699228602E-2</v>
      </c>
      <c r="E101" s="6"/>
      <c r="F101" s="11">
        <v>46120</v>
      </c>
      <c r="G101" s="6">
        <v>4733193.2432445316</v>
      </c>
      <c r="H101" s="6">
        <f t="shared" si="21"/>
        <v>3831251.0384153007</v>
      </c>
      <c r="I101" s="6">
        <f t="shared" si="22"/>
        <v>890317.66545398941</v>
      </c>
      <c r="J101" s="6">
        <v>2654418</v>
      </c>
      <c r="K101" s="6"/>
      <c r="L101" s="6">
        <v>17257.758620689656</v>
      </c>
      <c r="M101" s="6"/>
      <c r="N101" s="6">
        <v>79591</v>
      </c>
      <c r="O101" s="6"/>
      <c r="P101" s="6">
        <v>3785</v>
      </c>
      <c r="Q101" s="6"/>
      <c r="R101" s="6">
        <v>72783</v>
      </c>
      <c r="S101" s="6"/>
      <c r="T101" s="6">
        <v>402853</v>
      </c>
      <c r="U101" s="6"/>
      <c r="V101" s="6">
        <v>84871</v>
      </c>
      <c r="W101" s="6"/>
      <c r="X101" s="6">
        <v>19957</v>
      </c>
      <c r="Y101" s="6"/>
      <c r="Z101" s="6">
        <v>7781</v>
      </c>
      <c r="AA101" s="6"/>
      <c r="AB101" s="6">
        <v>0</v>
      </c>
      <c r="AC101" s="6"/>
      <c r="AD101" s="6">
        <v>0</v>
      </c>
      <c r="AE101" s="6"/>
      <c r="AF101" s="8">
        <v>2730.1806695926116</v>
      </c>
      <c r="AG101" s="8">
        <v>11242.158338805002</v>
      </c>
      <c r="AH101" s="9">
        <f t="shared" si="14"/>
        <v>0</v>
      </c>
      <c r="AI101" s="7"/>
      <c r="AJ101" s="9"/>
      <c r="AK101" s="21">
        <f t="shared" si="17"/>
        <v>-1</v>
      </c>
      <c r="AL101" s="21">
        <f t="shared" si="18"/>
        <v>9.9075481107694971E-2</v>
      </c>
      <c r="AM101" s="18" t="e">
        <f t="shared" si="19"/>
        <v>#DIV/0!</v>
      </c>
      <c r="AN101" s="18">
        <f t="shared" si="20"/>
        <v>-1</v>
      </c>
    </row>
    <row r="102" spans="1:40" hidden="1" x14ac:dyDescent="0.3">
      <c r="A102" s="11">
        <v>45757</v>
      </c>
      <c r="B102" s="6">
        <v>38193351</v>
      </c>
      <c r="C102" s="6">
        <v>2838078</v>
      </c>
      <c r="D102" s="7">
        <v>3.8373799197209041E-2</v>
      </c>
      <c r="E102" s="6"/>
      <c r="F102" s="11">
        <v>46121</v>
      </c>
      <c r="G102" s="6">
        <v>4159393.6298326775</v>
      </c>
      <c r="H102" s="6">
        <f t="shared" si="21"/>
        <v>3366792.8488275213</v>
      </c>
      <c r="I102" s="6">
        <f t="shared" si="22"/>
        <v>782385.47126767004</v>
      </c>
      <c r="J102" s="6">
        <v>2192657</v>
      </c>
      <c r="K102" s="6"/>
      <c r="L102" s="6">
        <v>17516.379310344826</v>
      </c>
      <c r="M102" s="6"/>
      <c r="N102" s="6">
        <v>43419</v>
      </c>
      <c r="O102" s="6"/>
      <c r="P102" s="6">
        <v>11270</v>
      </c>
      <c r="Q102" s="6"/>
      <c r="R102" s="6">
        <v>53292</v>
      </c>
      <c r="S102" s="6"/>
      <c r="T102" s="6">
        <v>414956</v>
      </c>
      <c r="U102" s="6"/>
      <c r="V102" s="6">
        <v>99227</v>
      </c>
      <c r="W102" s="6"/>
      <c r="X102" s="6">
        <v>16763</v>
      </c>
      <c r="Y102" s="6"/>
      <c r="Z102" s="6">
        <v>6494</v>
      </c>
      <c r="AA102" s="6"/>
      <c r="AB102" s="6">
        <v>0</v>
      </c>
      <c r="AC102" s="6"/>
      <c r="AD102" s="6">
        <v>0</v>
      </c>
      <c r="AE102" s="6"/>
      <c r="AF102" s="8">
        <v>2399.2039838228811</v>
      </c>
      <c r="AG102" s="8">
        <v>9879.2843175661674</v>
      </c>
      <c r="AH102" s="9">
        <f t="shared" si="14"/>
        <v>0</v>
      </c>
      <c r="AI102" s="7"/>
      <c r="AJ102" s="9"/>
      <c r="AK102" s="21">
        <f t="shared" si="17"/>
        <v>-1</v>
      </c>
      <c r="AL102" s="21">
        <f t="shared" si="18"/>
        <v>7.4308169503115876E-2</v>
      </c>
      <c r="AM102" s="18" t="e">
        <f t="shared" si="19"/>
        <v>#DIV/0!</v>
      </c>
      <c r="AN102" s="18">
        <f t="shared" si="20"/>
        <v>-1</v>
      </c>
    </row>
    <row r="103" spans="1:40" hidden="1" x14ac:dyDescent="0.3">
      <c r="A103" s="11">
        <v>45758</v>
      </c>
      <c r="B103" s="6">
        <v>38630835</v>
      </c>
      <c r="C103" s="6">
        <v>2211589</v>
      </c>
      <c r="D103" s="7">
        <v>3.1608384136805959E-2</v>
      </c>
      <c r="E103" s="6"/>
      <c r="F103" s="11">
        <v>46122</v>
      </c>
      <c r="G103" s="6">
        <v>3426080.147870712</v>
      </c>
      <c r="H103" s="6">
        <f t="shared" si="21"/>
        <v>2773217.2446071357</v>
      </c>
      <c r="I103" s="6">
        <f t="shared" si="22"/>
        <v>644448.58304994483</v>
      </c>
      <c r="J103" s="6">
        <v>1604794</v>
      </c>
      <c r="K103" s="6"/>
      <c r="L103" s="6">
        <v>16868.103448275862</v>
      </c>
      <c r="M103" s="6"/>
      <c r="N103" s="6">
        <v>51502</v>
      </c>
      <c r="O103" s="6"/>
      <c r="P103" s="6">
        <v>8066</v>
      </c>
      <c r="Q103" s="6"/>
      <c r="R103" s="6">
        <v>71162</v>
      </c>
      <c r="S103" s="6"/>
      <c r="T103" s="6">
        <v>379811</v>
      </c>
      <c r="U103" s="6"/>
      <c r="V103" s="6">
        <v>81052</v>
      </c>
      <c r="W103" s="6"/>
      <c r="X103" s="6">
        <v>5276</v>
      </c>
      <c r="Y103" s="6"/>
      <c r="Z103" s="6">
        <v>9926</v>
      </c>
      <c r="AA103" s="6"/>
      <c r="AB103" s="6">
        <v>0</v>
      </c>
      <c r="AC103" s="6"/>
      <c r="AD103" s="6">
        <v>0</v>
      </c>
      <c r="AE103" s="6"/>
      <c r="AF103" s="8">
        <v>1976.2171775982076</v>
      </c>
      <c r="AG103" s="8">
        <v>8137.5370757937844</v>
      </c>
      <c r="AH103" s="9">
        <f t="shared" si="14"/>
        <v>0</v>
      </c>
      <c r="AI103" s="7"/>
      <c r="AJ103" s="9"/>
      <c r="AK103" s="21">
        <f t="shared" si="17"/>
        <v>-1</v>
      </c>
      <c r="AL103" s="21">
        <f t="shared" si="18"/>
        <v>5.7249319099625988E-2</v>
      </c>
      <c r="AM103" s="18" t="e">
        <f t="shared" si="19"/>
        <v>#DIV/0!</v>
      </c>
      <c r="AN103" s="18">
        <f t="shared" si="20"/>
        <v>-1</v>
      </c>
    </row>
    <row r="104" spans="1:40" hidden="1" x14ac:dyDescent="0.3">
      <c r="A104" s="11">
        <v>45759</v>
      </c>
      <c r="B104" s="6">
        <v>47070678</v>
      </c>
      <c r="C104" s="6">
        <v>1927604</v>
      </c>
      <c r="D104" s="7">
        <v>2.5452371562573108E-2</v>
      </c>
      <c r="E104" s="6"/>
      <c r="F104" s="11">
        <v>46123</v>
      </c>
      <c r="G104" s="6">
        <v>2758820.7150779255</v>
      </c>
      <c r="H104" s="6">
        <f t="shared" si="21"/>
        <v>2233108.6406686734</v>
      </c>
      <c r="I104" s="6">
        <f t="shared" si="22"/>
        <v>518936.51753178338</v>
      </c>
      <c r="J104" s="6">
        <v>1381331</v>
      </c>
      <c r="K104" s="6"/>
      <c r="L104" s="6">
        <v>16293.96551724138</v>
      </c>
      <c r="M104" s="6"/>
      <c r="N104" s="6">
        <v>6610</v>
      </c>
      <c r="O104" s="6"/>
      <c r="P104" s="6">
        <v>11834</v>
      </c>
      <c r="Q104" s="6"/>
      <c r="R104" s="6">
        <v>53467</v>
      </c>
      <c r="S104" s="6"/>
      <c r="T104" s="6">
        <v>372193</v>
      </c>
      <c r="U104" s="6"/>
      <c r="V104" s="6">
        <v>72801</v>
      </c>
      <c r="W104" s="6"/>
      <c r="X104" s="6">
        <v>17561</v>
      </c>
      <c r="Y104" s="6"/>
      <c r="Z104" s="6">
        <v>11807</v>
      </c>
      <c r="AA104" s="6"/>
      <c r="AB104" s="6">
        <v>0</v>
      </c>
      <c r="AC104" s="6"/>
      <c r="AD104" s="6">
        <v>0</v>
      </c>
      <c r="AE104" s="6"/>
      <c r="AF104" s="8">
        <v>1591.3313909013978</v>
      </c>
      <c r="AG104" s="8">
        <v>6552.6797055133347</v>
      </c>
      <c r="AH104" s="9">
        <f t="shared" si="14"/>
        <v>0</v>
      </c>
      <c r="AI104" s="7"/>
      <c r="AJ104" s="9"/>
      <c r="AK104" s="21">
        <f t="shared" si="17"/>
        <v>-1</v>
      </c>
      <c r="AL104" s="21">
        <f t="shared" si="18"/>
        <v>4.0951269068187204E-2</v>
      </c>
      <c r="AM104" s="18" t="e">
        <f t="shared" si="19"/>
        <v>#DIV/0!</v>
      </c>
      <c r="AN104" s="18">
        <f t="shared" si="20"/>
        <v>-1</v>
      </c>
    </row>
    <row r="105" spans="1:40" hidden="1" x14ac:dyDescent="0.3">
      <c r="A105" s="11">
        <v>45760</v>
      </c>
      <c r="B105" s="6">
        <v>42859392</v>
      </c>
      <c r="C105" s="6">
        <v>2111602</v>
      </c>
      <c r="D105" s="7">
        <v>2.5249830452825292E-2</v>
      </c>
      <c r="E105" s="6"/>
      <c r="F105" s="11">
        <v>46124</v>
      </c>
      <c r="G105" s="6">
        <v>2736866.9805171429</v>
      </c>
      <c r="H105" s="6">
        <f t="shared" si="21"/>
        <v>2215338.3397300546</v>
      </c>
      <c r="I105" s="6">
        <f t="shared" si="22"/>
        <v>514807.00143183343</v>
      </c>
      <c r="J105" s="6">
        <v>1569406</v>
      </c>
      <c r="K105" s="6"/>
      <c r="L105" s="6">
        <v>19453.448275862065</v>
      </c>
      <c r="M105" s="6"/>
      <c r="N105" s="6">
        <v>1820</v>
      </c>
      <c r="O105" s="6"/>
      <c r="P105" s="6">
        <v>11036</v>
      </c>
      <c r="Q105" s="6"/>
      <c r="R105" s="6">
        <v>72440</v>
      </c>
      <c r="S105" s="6"/>
      <c r="T105" s="6">
        <v>333556</v>
      </c>
      <c r="U105" s="6"/>
      <c r="V105" s="6">
        <v>96341</v>
      </c>
      <c r="W105" s="6"/>
      <c r="X105" s="6">
        <v>15131</v>
      </c>
      <c r="Y105" s="6"/>
      <c r="Z105" s="6">
        <v>11872</v>
      </c>
      <c r="AA105" s="6"/>
      <c r="AB105" s="6">
        <v>0</v>
      </c>
      <c r="AC105" s="6"/>
      <c r="AD105" s="6">
        <v>0</v>
      </c>
      <c r="AE105" s="6"/>
      <c r="AF105" s="8">
        <v>1578.6681298336689</v>
      </c>
      <c r="AG105" s="8">
        <v>6500.5357622224774</v>
      </c>
      <c r="AH105" s="9">
        <f t="shared" si="14"/>
        <v>0</v>
      </c>
      <c r="AI105" s="7"/>
      <c r="AJ105" s="9"/>
      <c r="AK105" s="21">
        <f t="shared" si="17"/>
        <v>-1</v>
      </c>
      <c r="AL105" s="21">
        <f t="shared" si="18"/>
        <v>4.9268127741989437E-2</v>
      </c>
      <c r="AM105" s="18" t="e">
        <f t="shared" si="19"/>
        <v>#DIV/0!</v>
      </c>
      <c r="AN105" s="18">
        <f t="shared" si="20"/>
        <v>-1</v>
      </c>
    </row>
    <row r="106" spans="1:40" hidden="1" x14ac:dyDescent="0.3">
      <c r="A106" s="11">
        <v>45761</v>
      </c>
      <c r="B106" s="6">
        <v>33282941</v>
      </c>
      <c r="C106" s="6">
        <v>3374455</v>
      </c>
      <c r="D106" s="7">
        <v>2.6249964078114744E-2</v>
      </c>
      <c r="E106" s="6"/>
      <c r="F106" s="11">
        <v>46125</v>
      </c>
      <c r="G106" s="6">
        <v>2845272.9636889361</v>
      </c>
      <c r="H106" s="6">
        <f t="shared" si="21"/>
        <v>2303086.8245801385</v>
      </c>
      <c r="I106" s="6">
        <f t="shared" si="22"/>
        <v>535198.25885545707</v>
      </c>
      <c r="J106" s="6">
        <v>2602332</v>
      </c>
      <c r="K106" s="6"/>
      <c r="L106" s="6">
        <v>16797.413793103446</v>
      </c>
      <c r="M106" s="6"/>
      <c r="N106" s="6">
        <v>67991</v>
      </c>
      <c r="O106" s="6"/>
      <c r="P106" s="6">
        <v>21714</v>
      </c>
      <c r="Q106" s="6"/>
      <c r="R106" s="6">
        <v>83069</v>
      </c>
      <c r="S106" s="6"/>
      <c r="T106" s="6">
        <v>470529</v>
      </c>
      <c r="U106" s="6"/>
      <c r="V106" s="6">
        <v>93695</v>
      </c>
      <c r="W106" s="6"/>
      <c r="X106" s="6">
        <v>26519</v>
      </c>
      <c r="Y106" s="6"/>
      <c r="Z106" s="6">
        <v>8606</v>
      </c>
      <c r="AA106" s="6"/>
      <c r="AB106" s="6">
        <v>0</v>
      </c>
      <c r="AC106" s="6"/>
      <c r="AD106" s="6">
        <v>0</v>
      </c>
      <c r="AE106" s="6"/>
      <c r="AF106" s="8">
        <v>1641.1984142555511</v>
      </c>
      <c r="AG106" s="8">
        <v>6758.0188534591489</v>
      </c>
      <c r="AH106" s="9">
        <f t="shared" si="14"/>
        <v>0</v>
      </c>
      <c r="AI106" s="7"/>
      <c r="AJ106" s="9"/>
      <c r="AK106" s="21">
        <f t="shared" si="17"/>
        <v>-1</v>
      </c>
      <c r="AL106" s="21">
        <f t="shared" si="18"/>
        <v>0.10138692370965655</v>
      </c>
      <c r="AM106" s="18" t="e">
        <f t="shared" si="19"/>
        <v>#DIV/0!</v>
      </c>
      <c r="AN106" s="18">
        <f t="shared" si="20"/>
        <v>-1</v>
      </c>
    </row>
    <row r="107" spans="1:40" hidden="1" x14ac:dyDescent="0.3">
      <c r="A107" s="11">
        <v>45762</v>
      </c>
      <c r="B107" s="6">
        <v>38043206</v>
      </c>
      <c r="C107" s="6">
        <v>3007001</v>
      </c>
      <c r="D107" s="7">
        <v>4.0054548715726258E-2</v>
      </c>
      <c r="E107" s="6"/>
      <c r="F107" s="11">
        <v>46126</v>
      </c>
      <c r="G107" s="6">
        <v>4341572.5901367515</v>
      </c>
      <c r="H107" s="6">
        <f t="shared" si="21"/>
        <v>3514256.3676345316</v>
      </c>
      <c r="I107" s="6">
        <f t="shared" si="22"/>
        <v>816653.48829069245</v>
      </c>
      <c r="J107" s="6">
        <v>2444873</v>
      </c>
      <c r="K107" s="6"/>
      <c r="L107" s="6">
        <v>19573.275862068964</v>
      </c>
      <c r="M107" s="6"/>
      <c r="N107" s="6">
        <v>50256</v>
      </c>
      <c r="O107" s="6"/>
      <c r="P107" s="6">
        <v>13006</v>
      </c>
      <c r="Q107" s="6"/>
      <c r="R107" s="6">
        <v>55749</v>
      </c>
      <c r="S107" s="6"/>
      <c r="T107" s="6">
        <v>297114</v>
      </c>
      <c r="U107" s="6"/>
      <c r="V107" s="6">
        <v>118730</v>
      </c>
      <c r="W107" s="6"/>
      <c r="X107" s="6">
        <v>16825</v>
      </c>
      <c r="Y107" s="6"/>
      <c r="Z107" s="6">
        <v>10448</v>
      </c>
      <c r="AA107" s="6"/>
      <c r="AB107" s="6">
        <v>0</v>
      </c>
      <c r="AC107" s="6"/>
      <c r="AD107" s="6">
        <v>0</v>
      </c>
      <c r="AE107" s="6"/>
      <c r="AF107" s="8">
        <v>2504.2876874173944</v>
      </c>
      <c r="AG107" s="8">
        <v>10311.991078622332</v>
      </c>
      <c r="AH107" s="9">
        <f t="shared" si="14"/>
        <v>0</v>
      </c>
      <c r="AI107" s="7"/>
      <c r="AJ107" s="9"/>
      <c r="AK107" s="21">
        <f t="shared" si="17"/>
        <v>-1</v>
      </c>
      <c r="AL107" s="21">
        <f t="shared" si="18"/>
        <v>7.9041734810678152E-2</v>
      </c>
      <c r="AM107" s="18" t="e">
        <f t="shared" si="19"/>
        <v>#DIV/0!</v>
      </c>
      <c r="AN107" s="18">
        <f t="shared" si="20"/>
        <v>-1</v>
      </c>
    </row>
    <row r="108" spans="1:40" hidden="1" x14ac:dyDescent="0.3">
      <c r="A108" s="11">
        <v>45763</v>
      </c>
      <c r="B108" s="6">
        <v>41123227</v>
      </c>
      <c r="C108" s="6">
        <v>2399392</v>
      </c>
      <c r="D108" s="7">
        <v>3.6653590098904502E-2</v>
      </c>
      <c r="E108" s="6"/>
      <c r="F108" s="11">
        <v>46127</v>
      </c>
      <c r="G108" s="6">
        <v>3972937.586512669</v>
      </c>
      <c r="H108" s="6">
        <f t="shared" si="21"/>
        <v>3215867.2742995508</v>
      </c>
      <c r="I108" s="6">
        <f t="shared" si="22"/>
        <v>747312.93129998771</v>
      </c>
      <c r="J108" s="6">
        <v>1792566</v>
      </c>
      <c r="K108" s="6"/>
      <c r="L108" s="6">
        <v>19598.275862068967</v>
      </c>
      <c r="M108" s="6"/>
      <c r="N108" s="6">
        <v>46001</v>
      </c>
      <c r="O108" s="6"/>
      <c r="P108" s="6">
        <v>12990</v>
      </c>
      <c r="Q108" s="6"/>
      <c r="R108" s="6">
        <v>70129</v>
      </c>
      <c r="S108" s="6"/>
      <c r="T108" s="6">
        <v>329344</v>
      </c>
      <c r="U108" s="6"/>
      <c r="V108" s="6">
        <v>114466</v>
      </c>
      <c r="W108" s="6"/>
      <c r="X108" s="6">
        <v>22862</v>
      </c>
      <c r="Y108" s="6"/>
      <c r="Z108" s="6">
        <v>11034</v>
      </c>
      <c r="AA108" s="6"/>
      <c r="AB108" s="6">
        <v>0</v>
      </c>
      <c r="AC108" s="6"/>
      <c r="AD108" s="6">
        <v>0</v>
      </c>
      <c r="AE108" s="6"/>
      <c r="AF108" s="8">
        <v>2291.6531911465909</v>
      </c>
      <c r="AG108" s="8">
        <v>9436.4187394023375</v>
      </c>
      <c r="AH108" s="9">
        <f t="shared" si="14"/>
        <v>0</v>
      </c>
      <c r="AI108" s="7"/>
      <c r="AJ108" s="9"/>
      <c r="AK108" s="21">
        <f t="shared" si="17"/>
        <v>-1</v>
      </c>
      <c r="AL108" s="21">
        <f t="shared" si="18"/>
        <v>5.8346393876142065E-2</v>
      </c>
      <c r="AM108" s="18" t="e">
        <f t="shared" si="19"/>
        <v>#DIV/0!</v>
      </c>
      <c r="AN108" s="18">
        <f t="shared" si="20"/>
        <v>-1</v>
      </c>
    </row>
    <row r="109" spans="1:40" hidden="1" x14ac:dyDescent="0.3">
      <c r="A109" s="11">
        <v>45764</v>
      </c>
      <c r="B109" s="6">
        <v>36004609</v>
      </c>
      <c r="C109" s="6">
        <v>1858942</v>
      </c>
      <c r="D109" s="7">
        <v>2.9500448435914279E-2</v>
      </c>
      <c r="E109" s="6"/>
      <c r="F109" s="11">
        <v>46128</v>
      </c>
      <c r="G109" s="6">
        <v>3197597.8367675822</v>
      </c>
      <c r="H109" s="6">
        <f t="shared" si="21"/>
        <v>2588273.7938146349</v>
      </c>
      <c r="I109" s="6">
        <f t="shared" si="22"/>
        <v>601470.86645043665</v>
      </c>
      <c r="J109" s="6">
        <v>1396188</v>
      </c>
      <c r="K109" s="6"/>
      <c r="L109" s="6">
        <v>18720.689655172413</v>
      </c>
      <c r="M109" s="6"/>
      <c r="N109" s="6">
        <v>28846</v>
      </c>
      <c r="O109" s="6"/>
      <c r="P109" s="6">
        <v>77</v>
      </c>
      <c r="Q109" s="6"/>
      <c r="R109" s="6">
        <v>58156</v>
      </c>
      <c r="S109" s="6"/>
      <c r="T109" s="6">
        <v>252134</v>
      </c>
      <c r="U109" s="6"/>
      <c r="V109" s="6">
        <v>102799</v>
      </c>
      <c r="W109" s="6"/>
      <c r="X109" s="6">
        <v>13428</v>
      </c>
      <c r="Y109" s="6"/>
      <c r="Z109" s="6">
        <v>7314</v>
      </c>
      <c r="AA109" s="6"/>
      <c r="AB109" s="6">
        <v>0</v>
      </c>
      <c r="AC109" s="6"/>
      <c r="AD109" s="6">
        <v>0</v>
      </c>
      <c r="AE109" s="6"/>
      <c r="AF109" s="8">
        <v>1844.4249694503724</v>
      </c>
      <c r="AG109" s="8">
        <v>7594.851791878199</v>
      </c>
      <c r="AH109" s="9">
        <f t="shared" si="14"/>
        <v>0</v>
      </c>
      <c r="AI109" s="7"/>
      <c r="AJ109" s="9"/>
      <c r="AK109" s="21">
        <f t="shared" si="17"/>
        <v>-1</v>
      </c>
      <c r="AL109" s="21">
        <f t="shared" si="18"/>
        <v>5.1630667618137442E-2</v>
      </c>
      <c r="AM109" s="18" t="e">
        <f t="shared" si="19"/>
        <v>#DIV/0!</v>
      </c>
      <c r="AN109" s="18">
        <f t="shared" si="20"/>
        <v>-1</v>
      </c>
    </row>
    <row r="110" spans="1:40" hidden="1" x14ac:dyDescent="0.3">
      <c r="A110" s="11">
        <v>45765</v>
      </c>
      <c r="B110" s="6">
        <v>15540152</v>
      </c>
      <c r="C110" s="6">
        <v>1502533</v>
      </c>
      <c r="D110" s="7">
        <v>2.1323796675165693E-2</v>
      </c>
      <c r="E110" s="6"/>
      <c r="F110" s="11">
        <v>46129</v>
      </c>
      <c r="G110" s="6">
        <v>2311318.2929508374</v>
      </c>
      <c r="H110" s="6">
        <f t="shared" si="21"/>
        <v>1870880.852501607</v>
      </c>
      <c r="I110" s="6">
        <f t="shared" si="22"/>
        <v>434760.93219690601</v>
      </c>
      <c r="J110" s="6">
        <v>1047803</v>
      </c>
      <c r="K110" s="6"/>
      <c r="L110" s="6">
        <v>13265.517241379313</v>
      </c>
      <c r="M110" s="6"/>
      <c r="N110" s="6">
        <v>10416</v>
      </c>
      <c r="O110" s="6"/>
      <c r="P110" s="6">
        <v>1772</v>
      </c>
      <c r="Q110" s="6"/>
      <c r="R110" s="6">
        <v>83897</v>
      </c>
      <c r="S110" s="6"/>
      <c r="T110" s="6">
        <v>262910</v>
      </c>
      <c r="U110" s="6"/>
      <c r="V110" s="6">
        <v>73506</v>
      </c>
      <c r="W110" s="6"/>
      <c r="X110" s="6">
        <v>15139</v>
      </c>
      <c r="Y110" s="6"/>
      <c r="Z110" s="6">
        <v>7090</v>
      </c>
      <c r="AA110" s="6"/>
      <c r="AB110" s="6">
        <v>0</v>
      </c>
      <c r="AC110" s="6"/>
      <c r="AD110" s="6">
        <v>0</v>
      </c>
      <c r="AE110" s="6"/>
      <c r="AF110" s="8">
        <v>1333.2049211590067</v>
      </c>
      <c r="AG110" s="8">
        <v>5489.783510913242</v>
      </c>
      <c r="AH110" s="9">
        <f t="shared" si="14"/>
        <v>0</v>
      </c>
      <c r="AI110" s="7"/>
      <c r="AJ110" s="9"/>
      <c r="AK110" s="21">
        <f t="shared" si="17"/>
        <v>-1</v>
      </c>
      <c r="AL110" s="21">
        <f t="shared" si="18"/>
        <v>9.6687149520802623E-2</v>
      </c>
      <c r="AM110" s="18" t="e">
        <f t="shared" si="19"/>
        <v>#DIV/0!</v>
      </c>
      <c r="AN110" s="18">
        <f t="shared" si="20"/>
        <v>-1</v>
      </c>
    </row>
    <row r="111" spans="1:40" hidden="1" x14ac:dyDescent="0.3">
      <c r="A111" s="11">
        <v>45766</v>
      </c>
      <c r="B111" s="6">
        <v>27478165</v>
      </c>
      <c r="C111" s="6">
        <v>1346733</v>
      </c>
      <c r="D111" s="7">
        <v>1.4775191327413534E-2</v>
      </c>
      <c r="E111" s="6"/>
      <c r="F111" s="11">
        <v>46130</v>
      </c>
      <c r="G111" s="6">
        <v>1601505.1408116142</v>
      </c>
      <c r="H111" s="6">
        <f t="shared" si="21"/>
        <v>1296327.4302225539</v>
      </c>
      <c r="I111" s="6">
        <f t="shared" si="22"/>
        <v>301244.47596028465</v>
      </c>
      <c r="J111" s="6">
        <v>1029021</v>
      </c>
      <c r="K111" s="6"/>
      <c r="L111" s="6">
        <v>15128.448275862071</v>
      </c>
      <c r="M111" s="6"/>
      <c r="N111" s="6">
        <v>1459</v>
      </c>
      <c r="O111" s="6"/>
      <c r="P111" s="6">
        <v>1022</v>
      </c>
      <c r="Q111" s="6"/>
      <c r="R111" s="6">
        <v>56811</v>
      </c>
      <c r="S111" s="6"/>
      <c r="T111" s="6">
        <v>164386</v>
      </c>
      <c r="U111" s="6"/>
      <c r="V111" s="6">
        <v>71020</v>
      </c>
      <c r="W111" s="6"/>
      <c r="X111" s="6">
        <v>15099</v>
      </c>
      <c r="Y111" s="6"/>
      <c r="Z111" s="6">
        <v>7915</v>
      </c>
      <c r="AA111" s="6"/>
      <c r="AB111" s="6">
        <v>0</v>
      </c>
      <c r="AC111" s="6"/>
      <c r="AD111" s="6">
        <v>0</v>
      </c>
      <c r="AE111" s="6"/>
      <c r="AF111" s="8">
        <v>923.77347659269674</v>
      </c>
      <c r="AG111" s="8">
        <v>3803.853645551274</v>
      </c>
      <c r="AH111" s="9">
        <f t="shared" si="14"/>
        <v>0</v>
      </c>
      <c r="AI111" s="7"/>
      <c r="AJ111" s="9"/>
      <c r="AK111" s="21">
        <f t="shared" si="17"/>
        <v>-1</v>
      </c>
      <c r="AL111" s="21">
        <f t="shared" si="18"/>
        <v>4.9011023843841102E-2</v>
      </c>
      <c r="AM111" s="18" t="e">
        <f t="shared" si="19"/>
        <v>#DIV/0!</v>
      </c>
      <c r="AN111" s="18">
        <f t="shared" si="20"/>
        <v>-1</v>
      </c>
    </row>
    <row r="112" spans="1:40" hidden="1" x14ac:dyDescent="0.3">
      <c r="A112" s="11">
        <v>45767</v>
      </c>
      <c r="B112" s="6">
        <v>28728736</v>
      </c>
      <c r="C112" s="6">
        <v>1807512</v>
      </c>
      <c r="D112" s="7">
        <v>1.5680605465718572E-2</v>
      </c>
      <c r="E112" s="6"/>
      <c r="F112" s="11">
        <v>46131</v>
      </c>
      <c r="G112" s="6">
        <v>1699644.3367737466</v>
      </c>
      <c r="H112" s="6">
        <f t="shared" si="21"/>
        <v>1375765.5340810439</v>
      </c>
      <c r="I112" s="6">
        <f t="shared" si="22"/>
        <v>319704.54199778347</v>
      </c>
      <c r="J112" s="6">
        <v>1427487</v>
      </c>
      <c r="K112" s="6"/>
      <c r="L112" s="6">
        <v>14906.03448275862</v>
      </c>
      <c r="M112" s="6"/>
      <c r="N112" s="6">
        <v>6558</v>
      </c>
      <c r="O112" s="6"/>
      <c r="P112" s="6">
        <v>2552</v>
      </c>
      <c r="Q112" s="6"/>
      <c r="R112" s="6">
        <v>23514</v>
      </c>
      <c r="S112" s="6"/>
      <c r="T112" s="6">
        <v>241574</v>
      </c>
      <c r="U112" s="6"/>
      <c r="V112" s="6">
        <v>85791</v>
      </c>
      <c r="W112" s="6"/>
      <c r="X112" s="6">
        <v>14358</v>
      </c>
      <c r="Y112" s="6"/>
      <c r="Z112" s="6">
        <v>5678</v>
      </c>
      <c r="AA112" s="6"/>
      <c r="AB112" s="6">
        <v>0</v>
      </c>
      <c r="AC112" s="6"/>
      <c r="AD112" s="6">
        <v>0</v>
      </c>
      <c r="AE112" s="6"/>
      <c r="AF112" s="8">
        <v>980.38171588814294</v>
      </c>
      <c r="AG112" s="8">
        <v>4036.9513289860229</v>
      </c>
      <c r="AH112" s="9">
        <f t="shared" si="14"/>
        <v>0</v>
      </c>
      <c r="AI112" s="7"/>
      <c r="AJ112" s="9"/>
      <c r="AK112" s="21">
        <f t="shared" si="17"/>
        <v>-1</v>
      </c>
      <c r="AL112" s="21">
        <f t="shared" si="18"/>
        <v>6.2916516758690672E-2</v>
      </c>
      <c r="AM112" s="18" t="e">
        <f t="shared" si="19"/>
        <v>#DIV/0!</v>
      </c>
      <c r="AN112" s="18">
        <f t="shared" si="20"/>
        <v>-1</v>
      </c>
    </row>
    <row r="113" spans="1:40" hidden="1" x14ac:dyDescent="0.3">
      <c r="A113" s="11">
        <v>45768</v>
      </c>
      <c r="B113" s="6">
        <v>24209385</v>
      </c>
      <c r="C113" s="6">
        <v>2917179</v>
      </c>
      <c r="D113" s="7">
        <v>2.4532040784073793E-2</v>
      </c>
      <c r="E113" s="6"/>
      <c r="F113" s="11">
        <v>46132</v>
      </c>
      <c r="G113" s="6">
        <v>2659064.6821202245</v>
      </c>
      <c r="H113" s="6">
        <f t="shared" si="21"/>
        <v>2152361.7991145351</v>
      </c>
      <c r="I113" s="6">
        <f t="shared" si="22"/>
        <v>500172.32308343443</v>
      </c>
      <c r="J113" s="6">
        <v>2363849</v>
      </c>
      <c r="K113" s="6"/>
      <c r="L113" s="6">
        <v>17125</v>
      </c>
      <c r="M113" s="6"/>
      <c r="N113" s="6">
        <v>35717</v>
      </c>
      <c r="O113" s="6"/>
      <c r="P113" s="6">
        <v>5563</v>
      </c>
      <c r="Q113" s="6"/>
      <c r="R113" s="6">
        <v>61395</v>
      </c>
      <c r="S113" s="6"/>
      <c r="T113" s="6">
        <v>313296</v>
      </c>
      <c r="U113" s="6"/>
      <c r="V113" s="6">
        <v>96557</v>
      </c>
      <c r="W113" s="6"/>
      <c r="X113" s="6">
        <v>30744</v>
      </c>
      <c r="Y113" s="6"/>
      <c r="Z113" s="6">
        <v>10058</v>
      </c>
      <c r="AA113" s="6"/>
      <c r="AB113" s="6">
        <v>0</v>
      </c>
      <c r="AC113" s="6"/>
      <c r="AD113" s="6">
        <v>0</v>
      </c>
      <c r="AE113" s="6"/>
      <c r="AF113" s="8">
        <v>1533.7905344732192</v>
      </c>
      <c r="AG113" s="8">
        <v>6315.7417526076188</v>
      </c>
      <c r="AH113" s="9">
        <f t="shared" si="14"/>
        <v>0</v>
      </c>
      <c r="AI113" s="7"/>
      <c r="AJ113" s="9"/>
      <c r="AK113" s="21">
        <f t="shared" si="17"/>
        <v>-1</v>
      </c>
      <c r="AL113" s="21">
        <f t="shared" si="18"/>
        <v>0.12049785651308366</v>
      </c>
      <c r="AM113" s="18" t="e">
        <f t="shared" si="19"/>
        <v>#DIV/0!</v>
      </c>
      <c r="AN113" s="18">
        <f t="shared" si="20"/>
        <v>-1</v>
      </c>
    </row>
    <row r="114" spans="1:40" hidden="1" x14ac:dyDescent="0.3">
      <c r="A114" s="11">
        <v>45769</v>
      </c>
      <c r="B114" s="6">
        <v>28493678</v>
      </c>
      <c r="C114" s="6">
        <v>3111582</v>
      </c>
      <c r="D114" s="7">
        <v>3.5694848382779899E-2</v>
      </c>
      <c r="E114" s="6"/>
      <c r="F114" s="11">
        <v>46133</v>
      </c>
      <c r="G114" s="6">
        <v>3869018.1344352327</v>
      </c>
      <c r="H114" s="6">
        <f t="shared" si="21"/>
        <v>3131750.3814911963</v>
      </c>
      <c r="I114" s="6">
        <f t="shared" si="22"/>
        <v>727765.59418230457</v>
      </c>
      <c r="J114" s="6">
        <v>2523969</v>
      </c>
      <c r="K114" s="6"/>
      <c r="L114" s="6">
        <v>18554.310344827587</v>
      </c>
      <c r="M114" s="6"/>
      <c r="N114" s="6">
        <v>108487</v>
      </c>
      <c r="O114" s="6"/>
      <c r="P114" s="6">
        <v>10773</v>
      </c>
      <c r="Q114" s="6"/>
      <c r="R114" s="6">
        <v>28432</v>
      </c>
      <c r="S114" s="6"/>
      <c r="T114" s="6">
        <v>315822</v>
      </c>
      <c r="U114" s="6"/>
      <c r="V114" s="6">
        <v>99999</v>
      </c>
      <c r="W114" s="6"/>
      <c r="X114" s="6">
        <v>19059</v>
      </c>
      <c r="Y114" s="6"/>
      <c r="Z114" s="6">
        <v>5041</v>
      </c>
      <c r="AA114" s="6"/>
      <c r="AB114" s="6">
        <v>0</v>
      </c>
      <c r="AC114" s="6"/>
      <c r="AD114" s="6">
        <v>0</v>
      </c>
      <c r="AE114" s="6"/>
      <c r="AF114" s="8">
        <v>2231.7108087683919</v>
      </c>
      <c r="AG114" s="8">
        <v>9189.5919409394137</v>
      </c>
      <c r="AH114" s="9">
        <f t="shared" si="14"/>
        <v>0</v>
      </c>
      <c r="AI114" s="7"/>
      <c r="AJ114" s="9"/>
      <c r="AK114" s="21">
        <f t="shared" si="17"/>
        <v>-1</v>
      </c>
      <c r="AL114" s="21">
        <f t="shared" si="18"/>
        <v>0.10920253959492347</v>
      </c>
      <c r="AM114" s="18" t="e">
        <f t="shared" si="19"/>
        <v>#DIV/0!</v>
      </c>
      <c r="AN114" s="18">
        <f t="shared" si="20"/>
        <v>-1</v>
      </c>
    </row>
    <row r="115" spans="1:40" hidden="1" x14ac:dyDescent="0.3">
      <c r="A115" s="11">
        <v>45770</v>
      </c>
      <c r="B115" s="6">
        <v>31799582</v>
      </c>
      <c r="C115" s="6">
        <v>3367576</v>
      </c>
      <c r="D115" s="7">
        <v>4.087041588288029E-2</v>
      </c>
      <c r="E115" s="6"/>
      <c r="F115" s="11">
        <v>46134</v>
      </c>
      <c r="G115" s="6">
        <v>4430005.655635695</v>
      </c>
      <c r="H115" s="6">
        <f t="shared" si="21"/>
        <v>3585837.9102868722</v>
      </c>
      <c r="I115" s="6">
        <f t="shared" si="22"/>
        <v>833287.82295182894</v>
      </c>
      <c r="J115" s="6">
        <v>2790322</v>
      </c>
      <c r="K115" s="6"/>
      <c r="L115" s="6">
        <v>14407.758620689654</v>
      </c>
      <c r="M115" s="6"/>
      <c r="N115" s="6">
        <v>48820</v>
      </c>
      <c r="O115" s="6"/>
      <c r="P115" s="6">
        <v>26723</v>
      </c>
      <c r="Q115" s="6"/>
      <c r="R115" s="6">
        <v>52261</v>
      </c>
      <c r="S115" s="6"/>
      <c r="T115" s="6">
        <v>314535</v>
      </c>
      <c r="U115" s="6"/>
      <c r="V115" s="6">
        <v>102425</v>
      </c>
      <c r="W115" s="6"/>
      <c r="X115" s="6">
        <v>23735</v>
      </c>
      <c r="Y115" s="6"/>
      <c r="Z115" s="6">
        <v>8755</v>
      </c>
      <c r="AA115" s="6"/>
      <c r="AB115" s="6">
        <v>0</v>
      </c>
      <c r="AC115" s="6"/>
      <c r="AD115" s="6">
        <v>0</v>
      </c>
      <c r="AE115" s="6"/>
      <c r="AF115" s="8">
        <v>2555.2972772588037</v>
      </c>
      <c r="AG115" s="8">
        <v>10522.035011678305</v>
      </c>
      <c r="AH115" s="9">
        <f t="shared" si="14"/>
        <v>0</v>
      </c>
      <c r="AI115" s="7"/>
      <c r="AJ115" s="9"/>
      <c r="AK115" s="21">
        <f t="shared" si="17"/>
        <v>-1</v>
      </c>
      <c r="AL115" s="21">
        <f t="shared" si="18"/>
        <v>0.10590000837117922</v>
      </c>
      <c r="AM115" s="18" t="e">
        <f t="shared" si="19"/>
        <v>#DIV/0!</v>
      </c>
      <c r="AN115" s="18">
        <f t="shared" si="20"/>
        <v>-1</v>
      </c>
    </row>
    <row r="116" spans="1:40" hidden="1" x14ac:dyDescent="0.3">
      <c r="A116" s="11">
        <v>45771</v>
      </c>
      <c r="B116" s="6">
        <v>35799559</v>
      </c>
      <c r="C116" s="6">
        <v>2568231</v>
      </c>
      <c r="D116" s="7">
        <v>3.8670117194244964E-2</v>
      </c>
      <c r="E116" s="6"/>
      <c r="F116" s="11">
        <v>46135</v>
      </c>
      <c r="G116" s="6">
        <v>4191511.9818087737</v>
      </c>
      <c r="H116" s="6">
        <f t="shared" si="21"/>
        <v>3392790.8301134608</v>
      </c>
      <c r="I116" s="6">
        <f t="shared" si="22"/>
        <v>788426.96052873088</v>
      </c>
      <c r="J116" s="6">
        <v>2029339</v>
      </c>
      <c r="K116" s="6"/>
      <c r="L116" s="6">
        <v>15613.793103448275</v>
      </c>
      <c r="M116" s="6"/>
      <c r="N116" s="6">
        <v>42994</v>
      </c>
      <c r="O116" s="6"/>
      <c r="P116" s="6">
        <v>15816</v>
      </c>
      <c r="Q116" s="6"/>
      <c r="R116" s="6">
        <v>73103</v>
      </c>
      <c r="S116" s="6"/>
      <c r="T116" s="6">
        <v>277457</v>
      </c>
      <c r="U116" s="6"/>
      <c r="V116" s="6">
        <v>104526</v>
      </c>
      <c r="W116" s="6"/>
      <c r="X116" s="6">
        <v>16782</v>
      </c>
      <c r="Y116" s="6"/>
      <c r="Z116" s="6">
        <v>8214</v>
      </c>
      <c r="AA116" s="6"/>
      <c r="AB116" s="6">
        <v>0</v>
      </c>
      <c r="AC116" s="6"/>
      <c r="AD116" s="6">
        <v>0</v>
      </c>
      <c r="AE116" s="6"/>
      <c r="AF116" s="8">
        <v>2417.7303568648995</v>
      </c>
      <c r="AG116" s="8">
        <v>9955.5709976023336</v>
      </c>
      <c r="AH116" s="9">
        <f t="shared" si="14"/>
        <v>0</v>
      </c>
      <c r="AI116" s="7"/>
      <c r="AJ116" s="9"/>
      <c r="AK116" s="21">
        <f t="shared" si="17"/>
        <v>-1</v>
      </c>
      <c r="AL116" s="21">
        <f t="shared" si="18"/>
        <v>7.1739179803862949E-2</v>
      </c>
      <c r="AM116" s="18" t="e">
        <f t="shared" si="19"/>
        <v>#DIV/0!</v>
      </c>
      <c r="AN116" s="18">
        <f t="shared" si="20"/>
        <v>-1</v>
      </c>
    </row>
    <row r="117" spans="1:40" hidden="1" x14ac:dyDescent="0.3">
      <c r="A117" s="11">
        <v>45772</v>
      </c>
      <c r="B117" s="6">
        <v>38328512</v>
      </c>
      <c r="C117" s="6">
        <v>2520574</v>
      </c>
      <c r="D117" s="7">
        <v>3.280515584124491E-2</v>
      </c>
      <c r="E117" s="6"/>
      <c r="F117" s="11">
        <v>46136</v>
      </c>
      <c r="G117" s="6">
        <v>3555800.0272661671</v>
      </c>
      <c r="H117" s="6">
        <f t="shared" si="21"/>
        <v>2878218.1176110585</v>
      </c>
      <c r="I117" s="6">
        <f t="shared" si="22"/>
        <v>668849.00243936456</v>
      </c>
      <c r="J117" s="6">
        <v>1938792</v>
      </c>
      <c r="K117" s="6"/>
      <c r="L117" s="6">
        <v>18018.965517241377</v>
      </c>
      <c r="M117" s="6"/>
      <c r="N117" s="6">
        <v>42050</v>
      </c>
      <c r="O117" s="6"/>
      <c r="P117" s="6">
        <v>8072</v>
      </c>
      <c r="Q117" s="6"/>
      <c r="R117" s="6">
        <v>101687</v>
      </c>
      <c r="S117" s="6"/>
      <c r="T117" s="6">
        <v>321502</v>
      </c>
      <c r="U117" s="6"/>
      <c r="V117" s="6">
        <v>81927</v>
      </c>
      <c r="W117" s="6"/>
      <c r="X117" s="6">
        <v>14919</v>
      </c>
      <c r="Y117" s="6"/>
      <c r="Z117" s="6">
        <v>11625</v>
      </c>
      <c r="AA117" s="6"/>
      <c r="AB117" s="6">
        <v>0</v>
      </c>
      <c r="AC117" s="6"/>
      <c r="AD117" s="6">
        <v>0</v>
      </c>
      <c r="AE117" s="6"/>
      <c r="AF117" s="8">
        <v>2051.0416542224889</v>
      </c>
      <c r="AG117" s="8">
        <v>8445.6443828292213</v>
      </c>
      <c r="AH117" s="9">
        <f t="shared" si="14"/>
        <v>0</v>
      </c>
      <c r="AI117" s="7"/>
      <c r="AJ117" s="9"/>
      <c r="AK117" s="21">
        <f t="shared" si="17"/>
        <v>-1</v>
      </c>
      <c r="AL117" s="21">
        <f t="shared" si="18"/>
        <v>6.5762375539128684E-2</v>
      </c>
      <c r="AM117" s="18" t="e">
        <f t="shared" si="19"/>
        <v>#DIV/0!</v>
      </c>
      <c r="AN117" s="18">
        <f t="shared" si="20"/>
        <v>-1</v>
      </c>
    </row>
    <row r="118" spans="1:40" hidden="1" x14ac:dyDescent="0.3">
      <c r="A118" s="11">
        <v>45773</v>
      </c>
      <c r="B118" s="6">
        <v>42678504</v>
      </c>
      <c r="C118" s="6">
        <v>2212826</v>
      </c>
      <c r="D118" s="7">
        <v>3.0266228211704896E-2</v>
      </c>
      <c r="E118" s="6"/>
      <c r="F118" s="11">
        <v>46137</v>
      </c>
      <c r="G118" s="6">
        <v>3280601.8548193015</v>
      </c>
      <c r="H118" s="6">
        <f t="shared" si="21"/>
        <v>2655460.8309818096</v>
      </c>
      <c r="I118" s="6">
        <f t="shared" si="22"/>
        <v>617083.99267987628</v>
      </c>
      <c r="J118" s="6">
        <v>1752638</v>
      </c>
      <c r="K118" s="6"/>
      <c r="L118" s="6">
        <v>19887.931034482754</v>
      </c>
      <c r="M118" s="6"/>
      <c r="N118" s="6">
        <v>25737</v>
      </c>
      <c r="O118" s="6"/>
      <c r="P118" s="6">
        <v>1459</v>
      </c>
      <c r="Q118" s="6"/>
      <c r="R118" s="6">
        <v>72841</v>
      </c>
      <c r="S118" s="6"/>
      <c r="T118" s="6">
        <v>250845</v>
      </c>
      <c r="U118" s="6"/>
      <c r="V118" s="6">
        <v>82494</v>
      </c>
      <c r="W118" s="6"/>
      <c r="X118" s="6">
        <v>16169</v>
      </c>
      <c r="Y118" s="6"/>
      <c r="Z118" s="6">
        <v>10643</v>
      </c>
      <c r="AA118" s="6"/>
      <c r="AB118" s="6">
        <v>0</v>
      </c>
      <c r="AC118" s="6"/>
      <c r="AD118" s="6">
        <v>0</v>
      </c>
      <c r="AE118" s="6"/>
      <c r="AF118" s="8">
        <v>1892.3029989195386</v>
      </c>
      <c r="AG118" s="8">
        <v>7792.0007916631303</v>
      </c>
      <c r="AH118" s="9">
        <f t="shared" si="14"/>
        <v>0</v>
      </c>
      <c r="AI118" s="7"/>
      <c r="AJ118" s="9"/>
      <c r="AK118" s="21">
        <f t="shared" si="17"/>
        <v>-1</v>
      </c>
      <c r="AL118" s="21">
        <f t="shared" si="18"/>
        <v>5.1848724594470319E-2</v>
      </c>
      <c r="AM118" s="18" t="e">
        <f t="shared" si="19"/>
        <v>#DIV/0!</v>
      </c>
      <c r="AN118" s="18">
        <f t="shared" si="20"/>
        <v>-1</v>
      </c>
    </row>
    <row r="119" spans="1:40" hidden="1" x14ac:dyDescent="0.3">
      <c r="A119" s="11">
        <v>45774</v>
      </c>
      <c r="B119" s="6">
        <v>41528131</v>
      </c>
      <c r="C119" s="6">
        <v>2420592</v>
      </c>
      <c r="D119" s="7">
        <v>2.5668226893031457E-2</v>
      </c>
      <c r="E119" s="6"/>
      <c r="F119" s="11">
        <v>46138</v>
      </c>
      <c r="G119" s="6">
        <v>2782217.5979838846</v>
      </c>
      <c r="H119" s="6">
        <f t="shared" si="21"/>
        <v>2252047.0882076733</v>
      </c>
      <c r="I119" s="6">
        <f t="shared" si="22"/>
        <v>523337.49106005934</v>
      </c>
      <c r="J119" s="6">
        <v>1946010</v>
      </c>
      <c r="K119" s="6"/>
      <c r="L119" s="6">
        <v>18168.965517241377</v>
      </c>
      <c r="M119" s="6"/>
      <c r="N119" s="6">
        <v>19936</v>
      </c>
      <c r="O119" s="6"/>
      <c r="P119" s="6">
        <v>3572</v>
      </c>
      <c r="Q119" s="6"/>
      <c r="R119" s="6">
        <v>72272</v>
      </c>
      <c r="S119" s="6"/>
      <c r="T119" s="6">
        <v>273543</v>
      </c>
      <c r="U119" s="6"/>
      <c r="V119" s="6">
        <v>81092</v>
      </c>
      <c r="W119" s="6"/>
      <c r="X119" s="6">
        <v>16940</v>
      </c>
      <c r="Y119" s="6"/>
      <c r="Z119" s="6">
        <v>7227</v>
      </c>
      <c r="AA119" s="6"/>
      <c r="AB119" s="6">
        <v>0</v>
      </c>
      <c r="AC119" s="6"/>
      <c r="AD119" s="6">
        <v>0</v>
      </c>
      <c r="AE119" s="6"/>
      <c r="AF119" s="8">
        <v>1604.8270827432091</v>
      </c>
      <c r="AG119" s="8">
        <v>6608.2513774789122</v>
      </c>
      <c r="AH119" s="9">
        <f t="shared" si="14"/>
        <v>0</v>
      </c>
      <c r="AI119" s="7"/>
      <c r="AJ119" s="9"/>
      <c r="AK119" s="21">
        <f t="shared" si="17"/>
        <v>-1</v>
      </c>
      <c r="AL119" s="21">
        <f t="shared" si="18"/>
        <v>5.8288007230568602E-2</v>
      </c>
      <c r="AM119" s="18" t="e">
        <f t="shared" si="19"/>
        <v>#DIV/0!</v>
      </c>
      <c r="AN119" s="18">
        <f t="shared" si="20"/>
        <v>-1</v>
      </c>
    </row>
    <row r="120" spans="1:40" hidden="1" x14ac:dyDescent="0.3">
      <c r="A120" s="11">
        <v>45775</v>
      </c>
      <c r="B120" s="6">
        <v>24509435</v>
      </c>
      <c r="C120" s="6">
        <v>3186628</v>
      </c>
      <c r="D120" s="7">
        <v>3.3736491471198921E-2</v>
      </c>
      <c r="E120" s="6"/>
      <c r="F120" s="11">
        <v>46139</v>
      </c>
      <c r="G120" s="6">
        <v>3656748.8925729063</v>
      </c>
      <c r="H120" s="6">
        <f t="shared" si="21"/>
        <v>2959930.4891871181</v>
      </c>
      <c r="I120" s="6">
        <f t="shared" si="22"/>
        <v>687837.5696647577</v>
      </c>
      <c r="J120" s="6">
        <v>2632448</v>
      </c>
      <c r="K120" s="6"/>
      <c r="L120" s="6">
        <v>14455.172413793103</v>
      </c>
      <c r="M120" s="6"/>
      <c r="N120" s="6">
        <v>64714</v>
      </c>
      <c r="O120" s="6"/>
      <c r="P120" s="6">
        <v>9783</v>
      </c>
      <c r="Q120" s="6"/>
      <c r="R120" s="6">
        <v>89766</v>
      </c>
      <c r="S120" s="6"/>
      <c r="T120" s="6">
        <v>268976</v>
      </c>
      <c r="U120" s="6"/>
      <c r="V120" s="6">
        <v>80501</v>
      </c>
      <c r="W120" s="6"/>
      <c r="X120" s="6">
        <v>31107</v>
      </c>
      <c r="Y120" s="6"/>
      <c r="Z120" s="6">
        <v>9333</v>
      </c>
      <c r="AA120" s="6"/>
      <c r="AB120" s="6">
        <v>0</v>
      </c>
      <c r="AC120" s="6"/>
      <c r="AD120" s="6">
        <v>0</v>
      </c>
      <c r="AE120" s="6"/>
      <c r="AF120" s="8">
        <v>2109.2705552019979</v>
      </c>
      <c r="AG120" s="8">
        <v>8685.4155203209812</v>
      </c>
      <c r="AH120" s="9">
        <f t="shared" si="14"/>
        <v>0</v>
      </c>
      <c r="AI120" s="7"/>
      <c r="AJ120" s="9"/>
      <c r="AK120" s="21">
        <f t="shared" si="17"/>
        <v>-1</v>
      </c>
      <c r="AL120" s="21">
        <f t="shared" si="18"/>
        <v>0.13001637940654281</v>
      </c>
      <c r="AM120" s="18" t="e">
        <f t="shared" si="19"/>
        <v>#DIV/0!</v>
      </c>
      <c r="AN120" s="18">
        <f t="shared" si="20"/>
        <v>-1</v>
      </c>
    </row>
    <row r="121" spans="1:40" hidden="1" x14ac:dyDescent="0.3">
      <c r="A121" s="11">
        <v>45776</v>
      </c>
      <c r="B121" s="6">
        <v>26524854</v>
      </c>
      <c r="C121" s="6">
        <v>3517431</v>
      </c>
      <c r="D121" s="7">
        <v>4.2098140204847409E-2</v>
      </c>
      <c r="E121" s="6"/>
      <c r="F121" s="11">
        <v>46140</v>
      </c>
      <c r="G121" s="6">
        <v>4563080.5356531031</v>
      </c>
      <c r="H121" s="6">
        <f t="shared" si="21"/>
        <v>3693554.4656971884</v>
      </c>
      <c r="I121" s="6">
        <f t="shared" si="22"/>
        <v>858319.32080515812</v>
      </c>
      <c r="J121" s="6">
        <v>3065439</v>
      </c>
      <c r="K121" s="6"/>
      <c r="L121" s="6">
        <v>17661.206896551721</v>
      </c>
      <c r="M121" s="6"/>
      <c r="N121" s="6">
        <v>28804</v>
      </c>
      <c r="O121" s="6"/>
      <c r="P121" s="6">
        <v>996</v>
      </c>
      <c r="Q121" s="6"/>
      <c r="R121" s="6">
        <v>85432</v>
      </c>
      <c r="S121" s="6"/>
      <c r="T121" s="6">
        <v>243921</v>
      </c>
      <c r="U121" s="6"/>
      <c r="V121" s="6">
        <v>68863</v>
      </c>
      <c r="W121" s="6"/>
      <c r="X121" s="6">
        <v>14584</v>
      </c>
      <c r="Y121" s="6"/>
      <c r="Z121" s="6">
        <v>9392</v>
      </c>
      <c r="AA121" s="6"/>
      <c r="AB121" s="6">
        <v>0</v>
      </c>
      <c r="AC121" s="6"/>
      <c r="AD121" s="6">
        <v>0</v>
      </c>
      <c r="AE121" s="6"/>
      <c r="AF121" s="8">
        <v>2632.0569712667407</v>
      </c>
      <c r="AG121" s="8">
        <v>10838.111029535474</v>
      </c>
      <c r="AH121" s="9">
        <f t="shared" si="14"/>
        <v>0</v>
      </c>
      <c r="AI121" s="7"/>
      <c r="AJ121" s="9"/>
      <c r="AK121" s="21">
        <f t="shared" si="17"/>
        <v>-1</v>
      </c>
      <c r="AL121" s="21">
        <f t="shared" si="18"/>
        <v>0.13260887317230852</v>
      </c>
      <c r="AM121" s="18" t="e">
        <f t="shared" si="19"/>
        <v>#DIV/0!</v>
      </c>
      <c r="AN121" s="18">
        <f t="shared" si="20"/>
        <v>-1</v>
      </c>
    </row>
    <row r="122" spans="1:40" hidden="1" x14ac:dyDescent="0.3">
      <c r="A122" s="11">
        <v>45777</v>
      </c>
      <c r="B122" s="6">
        <v>25819285</v>
      </c>
      <c r="C122" s="6">
        <v>3262895</v>
      </c>
      <c r="D122" s="7">
        <v>4.4761326039355537E-2</v>
      </c>
      <c r="E122" s="6"/>
      <c r="F122" s="11">
        <v>46141</v>
      </c>
      <c r="G122" s="6">
        <v>4851747.241240059</v>
      </c>
      <c r="H122" s="6">
        <f t="shared" si="21"/>
        <v>3927213.7647580132</v>
      </c>
      <c r="I122" s="6">
        <f t="shared" si="22"/>
        <v>912617.77307715965</v>
      </c>
      <c r="J122" s="6">
        <v>2779622</v>
      </c>
      <c r="K122" s="6"/>
      <c r="L122" s="6">
        <v>15955.172413793105</v>
      </c>
      <c r="M122" s="6"/>
      <c r="N122" s="6">
        <v>51237</v>
      </c>
      <c r="O122" s="6"/>
      <c r="P122" s="6">
        <v>13462</v>
      </c>
      <c r="Q122" s="6"/>
      <c r="R122" s="6">
        <v>80785</v>
      </c>
      <c r="S122" s="6"/>
      <c r="T122" s="6">
        <v>259639</v>
      </c>
      <c r="U122" s="6"/>
      <c r="V122" s="6">
        <v>53075</v>
      </c>
      <c r="W122" s="6"/>
      <c r="X122" s="6">
        <v>18341</v>
      </c>
      <c r="Y122" s="6"/>
      <c r="Z122" s="6">
        <v>6734</v>
      </c>
      <c r="AA122" s="6"/>
      <c r="AB122" s="6">
        <v>0</v>
      </c>
      <c r="AC122" s="6"/>
      <c r="AD122" s="6">
        <v>0</v>
      </c>
      <c r="AE122" s="6"/>
      <c r="AF122" s="8">
        <v>2798.564489351561</v>
      </c>
      <c r="AG122" s="8">
        <v>11523.74473274029</v>
      </c>
      <c r="AH122" s="9">
        <f t="shared" si="14"/>
        <v>0</v>
      </c>
      <c r="AI122" s="7"/>
      <c r="AJ122" s="9"/>
      <c r="AK122" s="21">
        <f t="shared" si="17"/>
        <v>-1</v>
      </c>
      <c r="AL122" s="21">
        <f t="shared" si="18"/>
        <v>0.12637433608250578</v>
      </c>
      <c r="AM122" s="18" t="e">
        <f t="shared" si="19"/>
        <v>#DIV/0!</v>
      </c>
      <c r="AN122" s="18">
        <f t="shared" si="20"/>
        <v>-1</v>
      </c>
    </row>
    <row r="123" spans="1:40" hidden="1" x14ac:dyDescent="0.3">
      <c r="A123" s="11">
        <v>45778</v>
      </c>
      <c r="B123" s="6">
        <v>39998805</v>
      </c>
      <c r="C123" s="6">
        <v>2862151</v>
      </c>
      <c r="D123" s="7">
        <v>4.1518783083997417E-2</v>
      </c>
      <c r="E123" s="6"/>
      <c r="F123" s="11">
        <v>46142</v>
      </c>
      <c r="G123" s="6">
        <v>4500283.1486787917</v>
      </c>
      <c r="H123" s="6">
        <f t="shared" si="21"/>
        <v>3642723.5484515242</v>
      </c>
      <c r="I123" s="6">
        <f t="shared" si="22"/>
        <v>846507.07902792306</v>
      </c>
      <c r="J123" s="6">
        <v>2265014</v>
      </c>
      <c r="K123" s="6"/>
      <c r="L123" s="6">
        <v>19726.724137931029</v>
      </c>
      <c r="M123" s="6"/>
      <c r="N123" s="6">
        <v>14608</v>
      </c>
      <c r="O123" s="6"/>
      <c r="P123" s="6">
        <v>195</v>
      </c>
      <c r="Q123" s="6"/>
      <c r="R123" s="6">
        <v>107730</v>
      </c>
      <c r="S123" s="6"/>
      <c r="T123" s="6">
        <v>402948</v>
      </c>
      <c r="U123" s="6"/>
      <c r="V123" s="6">
        <v>54211</v>
      </c>
      <c r="W123" s="6"/>
      <c r="X123" s="6">
        <v>12681</v>
      </c>
      <c r="Y123" s="6"/>
      <c r="Z123" s="6">
        <v>4764</v>
      </c>
      <c r="AA123" s="6"/>
      <c r="AB123" s="6">
        <v>0</v>
      </c>
      <c r="AC123" s="6"/>
      <c r="AD123" s="6">
        <v>0</v>
      </c>
      <c r="AE123" s="6"/>
      <c r="AF123" s="8">
        <v>2595.8344459635759</v>
      </c>
      <c r="AG123" s="8">
        <v>10688.956297973216</v>
      </c>
      <c r="AH123" s="9">
        <f t="shared" si="14"/>
        <v>0</v>
      </c>
      <c r="AI123" s="7"/>
      <c r="AJ123" s="9"/>
      <c r="AK123" s="21">
        <f t="shared" si="17"/>
        <v>-1</v>
      </c>
      <c r="AL123" s="21">
        <f t="shared" si="18"/>
        <v>7.1555912732892898E-2</v>
      </c>
      <c r="AM123" s="18" t="e">
        <f t="shared" si="19"/>
        <v>#DIV/0!</v>
      </c>
      <c r="AN123" s="18">
        <f t="shared" si="20"/>
        <v>-1</v>
      </c>
    </row>
    <row r="124" spans="1:40" hidden="1" x14ac:dyDescent="0.3">
      <c r="A124" s="11">
        <v>45779</v>
      </c>
      <c r="B124" s="6">
        <v>34113604</v>
      </c>
      <c r="C124" s="6">
        <v>2971289</v>
      </c>
      <c r="D124" s="7">
        <v>2.9714293118841571E-2</v>
      </c>
      <c r="E124" s="6"/>
      <c r="F124" s="11">
        <v>46143</v>
      </c>
      <c r="G124" s="6">
        <v>4138486.3588239024</v>
      </c>
      <c r="H124" s="6">
        <f t="shared" si="21"/>
        <v>2607035.8336517476</v>
      </c>
      <c r="I124" s="6">
        <f t="shared" si="22"/>
        <v>605830.84582517424</v>
      </c>
      <c r="J124" s="6">
        <v>2379275</v>
      </c>
      <c r="K124" s="6"/>
      <c r="L124" s="6">
        <v>17493.965517241377</v>
      </c>
      <c r="M124" s="6"/>
      <c r="N124" s="6">
        <v>63530</v>
      </c>
      <c r="O124" s="6"/>
      <c r="P124" s="6">
        <v>10847</v>
      </c>
      <c r="Q124" s="6"/>
      <c r="R124" s="6">
        <v>83416</v>
      </c>
      <c r="S124" s="6"/>
      <c r="T124" s="6">
        <v>355472</v>
      </c>
      <c r="U124" s="6"/>
      <c r="V124" s="6">
        <v>50730</v>
      </c>
      <c r="W124" s="6"/>
      <c r="X124" s="6">
        <v>19076</v>
      </c>
      <c r="Y124" s="6"/>
      <c r="Z124" s="6">
        <v>8943</v>
      </c>
      <c r="AA124" s="6"/>
      <c r="AB124" s="6">
        <v>0</v>
      </c>
      <c r="AC124" s="6"/>
      <c r="AD124" s="6">
        <v>0</v>
      </c>
      <c r="AE124" s="6"/>
      <c r="AF124" s="8">
        <v>2429.1551167330158</v>
      </c>
      <c r="AG124" s="8">
        <v>9265.795405119421</v>
      </c>
      <c r="AH124" s="9">
        <f t="shared" si="14"/>
        <v>0</v>
      </c>
      <c r="AI124" s="7"/>
      <c r="AJ124" s="9"/>
      <c r="AK124" s="21">
        <f t="shared" si="17"/>
        <v>-1</v>
      </c>
      <c r="AL124" s="21">
        <f t="shared" si="18"/>
        <v>8.709982680223409E-2</v>
      </c>
      <c r="AM124" s="18" t="e">
        <f t="shared" si="19"/>
        <v>#DIV/0!</v>
      </c>
      <c r="AN124" s="18">
        <f t="shared" si="20"/>
        <v>-1</v>
      </c>
    </row>
    <row r="125" spans="1:40" hidden="1" x14ac:dyDescent="0.3">
      <c r="A125" s="11">
        <v>45780</v>
      </c>
      <c r="B125" s="6">
        <v>37655000</v>
      </c>
      <c r="C125" s="6">
        <v>2259495</v>
      </c>
      <c r="D125" s="7">
        <v>2.6797313837804402E-2</v>
      </c>
      <c r="E125" s="6"/>
      <c r="F125" s="11">
        <v>46144</v>
      </c>
      <c r="G125" s="6">
        <v>3732221.3026348455</v>
      </c>
      <c r="H125" s="6">
        <f t="shared" si="21"/>
        <v>2351109.5196294375</v>
      </c>
      <c r="I125" s="6">
        <f t="shared" si="22"/>
        <v>546357.91749343171</v>
      </c>
      <c r="J125" s="6">
        <v>1689171</v>
      </c>
      <c r="K125" s="6"/>
      <c r="L125" s="6">
        <v>20994.827586206891</v>
      </c>
      <c r="M125" s="6"/>
      <c r="N125" s="6">
        <v>23268</v>
      </c>
      <c r="O125" s="6"/>
      <c r="P125" s="6">
        <v>3184</v>
      </c>
      <c r="Q125" s="6"/>
      <c r="R125" s="6">
        <v>72034</v>
      </c>
      <c r="S125" s="6"/>
      <c r="T125" s="6">
        <v>398776</v>
      </c>
      <c r="U125" s="6"/>
      <c r="V125" s="6">
        <v>45043</v>
      </c>
      <c r="W125" s="6"/>
      <c r="X125" s="6">
        <v>18901</v>
      </c>
      <c r="Y125" s="6"/>
      <c r="Z125" s="6">
        <v>9118</v>
      </c>
      <c r="AA125" s="6"/>
      <c r="AB125" s="6">
        <v>0</v>
      </c>
      <c r="AC125" s="6"/>
      <c r="AD125" s="6">
        <v>0</v>
      </c>
      <c r="AE125" s="6"/>
      <c r="AF125" s="8">
        <v>2190.6909164373478</v>
      </c>
      <c r="AG125" s="8">
        <v>8356.1949946043751</v>
      </c>
      <c r="AH125" s="9">
        <f t="shared" si="14"/>
        <v>0</v>
      </c>
      <c r="AI125" s="7"/>
      <c r="AJ125" s="9"/>
      <c r="AK125" s="21">
        <f t="shared" si="17"/>
        <v>-1</v>
      </c>
      <c r="AL125" s="21">
        <f t="shared" si="18"/>
        <v>6.0005178595140089E-2</v>
      </c>
      <c r="AM125" s="18" t="e">
        <f t="shared" si="19"/>
        <v>#DIV/0!</v>
      </c>
      <c r="AN125" s="18">
        <f t="shared" si="20"/>
        <v>-1</v>
      </c>
    </row>
    <row r="126" spans="1:40" hidden="1" x14ac:dyDescent="0.3">
      <c r="A126" s="11">
        <v>45781</v>
      </c>
      <c r="B126" s="6">
        <v>39231400</v>
      </c>
      <c r="C126" s="6">
        <v>2961507</v>
      </c>
      <c r="D126" s="7">
        <v>2.3327015354833922E-2</v>
      </c>
      <c r="E126" s="6"/>
      <c r="F126" s="11">
        <v>46145</v>
      </c>
      <c r="G126" s="6">
        <v>3248892.1897604107</v>
      </c>
      <c r="H126" s="6">
        <f t="shared" si="21"/>
        <v>2046636.7710303941</v>
      </c>
      <c r="I126" s="6">
        <f t="shared" si="22"/>
        <v>475603.62235353811</v>
      </c>
      <c r="J126" s="6">
        <v>2360873</v>
      </c>
      <c r="K126" s="6"/>
      <c r="L126" s="6">
        <v>20781.896551724134</v>
      </c>
      <c r="M126" s="6"/>
      <c r="N126" s="6">
        <v>21236</v>
      </c>
      <c r="O126" s="6"/>
      <c r="P126" s="6">
        <v>2543</v>
      </c>
      <c r="Q126" s="6"/>
      <c r="R126" s="6">
        <v>57471</v>
      </c>
      <c r="S126" s="6"/>
      <c r="T126" s="6">
        <v>451270</v>
      </c>
      <c r="U126" s="6"/>
      <c r="V126" s="6">
        <v>37594</v>
      </c>
      <c r="W126" s="6"/>
      <c r="X126" s="6">
        <v>17703</v>
      </c>
      <c r="Y126" s="6"/>
      <c r="Z126" s="6">
        <v>12817</v>
      </c>
      <c r="AA126" s="6"/>
      <c r="AB126" s="6">
        <v>0</v>
      </c>
      <c r="AC126" s="6"/>
      <c r="AD126" s="6">
        <v>0</v>
      </c>
      <c r="AE126" s="6"/>
      <c r="AF126" s="8">
        <v>1906.9926543658451</v>
      </c>
      <c r="AG126" s="8">
        <v>7274.0532923166111</v>
      </c>
      <c r="AH126" s="9">
        <f t="shared" si="14"/>
        <v>0</v>
      </c>
      <c r="AI126" s="7"/>
      <c r="AJ126" s="9"/>
      <c r="AK126" s="21">
        <f t="shared" si="17"/>
        <v>-1</v>
      </c>
      <c r="AL126" s="21">
        <f t="shared" si="18"/>
        <v>7.5488180386119277E-2</v>
      </c>
      <c r="AM126" s="18" t="e">
        <f t="shared" si="19"/>
        <v>#DIV/0!</v>
      </c>
      <c r="AN126" s="18">
        <f t="shared" si="20"/>
        <v>-1</v>
      </c>
    </row>
    <row r="127" spans="1:40" hidden="1" x14ac:dyDescent="0.3">
      <c r="A127" s="11">
        <v>45782</v>
      </c>
      <c r="B127" s="6">
        <v>35100553</v>
      </c>
      <c r="C127" s="6">
        <v>4498776</v>
      </c>
      <c r="D127" s="7">
        <v>2.91803125606575E-2</v>
      </c>
      <c r="E127" s="6"/>
      <c r="F127" s="11">
        <v>46146</v>
      </c>
      <c r="G127" s="6">
        <v>4064115.7100898526</v>
      </c>
      <c r="H127" s="6">
        <f t="shared" si="21"/>
        <v>2560186.1090397052</v>
      </c>
      <c r="I127" s="6">
        <f t="shared" si="22"/>
        <v>594943.76559327997</v>
      </c>
      <c r="J127" s="6">
        <v>3556029</v>
      </c>
      <c r="K127" s="6"/>
      <c r="L127" s="6">
        <v>14493.103448275862</v>
      </c>
      <c r="M127" s="6"/>
      <c r="N127" s="6">
        <v>86421</v>
      </c>
      <c r="O127" s="6"/>
      <c r="P127" s="6">
        <v>8958</v>
      </c>
      <c r="Q127" s="6"/>
      <c r="R127" s="6">
        <v>100498</v>
      </c>
      <c r="S127" s="6"/>
      <c r="T127" s="6">
        <v>625936</v>
      </c>
      <c r="U127" s="6"/>
      <c r="V127" s="6">
        <v>72774</v>
      </c>
      <c r="W127" s="6"/>
      <c r="X127" s="6">
        <v>35858</v>
      </c>
      <c r="Y127" s="6"/>
      <c r="Z127" s="6">
        <v>12302</v>
      </c>
      <c r="AA127" s="6"/>
      <c r="AB127" s="6">
        <v>0</v>
      </c>
      <c r="AC127" s="6"/>
      <c r="AD127" s="6">
        <v>0</v>
      </c>
      <c r="AE127" s="6"/>
      <c r="AF127" s="8">
        <v>2385.5019966685072</v>
      </c>
      <c r="AG127" s="8">
        <v>9099.2844744149061</v>
      </c>
      <c r="AH127" s="9">
        <f t="shared" si="14"/>
        <v>0</v>
      </c>
      <c r="AI127" s="7"/>
      <c r="AJ127" s="9"/>
      <c r="AK127" s="21">
        <f t="shared" si="17"/>
        <v>-1</v>
      </c>
      <c r="AL127" s="21">
        <f t="shared" si="18"/>
        <v>0.12816823712150632</v>
      </c>
      <c r="AM127" s="18" t="e">
        <f t="shared" si="19"/>
        <v>#DIV/0!</v>
      </c>
      <c r="AN127" s="18">
        <f t="shared" si="20"/>
        <v>-1</v>
      </c>
    </row>
    <row r="128" spans="1:40" hidden="1" x14ac:dyDescent="0.3">
      <c r="A128" s="11">
        <v>45783</v>
      </c>
      <c r="B128" s="6">
        <v>33135134</v>
      </c>
      <c r="C128" s="6">
        <v>4800460</v>
      </c>
      <c r="D128" s="7">
        <v>4.4782046062132597E-2</v>
      </c>
      <c r="E128" s="6"/>
      <c r="F128" s="11">
        <v>46147</v>
      </c>
      <c r="G128" s="6">
        <v>6237061.9421144286</v>
      </c>
      <c r="H128" s="6">
        <f t="shared" si="21"/>
        <v>3929031.6724443189</v>
      </c>
      <c r="I128" s="6">
        <f t="shared" si="22"/>
        <v>913040.22394531046</v>
      </c>
      <c r="J128" s="6">
        <v>3803392</v>
      </c>
      <c r="K128" s="6"/>
      <c r="L128" s="6">
        <v>19229.310344827587</v>
      </c>
      <c r="M128" s="6"/>
      <c r="N128" s="6">
        <v>89988</v>
      </c>
      <c r="O128" s="6"/>
      <c r="P128" s="6">
        <v>20578</v>
      </c>
      <c r="Q128" s="6"/>
      <c r="R128" s="6">
        <v>75155</v>
      </c>
      <c r="S128" s="6"/>
      <c r="T128" s="6">
        <v>719475</v>
      </c>
      <c r="U128" s="6"/>
      <c r="V128" s="6">
        <v>54500</v>
      </c>
      <c r="W128" s="6"/>
      <c r="X128" s="6">
        <v>28166</v>
      </c>
      <c r="Y128" s="6"/>
      <c r="Z128" s="6">
        <v>9206</v>
      </c>
      <c r="AA128" s="6"/>
      <c r="AB128" s="6">
        <v>0</v>
      </c>
      <c r="AC128" s="6"/>
      <c r="AD128" s="6">
        <v>0</v>
      </c>
      <c r="AE128" s="6"/>
      <c r="AF128" s="8">
        <v>3660.9498295830217</v>
      </c>
      <c r="AG128" s="8">
        <v>13964.366406927711</v>
      </c>
      <c r="AH128" s="9">
        <f t="shared" si="14"/>
        <v>0</v>
      </c>
      <c r="AI128" s="7"/>
      <c r="AJ128" s="9"/>
      <c r="AK128" s="21">
        <f t="shared" si="17"/>
        <v>-1</v>
      </c>
      <c r="AL128" s="21">
        <f t="shared" si="18"/>
        <v>0.14487522519148405</v>
      </c>
      <c r="AM128" s="18" t="e">
        <f t="shared" si="19"/>
        <v>#DIV/0!</v>
      </c>
      <c r="AN128" s="18">
        <f t="shared" si="20"/>
        <v>-1</v>
      </c>
    </row>
    <row r="129" spans="1:40" hidden="1" x14ac:dyDescent="0.3">
      <c r="A129" s="11">
        <v>45784</v>
      </c>
      <c r="B129" s="6">
        <v>39489714</v>
      </c>
      <c r="C129" s="6">
        <v>4200981</v>
      </c>
      <c r="D129" s="7">
        <v>4.3481637790624014E-2</v>
      </c>
      <c r="E129" s="6"/>
      <c r="F129" s="11">
        <v>46148</v>
      </c>
      <c r="G129" s="6">
        <v>6055946.3466326185</v>
      </c>
      <c r="H129" s="6">
        <f t="shared" si="21"/>
        <v>3814938.062724547</v>
      </c>
      <c r="I129" s="6">
        <f t="shared" si="22"/>
        <v>886526.80698818481</v>
      </c>
      <c r="J129" s="6">
        <v>3212527</v>
      </c>
      <c r="K129" s="6"/>
      <c r="L129" s="6">
        <v>17851.724137931036</v>
      </c>
      <c r="M129" s="6"/>
      <c r="N129" s="6">
        <v>61190</v>
      </c>
      <c r="O129" s="6"/>
      <c r="P129" s="6">
        <v>12303</v>
      </c>
      <c r="Q129" s="6"/>
      <c r="R129" s="6">
        <v>116730</v>
      </c>
      <c r="S129" s="6"/>
      <c r="T129" s="6">
        <v>705144</v>
      </c>
      <c r="U129" s="6"/>
      <c r="V129" s="6">
        <v>60042</v>
      </c>
      <c r="W129" s="6"/>
      <c r="X129" s="6">
        <v>17079</v>
      </c>
      <c r="Y129" s="6"/>
      <c r="Z129" s="6">
        <v>15966</v>
      </c>
      <c r="AA129" s="6"/>
      <c r="AB129" s="6">
        <v>0</v>
      </c>
      <c r="AC129" s="6"/>
      <c r="AD129" s="6">
        <v>0</v>
      </c>
      <c r="AE129" s="6"/>
      <c r="AF129" s="8">
        <v>3554.6409433529811</v>
      </c>
      <c r="AG129" s="8">
        <v>13558.860647839567</v>
      </c>
      <c r="AH129" s="9">
        <f t="shared" si="14"/>
        <v>0</v>
      </c>
      <c r="AI129" s="7"/>
      <c r="AJ129" s="9"/>
      <c r="AK129" s="21">
        <f t="shared" si="17"/>
        <v>-1</v>
      </c>
      <c r="AL129" s="21">
        <f t="shared" si="18"/>
        <v>0.1063816516878294</v>
      </c>
      <c r="AM129" s="18" t="e">
        <f t="shared" si="19"/>
        <v>#DIV/0!</v>
      </c>
      <c r="AN129" s="18">
        <f t="shared" si="20"/>
        <v>-1</v>
      </c>
    </row>
    <row r="130" spans="1:40" hidden="1" x14ac:dyDescent="0.3">
      <c r="A130" s="11">
        <v>45785</v>
      </c>
      <c r="B130" s="6">
        <v>45546209</v>
      </c>
      <c r="C130" s="6">
        <v>2895474</v>
      </c>
      <c r="D130" s="7">
        <v>3.7985599169730162E-2</v>
      </c>
      <c r="E130" s="6"/>
      <c r="F130" s="11">
        <v>46149</v>
      </c>
      <c r="G130" s="6">
        <v>5290480.3545873305</v>
      </c>
      <c r="H130" s="6">
        <f t="shared" si="21"/>
        <v>3332733.4357964136</v>
      </c>
      <c r="I130" s="6">
        <f t="shared" si="22"/>
        <v>774470.64219681604</v>
      </c>
      <c r="J130" s="6">
        <v>2020027</v>
      </c>
      <c r="K130" s="6"/>
      <c r="L130" s="6">
        <v>18313.793103448275</v>
      </c>
      <c r="M130" s="6"/>
      <c r="N130" s="6">
        <v>30809</v>
      </c>
      <c r="O130" s="6"/>
      <c r="P130" s="6">
        <v>14752</v>
      </c>
      <c r="Q130" s="6"/>
      <c r="R130" s="6">
        <v>72647</v>
      </c>
      <c r="S130" s="6"/>
      <c r="T130" s="6">
        <v>653374</v>
      </c>
      <c r="U130" s="6"/>
      <c r="V130" s="6">
        <v>69136</v>
      </c>
      <c r="W130" s="6"/>
      <c r="X130" s="6">
        <v>20501</v>
      </c>
      <c r="Y130" s="6"/>
      <c r="Z130" s="6">
        <v>14228</v>
      </c>
      <c r="AA130" s="6"/>
      <c r="AB130" s="6">
        <v>0</v>
      </c>
      <c r="AC130" s="6"/>
      <c r="AD130" s="6">
        <v>0</v>
      </c>
      <c r="AE130" s="6"/>
      <c r="AF130" s="8">
        <v>3105.3376304890116</v>
      </c>
      <c r="AG130" s="8">
        <v>11845.033258570598</v>
      </c>
      <c r="AH130" s="9">
        <f t="shared" si="14"/>
        <v>0</v>
      </c>
      <c r="AI130" s="7"/>
      <c r="AJ130" s="9"/>
      <c r="AK130" s="21">
        <f t="shared" si="17"/>
        <v>-1</v>
      </c>
      <c r="AL130" s="21">
        <f t="shared" si="18"/>
        <v>6.3572228371410675E-2</v>
      </c>
      <c r="AM130" s="18" t="e">
        <f t="shared" si="19"/>
        <v>#DIV/0!</v>
      </c>
      <c r="AN130" s="18">
        <f t="shared" si="20"/>
        <v>-1</v>
      </c>
    </row>
    <row r="131" spans="1:40" hidden="1" x14ac:dyDescent="0.3">
      <c r="A131" s="11">
        <v>45786</v>
      </c>
      <c r="B131" s="6">
        <v>51077737</v>
      </c>
      <c r="C131" s="6">
        <v>2086073</v>
      </c>
      <c r="D131" s="7">
        <v>2.5635805596233879E-2</v>
      </c>
      <c r="E131" s="6"/>
      <c r="F131" s="11">
        <v>46150</v>
      </c>
      <c r="G131" s="6">
        <v>3570451.1405725637</v>
      </c>
      <c r="H131" s="6">
        <f t="shared" si="21"/>
        <v>2249202.5486392342</v>
      </c>
      <c r="I131" s="6">
        <f t="shared" si="22"/>
        <v>522676.46838039911</v>
      </c>
      <c r="J131" s="6">
        <v>1388636</v>
      </c>
      <c r="K131" s="6"/>
      <c r="L131" s="6">
        <v>19131.03448275862</v>
      </c>
      <c r="M131" s="6"/>
      <c r="N131" s="6">
        <v>16561</v>
      </c>
      <c r="O131" s="6"/>
      <c r="P131" s="6">
        <v>4452</v>
      </c>
      <c r="Q131" s="6"/>
      <c r="R131" s="6">
        <v>114101</v>
      </c>
      <c r="S131" s="6"/>
      <c r="T131" s="6">
        <v>495524</v>
      </c>
      <c r="U131" s="6"/>
      <c r="V131" s="6">
        <v>50019</v>
      </c>
      <c r="W131" s="6"/>
      <c r="X131" s="6">
        <v>9383</v>
      </c>
      <c r="Y131" s="6"/>
      <c r="Z131" s="6">
        <v>7397</v>
      </c>
      <c r="AA131" s="6"/>
      <c r="AB131" s="6">
        <v>0</v>
      </c>
      <c r="AC131" s="6"/>
      <c r="AD131" s="6">
        <v>0</v>
      </c>
      <c r="AE131" s="6"/>
      <c r="AF131" s="8">
        <v>2095.7371621328402</v>
      </c>
      <c r="AG131" s="8">
        <v>7994.0023728681299</v>
      </c>
      <c r="AH131" s="9">
        <f t="shared" si="14"/>
        <v>0</v>
      </c>
      <c r="AI131" s="7"/>
      <c r="AJ131" s="9"/>
      <c r="AK131" s="21">
        <f t="shared" si="17"/>
        <v>-1</v>
      </c>
      <c r="AL131" s="21">
        <f t="shared" si="18"/>
        <v>4.0841139849245867E-2</v>
      </c>
      <c r="AM131" s="18" t="e">
        <f t="shared" si="19"/>
        <v>#DIV/0!</v>
      </c>
      <c r="AN131" s="18">
        <f t="shared" si="20"/>
        <v>-1</v>
      </c>
    </row>
    <row r="132" spans="1:40" hidden="1" x14ac:dyDescent="0.3">
      <c r="A132" s="11">
        <v>45787</v>
      </c>
      <c r="B132" s="6">
        <v>40072359</v>
      </c>
      <c r="C132" s="6">
        <v>1748144</v>
      </c>
      <c r="D132" s="7">
        <v>1.9459247278833077E-2</v>
      </c>
      <c r="E132" s="6"/>
      <c r="F132" s="11">
        <v>46151</v>
      </c>
      <c r="G132" s="6">
        <v>2710205.1223075306</v>
      </c>
      <c r="H132" s="6">
        <f t="shared" ref="H132:H195" si="23">87736761*D132</f>
        <v>1707291.3277428781</v>
      </c>
      <c r="I132" s="6">
        <f t="shared" ref="I132:I195" si="24">20388533*D132</f>
        <v>396745.50529964839</v>
      </c>
      <c r="J132" s="6">
        <v>1118094</v>
      </c>
      <c r="K132" s="6"/>
      <c r="L132" s="6">
        <v>16069.827586206895</v>
      </c>
      <c r="M132" s="6"/>
      <c r="N132" s="6">
        <v>8962</v>
      </c>
      <c r="O132" s="6"/>
      <c r="P132" s="6">
        <v>3222</v>
      </c>
      <c r="Q132" s="6"/>
      <c r="R132" s="6">
        <v>74464</v>
      </c>
      <c r="S132" s="6"/>
      <c r="T132" s="6">
        <v>461097</v>
      </c>
      <c r="U132" s="6"/>
      <c r="V132" s="6">
        <v>61803</v>
      </c>
      <c r="W132" s="6"/>
      <c r="X132" s="6">
        <v>8257</v>
      </c>
      <c r="Y132" s="6"/>
      <c r="Z132" s="6">
        <v>12245</v>
      </c>
      <c r="AA132" s="6"/>
      <c r="AB132" s="6">
        <v>0</v>
      </c>
      <c r="AC132" s="6"/>
      <c r="AD132" s="6">
        <v>0</v>
      </c>
      <c r="AE132" s="6"/>
      <c r="AF132" s="8">
        <v>1590.801097172229</v>
      </c>
      <c r="AG132" s="8">
        <v>6067.9688156190414</v>
      </c>
      <c r="AH132" s="9">
        <f t="shared" ref="AH132:AH195" si="25">+AE132+AC132+AA132+Y132+W132+U132+S132+Q132+O132+M132+K132</f>
        <v>0</v>
      </c>
      <c r="AI132" s="7"/>
      <c r="AJ132" s="9"/>
      <c r="AK132" s="21">
        <f t="shared" ref="AK132:AK195" si="26">+AH132/C132-1</f>
        <v>-1</v>
      </c>
      <c r="AL132" s="21">
        <f t="shared" ref="AL132:AL195" si="27">+C132/B132</f>
        <v>4.3624684037193814E-2</v>
      </c>
      <c r="AM132" s="18" t="e">
        <f t="shared" ref="AM132:AM195" si="28">+AH132/E132</f>
        <v>#DIV/0!</v>
      </c>
      <c r="AN132" s="18">
        <f t="shared" ref="AN132:AN195" si="29">+E132/B132-1</f>
        <v>-1</v>
      </c>
    </row>
    <row r="133" spans="1:40" hidden="1" x14ac:dyDescent="0.3">
      <c r="A133" s="11">
        <v>45788</v>
      </c>
      <c r="B133" s="6">
        <v>40325337</v>
      </c>
      <c r="C133" s="6">
        <v>2104706</v>
      </c>
      <c r="D133" s="7">
        <v>1.4867061669853448E-2</v>
      </c>
      <c r="E133" s="6"/>
      <c r="F133" s="11">
        <v>46152</v>
      </c>
      <c r="G133" s="6">
        <v>2070624.1158221727</v>
      </c>
      <c r="H133" s="6">
        <f t="shared" si="23"/>
        <v>1304387.8365001928</v>
      </c>
      <c r="I133" s="6">
        <f t="shared" si="24"/>
        <v>303117.57746884215</v>
      </c>
      <c r="J133" s="6">
        <v>1562577</v>
      </c>
      <c r="K133" s="6"/>
      <c r="L133" s="6">
        <v>20098.275862068964</v>
      </c>
      <c r="M133" s="6"/>
      <c r="N133" s="6">
        <v>2643</v>
      </c>
      <c r="O133" s="6"/>
      <c r="P133" s="6">
        <v>4578</v>
      </c>
      <c r="Q133" s="6"/>
      <c r="R133" s="6">
        <v>64714</v>
      </c>
      <c r="S133" s="6"/>
      <c r="T133" s="6">
        <v>382228</v>
      </c>
      <c r="U133" s="6"/>
      <c r="V133" s="6">
        <v>63782</v>
      </c>
      <c r="W133" s="6"/>
      <c r="X133" s="6">
        <v>16117</v>
      </c>
      <c r="Y133" s="6"/>
      <c r="Z133" s="6">
        <v>8067</v>
      </c>
      <c r="AA133" s="6"/>
      <c r="AB133" s="6">
        <v>0</v>
      </c>
      <c r="AC133" s="6"/>
      <c r="AD133" s="6">
        <v>0</v>
      </c>
      <c r="AE133" s="6"/>
      <c r="AF133" s="8">
        <v>1215.3881225331918</v>
      </c>
      <c r="AG133" s="8">
        <v>4635.9895272354916</v>
      </c>
      <c r="AH133" s="9">
        <f t="shared" si="25"/>
        <v>0</v>
      </c>
      <c r="AI133" s="7"/>
      <c r="AJ133" s="9"/>
      <c r="AK133" s="21">
        <f t="shared" si="26"/>
        <v>-1</v>
      </c>
      <c r="AL133" s="21">
        <f t="shared" si="27"/>
        <v>5.219314100214463E-2</v>
      </c>
      <c r="AM133" s="18" t="e">
        <f t="shared" si="28"/>
        <v>#DIV/0!</v>
      </c>
      <c r="AN133" s="18">
        <f t="shared" si="29"/>
        <v>-1</v>
      </c>
    </row>
    <row r="134" spans="1:40" hidden="1" x14ac:dyDescent="0.3">
      <c r="A134" s="11">
        <v>45789</v>
      </c>
      <c r="B134" s="6">
        <v>23242388</v>
      </c>
      <c r="C134" s="6">
        <v>3091925</v>
      </c>
      <c r="D134" s="7">
        <v>2.2653997125119354E-2</v>
      </c>
      <c r="E134" s="6"/>
      <c r="F134" s="11">
        <v>46153</v>
      </c>
      <c r="G134" s="6">
        <v>3155156.9374434901</v>
      </c>
      <c r="H134" s="6">
        <f t="shared" si="23"/>
        <v>1987588.3314612838</v>
      </c>
      <c r="I134" s="6">
        <f t="shared" si="24"/>
        <v>461881.76796740107</v>
      </c>
      <c r="J134" s="6">
        <v>2459466</v>
      </c>
      <c r="K134" s="6"/>
      <c r="L134" s="6">
        <v>21396.551724137928</v>
      </c>
      <c r="M134" s="6"/>
      <c r="N134" s="6">
        <v>14035</v>
      </c>
      <c r="O134" s="6"/>
      <c r="P134" s="6">
        <v>14004</v>
      </c>
      <c r="Q134" s="6"/>
      <c r="R134" s="6">
        <v>75997</v>
      </c>
      <c r="S134" s="6"/>
      <c r="T134" s="6">
        <v>401282</v>
      </c>
      <c r="U134" s="6"/>
      <c r="V134" s="6">
        <v>95820</v>
      </c>
      <c r="W134" s="6"/>
      <c r="X134" s="6">
        <v>24006</v>
      </c>
      <c r="Y134" s="6"/>
      <c r="Z134" s="6">
        <v>7315</v>
      </c>
      <c r="AA134" s="6"/>
      <c r="AB134" s="6">
        <v>0</v>
      </c>
      <c r="AC134" s="6"/>
      <c r="AD134" s="6">
        <v>0</v>
      </c>
      <c r="AE134" s="6"/>
      <c r="AF134" s="8">
        <v>1851.9731501216372</v>
      </c>
      <c r="AG134" s="8">
        <v>7064.1863035408751</v>
      </c>
      <c r="AH134" s="9">
        <f t="shared" si="25"/>
        <v>0</v>
      </c>
      <c r="AI134" s="7"/>
      <c r="AJ134" s="9"/>
      <c r="AK134" s="21">
        <f t="shared" si="26"/>
        <v>-1</v>
      </c>
      <c r="AL134" s="21">
        <f t="shared" si="27"/>
        <v>0.13302957510217969</v>
      </c>
      <c r="AM134" s="18" t="e">
        <f t="shared" si="28"/>
        <v>#DIV/0!</v>
      </c>
      <c r="AN134" s="18">
        <f t="shared" si="29"/>
        <v>-1</v>
      </c>
    </row>
    <row r="135" spans="1:40" hidden="1" x14ac:dyDescent="0.3">
      <c r="A135" s="11">
        <v>45790</v>
      </c>
      <c r="B135" s="6">
        <v>25300042</v>
      </c>
      <c r="C135" s="6">
        <v>3461709</v>
      </c>
      <c r="D135" s="7">
        <v>3.3010317682596192E-2</v>
      </c>
      <c r="E135" s="6"/>
      <c r="F135" s="11">
        <v>46154</v>
      </c>
      <c r="G135" s="6">
        <v>4597543.3062966876</v>
      </c>
      <c r="H135" s="6">
        <f t="shared" si="23"/>
        <v>2896218.3530520159</v>
      </c>
      <c r="I135" s="6">
        <f t="shared" si="24"/>
        <v>673031.95141209604</v>
      </c>
      <c r="J135" s="6">
        <v>2836483</v>
      </c>
      <c r="K135" s="6"/>
      <c r="L135" s="6">
        <v>23572.413793103442</v>
      </c>
      <c r="M135" s="6"/>
      <c r="N135" s="6">
        <v>40509</v>
      </c>
      <c r="O135" s="6"/>
      <c r="P135" s="6">
        <v>1759</v>
      </c>
      <c r="Q135" s="6"/>
      <c r="R135" s="6">
        <v>46794</v>
      </c>
      <c r="S135" s="6"/>
      <c r="T135" s="6">
        <v>386009</v>
      </c>
      <c r="U135" s="6"/>
      <c r="V135" s="6">
        <v>119690</v>
      </c>
      <c r="W135" s="6"/>
      <c r="X135" s="6">
        <v>21353</v>
      </c>
      <c r="Y135" s="6"/>
      <c r="Z135" s="6">
        <v>9112</v>
      </c>
      <c r="AA135" s="6"/>
      <c r="AB135" s="6">
        <v>0</v>
      </c>
      <c r="AC135" s="6"/>
      <c r="AD135" s="6">
        <v>0</v>
      </c>
      <c r="AE135" s="6"/>
      <c r="AF135" s="8">
        <v>2698.6064175565025</v>
      </c>
      <c r="AG135" s="8">
        <v>10293.593345183255</v>
      </c>
      <c r="AH135" s="9">
        <f t="shared" si="25"/>
        <v>0</v>
      </c>
      <c r="AI135" s="7"/>
      <c r="AJ135" s="9"/>
      <c r="AK135" s="21">
        <f t="shared" si="26"/>
        <v>-1</v>
      </c>
      <c r="AL135" s="21">
        <f t="shared" si="27"/>
        <v>0.13682621554541294</v>
      </c>
      <c r="AM135" s="18" t="e">
        <f t="shared" si="28"/>
        <v>#DIV/0!</v>
      </c>
      <c r="AN135" s="18">
        <f t="shared" si="29"/>
        <v>-1</v>
      </c>
    </row>
    <row r="136" spans="1:40" hidden="1" x14ac:dyDescent="0.3">
      <c r="A136" s="11">
        <v>45791</v>
      </c>
      <c r="B136" s="6">
        <v>28389964</v>
      </c>
      <c r="C136" s="6">
        <v>3486646</v>
      </c>
      <c r="D136" s="7">
        <v>3.3949908350854006E-2</v>
      </c>
      <c r="E136" s="6"/>
      <c r="F136" s="11">
        <v>46155</v>
      </c>
      <c r="G136" s="6">
        <v>4728405.687841869</v>
      </c>
      <c r="H136" s="6">
        <f t="shared" si="23"/>
        <v>2978654.994950782</v>
      </c>
      <c r="I136" s="6">
        <f t="shared" si="24"/>
        <v>692188.82675836247</v>
      </c>
      <c r="J136" s="6">
        <v>2798237</v>
      </c>
      <c r="K136" s="6"/>
      <c r="L136" s="6">
        <v>17204.310344827583</v>
      </c>
      <c r="M136" s="6"/>
      <c r="N136" s="6">
        <v>30525</v>
      </c>
      <c r="O136" s="6"/>
      <c r="P136" s="6">
        <v>2915</v>
      </c>
      <c r="Q136" s="6"/>
      <c r="R136" s="6">
        <v>51632</v>
      </c>
      <c r="S136" s="6"/>
      <c r="T136" s="6">
        <v>406451</v>
      </c>
      <c r="U136" s="6"/>
      <c r="V136" s="6">
        <v>166963</v>
      </c>
      <c r="W136" s="6"/>
      <c r="X136" s="6">
        <v>21663</v>
      </c>
      <c r="Y136" s="6"/>
      <c r="Z136" s="6">
        <v>8260</v>
      </c>
      <c r="AA136" s="6"/>
      <c r="AB136" s="6">
        <v>0</v>
      </c>
      <c r="AC136" s="6"/>
      <c r="AD136" s="6">
        <v>0</v>
      </c>
      <c r="AE136" s="6"/>
      <c r="AF136" s="8">
        <v>2775.4183232042196</v>
      </c>
      <c r="AG136" s="8">
        <v>10586.585504270355</v>
      </c>
      <c r="AH136" s="9">
        <f t="shared" si="25"/>
        <v>0</v>
      </c>
      <c r="AI136" s="7"/>
      <c r="AJ136" s="9"/>
      <c r="AK136" s="21">
        <f t="shared" si="26"/>
        <v>-1</v>
      </c>
      <c r="AL136" s="21">
        <f t="shared" si="27"/>
        <v>0.12281262491209922</v>
      </c>
      <c r="AM136" s="18" t="e">
        <f t="shared" si="28"/>
        <v>#DIV/0!</v>
      </c>
      <c r="AN136" s="18">
        <f t="shared" si="29"/>
        <v>-1</v>
      </c>
    </row>
    <row r="137" spans="1:40" hidden="1" x14ac:dyDescent="0.3">
      <c r="A137" s="11">
        <v>45792</v>
      </c>
      <c r="B137" s="6">
        <v>37812054</v>
      </c>
      <c r="C137" s="6">
        <v>3144763</v>
      </c>
      <c r="D137" s="7">
        <v>3.4584072325308489E-2</v>
      </c>
      <c r="E137" s="6"/>
      <c r="F137" s="11">
        <v>46156</v>
      </c>
      <c r="G137" s="6">
        <v>4816729.4769032774</v>
      </c>
      <c r="H137" s="6">
        <f t="shared" si="23"/>
        <v>3034294.488012305</v>
      </c>
      <c r="I137" s="6">
        <f t="shared" si="24"/>
        <v>705118.49987893889</v>
      </c>
      <c r="J137" s="6">
        <v>2365155</v>
      </c>
      <c r="K137" s="6"/>
      <c r="L137" s="6">
        <v>17875.862068965514</v>
      </c>
      <c r="M137" s="6"/>
      <c r="N137" s="6">
        <v>48768</v>
      </c>
      <c r="O137" s="6"/>
      <c r="P137" s="6">
        <v>1400</v>
      </c>
      <c r="Q137" s="6"/>
      <c r="R137" s="6">
        <v>88607</v>
      </c>
      <c r="S137" s="6"/>
      <c r="T137" s="6">
        <v>449212</v>
      </c>
      <c r="U137" s="6"/>
      <c r="V137" s="6">
        <v>166991</v>
      </c>
      <c r="W137" s="6"/>
      <c r="X137" s="6">
        <v>16715</v>
      </c>
      <c r="Y137" s="6"/>
      <c r="Z137" s="6">
        <v>7915</v>
      </c>
      <c r="AA137" s="6"/>
      <c r="AB137" s="6">
        <v>0</v>
      </c>
      <c r="AC137" s="6"/>
      <c r="AD137" s="6">
        <v>0</v>
      </c>
      <c r="AE137" s="6"/>
      <c r="AF137" s="8">
        <v>2827.2614768418557</v>
      </c>
      <c r="AG137" s="8">
        <v>10784.336587127738</v>
      </c>
      <c r="AH137" s="9">
        <f t="shared" si="25"/>
        <v>0</v>
      </c>
      <c r="AI137" s="7"/>
      <c r="AJ137" s="9"/>
      <c r="AK137" s="21">
        <f t="shared" si="26"/>
        <v>-1</v>
      </c>
      <c r="AL137" s="21">
        <f t="shared" si="27"/>
        <v>8.316826692355829E-2</v>
      </c>
      <c r="AM137" s="18" t="e">
        <f t="shared" si="28"/>
        <v>#DIV/0!</v>
      </c>
      <c r="AN137" s="18">
        <f t="shared" si="29"/>
        <v>-1</v>
      </c>
    </row>
    <row r="138" spans="1:40" hidden="1" x14ac:dyDescent="0.3">
      <c r="A138" s="11">
        <v>45793</v>
      </c>
      <c r="B138" s="6">
        <v>38245451</v>
      </c>
      <c r="C138" s="6">
        <v>2770431</v>
      </c>
      <c r="D138" s="7">
        <v>3.0791938304397724E-2</v>
      </c>
      <c r="E138" s="6"/>
      <c r="F138" s="11">
        <v>46157</v>
      </c>
      <c r="G138" s="6">
        <v>4288576.4142137263</v>
      </c>
      <c r="H138" s="6">
        <f t="shared" si="23"/>
        <v>2701584.9317396884</v>
      </c>
      <c r="I138" s="6">
        <f t="shared" si="24"/>
        <v>627802.45025317708</v>
      </c>
      <c r="J138" s="6">
        <v>2141315</v>
      </c>
      <c r="K138" s="6"/>
      <c r="L138" s="6">
        <v>25296.55172413792</v>
      </c>
      <c r="M138" s="6"/>
      <c r="N138" s="6">
        <v>27754</v>
      </c>
      <c r="O138" s="6"/>
      <c r="P138" s="6">
        <v>1869</v>
      </c>
      <c r="Q138" s="6"/>
      <c r="R138" s="6">
        <v>86382</v>
      </c>
      <c r="S138" s="6"/>
      <c r="T138" s="6">
        <v>369211</v>
      </c>
      <c r="U138" s="6"/>
      <c r="V138" s="6">
        <v>113629</v>
      </c>
      <c r="W138" s="6"/>
      <c r="X138" s="6">
        <v>16988</v>
      </c>
      <c r="Y138" s="6"/>
      <c r="Z138" s="6">
        <v>13283</v>
      </c>
      <c r="AA138" s="6"/>
      <c r="AB138" s="6">
        <v>0</v>
      </c>
      <c r="AC138" s="6"/>
      <c r="AD138" s="6">
        <v>0</v>
      </c>
      <c r="AE138" s="6"/>
      <c r="AF138" s="8">
        <v>2517.2530333163495</v>
      </c>
      <c r="AG138" s="8">
        <v>9601.8370457110232</v>
      </c>
      <c r="AH138" s="9">
        <f t="shared" si="25"/>
        <v>0</v>
      </c>
      <c r="AI138" s="7"/>
      <c r="AJ138" s="9"/>
      <c r="AK138" s="21">
        <f t="shared" si="26"/>
        <v>-1</v>
      </c>
      <c r="AL138" s="21">
        <f t="shared" si="27"/>
        <v>7.2438183563321032E-2</v>
      </c>
      <c r="AM138" s="18" t="e">
        <f t="shared" si="28"/>
        <v>#DIV/0!</v>
      </c>
      <c r="AN138" s="18">
        <f t="shared" si="29"/>
        <v>-1</v>
      </c>
    </row>
    <row r="139" spans="1:40" hidden="1" x14ac:dyDescent="0.3">
      <c r="A139" s="11">
        <v>45794</v>
      </c>
      <c r="B139" s="6">
        <v>44431907</v>
      </c>
      <c r="C139" s="6">
        <v>2724241</v>
      </c>
      <c r="D139" s="7">
        <v>2.8586330099676753E-2</v>
      </c>
      <c r="E139" s="6"/>
      <c r="F139" s="11">
        <v>46158</v>
      </c>
      <c r="G139" s="6">
        <v>3981388.2394305975</v>
      </c>
      <c r="H139" s="6">
        <f t="shared" si="23"/>
        <v>2508072.0118224453</v>
      </c>
      <c r="I139" s="6">
        <f t="shared" si="24"/>
        <v>582833.33458615281</v>
      </c>
      <c r="J139" s="6">
        <v>2132828</v>
      </c>
      <c r="K139" s="6"/>
      <c r="L139" s="6">
        <v>21563.793103448275</v>
      </c>
      <c r="M139" s="6"/>
      <c r="N139" s="6">
        <v>-607</v>
      </c>
      <c r="O139" s="6"/>
      <c r="P139" s="6">
        <v>4423</v>
      </c>
      <c r="Q139" s="6"/>
      <c r="R139" s="6">
        <v>79497</v>
      </c>
      <c r="S139" s="6"/>
      <c r="T139" s="6">
        <v>366239</v>
      </c>
      <c r="U139" s="6"/>
      <c r="V139" s="6">
        <v>114522</v>
      </c>
      <c r="W139" s="6"/>
      <c r="X139" s="6">
        <v>20368</v>
      </c>
      <c r="Y139" s="6"/>
      <c r="Z139" s="6">
        <v>6971</v>
      </c>
      <c r="AA139" s="6"/>
      <c r="AB139" s="6">
        <v>0</v>
      </c>
      <c r="AC139" s="6"/>
      <c r="AD139" s="6">
        <v>0</v>
      </c>
      <c r="AE139" s="6"/>
      <c r="AF139" s="8">
        <v>2336.9436975169742</v>
      </c>
      <c r="AG139" s="8">
        <v>8914.06317584102</v>
      </c>
      <c r="AH139" s="9">
        <f t="shared" si="25"/>
        <v>0</v>
      </c>
      <c r="AI139" s="7"/>
      <c r="AJ139" s="9"/>
      <c r="AK139" s="21">
        <f t="shared" si="26"/>
        <v>-1</v>
      </c>
      <c r="AL139" s="21">
        <f t="shared" si="27"/>
        <v>6.1312718358003407E-2</v>
      </c>
      <c r="AM139" s="18" t="e">
        <f t="shared" si="28"/>
        <v>#DIV/0!</v>
      </c>
      <c r="AN139" s="18">
        <f t="shared" si="29"/>
        <v>-1</v>
      </c>
    </row>
    <row r="140" spans="1:40" hidden="1" x14ac:dyDescent="0.3">
      <c r="A140" s="11">
        <v>45795</v>
      </c>
      <c r="B140" s="6">
        <v>45518633</v>
      </c>
      <c r="C140" s="6">
        <v>3372051</v>
      </c>
      <c r="D140" s="7">
        <v>2.8049626204269328E-2</v>
      </c>
      <c r="E140" s="6"/>
      <c r="F140" s="11">
        <v>46159</v>
      </c>
      <c r="G140" s="6">
        <v>3906638.2953216168</v>
      </c>
      <c r="H140" s="6">
        <f t="shared" si="23"/>
        <v>2460983.3504233151</v>
      </c>
      <c r="I140" s="6">
        <f t="shared" si="24"/>
        <v>571890.72950340994</v>
      </c>
      <c r="J140" s="6">
        <v>2699305</v>
      </c>
      <c r="K140" s="6"/>
      <c r="L140" s="6">
        <v>20974.999999999996</v>
      </c>
      <c r="M140" s="6"/>
      <c r="N140" s="6">
        <v>22100</v>
      </c>
      <c r="O140" s="6"/>
      <c r="P140" s="6">
        <v>-481</v>
      </c>
      <c r="Q140" s="6"/>
      <c r="R140" s="6">
        <v>76910</v>
      </c>
      <c r="S140" s="6"/>
      <c r="T140" s="6">
        <v>427036</v>
      </c>
      <c r="U140" s="6"/>
      <c r="V140" s="6">
        <v>120368</v>
      </c>
      <c r="W140" s="6"/>
      <c r="X140" s="6">
        <v>16748</v>
      </c>
      <c r="Y140" s="6"/>
      <c r="Z140" s="6">
        <v>10065</v>
      </c>
      <c r="AA140" s="6"/>
      <c r="AB140" s="6">
        <v>0</v>
      </c>
      <c r="AC140" s="6"/>
      <c r="AD140" s="6">
        <v>0</v>
      </c>
      <c r="AE140" s="6"/>
      <c r="AF140" s="8">
        <v>2293.0679435663342</v>
      </c>
      <c r="AG140" s="8">
        <v>8746.7030280466079</v>
      </c>
      <c r="AH140" s="9">
        <f t="shared" si="25"/>
        <v>0</v>
      </c>
      <c r="AI140" s="7"/>
      <c r="AJ140" s="9"/>
      <c r="AK140" s="21">
        <f t="shared" si="26"/>
        <v>-1</v>
      </c>
      <c r="AL140" s="21">
        <f t="shared" si="27"/>
        <v>7.4080673732007732E-2</v>
      </c>
      <c r="AM140" s="18" t="e">
        <f t="shared" si="28"/>
        <v>#DIV/0!</v>
      </c>
      <c r="AN140" s="18">
        <f t="shared" si="29"/>
        <v>-1</v>
      </c>
    </row>
    <row r="141" spans="1:40" hidden="1" x14ac:dyDescent="0.3">
      <c r="A141" s="11">
        <v>45796</v>
      </c>
      <c r="B141" s="6">
        <v>26117094</v>
      </c>
      <c r="C141" s="6">
        <v>3958463</v>
      </c>
      <c r="D141" s="7">
        <v>3.8380807508026353E-2</v>
      </c>
      <c r="E141" s="6"/>
      <c r="F141" s="11">
        <v>46160</v>
      </c>
      <c r="G141" s="6">
        <v>5345523.3707678216</v>
      </c>
      <c r="H141" s="6">
        <f t="shared" si="23"/>
        <v>3367407.7353187138</v>
      </c>
      <c r="I141" s="6">
        <f t="shared" si="24"/>
        <v>782528.36044404306</v>
      </c>
      <c r="J141" s="6">
        <v>3148606</v>
      </c>
      <c r="K141" s="6"/>
      <c r="L141" s="6">
        <v>20161.206896551717</v>
      </c>
      <c r="M141" s="6"/>
      <c r="N141" s="6">
        <v>63309</v>
      </c>
      <c r="O141" s="6"/>
      <c r="P141" s="6">
        <v>9654</v>
      </c>
      <c r="Q141" s="6"/>
      <c r="R141" s="6">
        <v>164587</v>
      </c>
      <c r="S141" s="6"/>
      <c r="T141" s="6">
        <v>398765</v>
      </c>
      <c r="U141" s="6"/>
      <c r="V141" s="6">
        <v>133448</v>
      </c>
      <c r="W141" s="6"/>
      <c r="X141" s="6">
        <v>26159</v>
      </c>
      <c r="Y141" s="6"/>
      <c r="Z141" s="6">
        <v>13935</v>
      </c>
      <c r="AA141" s="6"/>
      <c r="AB141" s="6">
        <v>0</v>
      </c>
      <c r="AC141" s="6"/>
      <c r="AD141" s="6">
        <v>0</v>
      </c>
      <c r="AE141" s="6"/>
      <c r="AF141" s="8">
        <v>3137.6460671497175</v>
      </c>
      <c r="AG141" s="8">
        <v>11968.270906876884</v>
      </c>
      <c r="AH141" s="9">
        <f t="shared" si="25"/>
        <v>0</v>
      </c>
      <c r="AI141" s="7"/>
      <c r="AJ141" s="9"/>
      <c r="AK141" s="21">
        <f t="shared" si="26"/>
        <v>-1</v>
      </c>
      <c r="AL141" s="21">
        <f t="shared" si="27"/>
        <v>0.15156598203460156</v>
      </c>
      <c r="AM141" s="18" t="e">
        <f t="shared" si="28"/>
        <v>#DIV/0!</v>
      </c>
      <c r="AN141" s="18">
        <f t="shared" si="29"/>
        <v>-1</v>
      </c>
    </row>
    <row r="142" spans="1:40" hidden="1" x14ac:dyDescent="0.3">
      <c r="A142" s="11">
        <v>45797</v>
      </c>
      <c r="B142" s="6">
        <v>29370833</v>
      </c>
      <c r="C142" s="6">
        <v>3974245</v>
      </c>
      <c r="D142" s="7">
        <v>3.9178843629919032E-2</v>
      </c>
      <c r="E142" s="6"/>
      <c r="F142" s="11">
        <v>46161</v>
      </c>
      <c r="G142" s="6">
        <v>5456670.6086002225</v>
      </c>
      <c r="H142" s="6">
        <f t="shared" si="23"/>
        <v>3437424.8398145786</v>
      </c>
      <c r="I142" s="6">
        <f t="shared" si="24"/>
        <v>798799.146250444</v>
      </c>
      <c r="J142" s="6">
        <v>3264277</v>
      </c>
      <c r="K142" s="6"/>
      <c r="L142" s="6">
        <v>22440.517241379308</v>
      </c>
      <c r="M142" s="6"/>
      <c r="N142" s="6">
        <v>94697</v>
      </c>
      <c r="O142" s="6"/>
      <c r="P142" s="6">
        <v>6895</v>
      </c>
      <c r="Q142" s="6"/>
      <c r="R142" s="6">
        <v>104955</v>
      </c>
      <c r="S142" s="6"/>
      <c r="T142" s="6">
        <v>334212</v>
      </c>
      <c r="U142" s="6"/>
      <c r="V142" s="6">
        <v>131940</v>
      </c>
      <c r="W142" s="6"/>
      <c r="X142" s="6">
        <v>26309</v>
      </c>
      <c r="Y142" s="6"/>
      <c r="Z142" s="6">
        <v>10960</v>
      </c>
      <c r="AA142" s="6"/>
      <c r="AB142" s="6">
        <v>0</v>
      </c>
      <c r="AC142" s="6"/>
      <c r="AD142" s="6">
        <v>0</v>
      </c>
      <c r="AE142" s="6"/>
      <c r="AF142" s="8">
        <v>3202.8858331128577</v>
      </c>
      <c r="AG142" s="8">
        <v>12217.122171881865</v>
      </c>
      <c r="AH142" s="9">
        <f t="shared" si="25"/>
        <v>0</v>
      </c>
      <c r="AI142" s="7"/>
      <c r="AJ142" s="9"/>
      <c r="AK142" s="21">
        <f t="shared" si="26"/>
        <v>-1</v>
      </c>
      <c r="AL142" s="21">
        <f t="shared" si="27"/>
        <v>0.13531264162647344</v>
      </c>
      <c r="AM142" s="18" t="e">
        <f t="shared" si="28"/>
        <v>#DIV/0!</v>
      </c>
      <c r="AN142" s="18">
        <f t="shared" si="29"/>
        <v>-1</v>
      </c>
    </row>
    <row r="143" spans="1:40" hidden="1" x14ac:dyDescent="0.3">
      <c r="A143" s="11">
        <v>45798</v>
      </c>
      <c r="B143" s="6">
        <v>32364229</v>
      </c>
      <c r="C143" s="6">
        <v>3533678</v>
      </c>
      <c r="D143" s="7">
        <v>3.9456840320641604E-2</v>
      </c>
      <c r="E143" s="6"/>
      <c r="F143" s="11">
        <v>46162</v>
      </c>
      <c r="G143" s="6">
        <v>5495388.8613869278</v>
      </c>
      <c r="H143" s="6">
        <f t="shared" si="23"/>
        <v>3461815.3690272956</v>
      </c>
      <c r="I143" s="6">
        <f t="shared" si="24"/>
        <v>804467.0909531319</v>
      </c>
      <c r="J143" s="6">
        <v>2759403</v>
      </c>
      <c r="K143" s="6"/>
      <c r="L143" s="6">
        <v>22517.241379310341</v>
      </c>
      <c r="M143" s="6"/>
      <c r="N143" s="6">
        <v>59374</v>
      </c>
      <c r="O143" s="6"/>
      <c r="P143" s="6">
        <v>11701</v>
      </c>
      <c r="Q143" s="6"/>
      <c r="R143" s="6">
        <v>96289</v>
      </c>
      <c r="S143" s="6"/>
      <c r="T143" s="6">
        <v>374047</v>
      </c>
      <c r="U143" s="6"/>
      <c r="V143" s="6">
        <v>193832</v>
      </c>
      <c r="W143" s="6"/>
      <c r="X143" s="6">
        <v>28023</v>
      </c>
      <c r="Y143" s="6"/>
      <c r="Z143" s="6">
        <v>11009</v>
      </c>
      <c r="AA143" s="6"/>
      <c r="AB143" s="6">
        <v>0</v>
      </c>
      <c r="AC143" s="6"/>
      <c r="AD143" s="6">
        <v>0</v>
      </c>
      <c r="AE143" s="6"/>
      <c r="AF143" s="8">
        <v>3225.6121716127423</v>
      </c>
      <c r="AG143" s="8">
        <v>12303.809761899016</v>
      </c>
      <c r="AH143" s="9">
        <f t="shared" si="25"/>
        <v>0</v>
      </c>
      <c r="AI143" s="7"/>
      <c r="AJ143" s="9"/>
      <c r="AK143" s="21">
        <f t="shared" si="26"/>
        <v>-1</v>
      </c>
      <c r="AL143" s="21">
        <f t="shared" si="27"/>
        <v>0.10918468040749557</v>
      </c>
      <c r="AM143" s="18" t="e">
        <f t="shared" si="28"/>
        <v>#DIV/0!</v>
      </c>
      <c r="AN143" s="18">
        <f t="shared" si="29"/>
        <v>-1</v>
      </c>
    </row>
    <row r="144" spans="1:40" hidden="1" x14ac:dyDescent="0.3">
      <c r="A144" s="11">
        <v>45799</v>
      </c>
      <c r="B144" s="6">
        <v>36223027</v>
      </c>
      <c r="C144" s="6">
        <v>3460588</v>
      </c>
      <c r="D144" s="7">
        <v>3.7485901199626089E-2</v>
      </c>
      <c r="E144" s="6"/>
      <c r="F144" s="11">
        <v>46163</v>
      </c>
      <c r="G144" s="6">
        <v>5220884.445825954</v>
      </c>
      <c r="H144" s="6">
        <f t="shared" si="23"/>
        <v>3288891.5544212074</v>
      </c>
      <c r="I144" s="6">
        <f t="shared" si="24"/>
        <v>764282.53364331613</v>
      </c>
      <c r="J144" s="6">
        <v>2725438</v>
      </c>
      <c r="K144" s="6"/>
      <c r="L144" s="6">
        <v>22197.413793103446</v>
      </c>
      <c r="M144" s="6"/>
      <c r="N144" s="6">
        <v>57018</v>
      </c>
      <c r="O144" s="6"/>
      <c r="P144" s="6">
        <v>2723</v>
      </c>
      <c r="Q144" s="6"/>
      <c r="R144" s="6">
        <v>100755</v>
      </c>
      <c r="S144" s="6"/>
      <c r="T144" s="6">
        <v>368227</v>
      </c>
      <c r="U144" s="6"/>
      <c r="V144" s="6">
        <v>184282</v>
      </c>
      <c r="W144" s="6"/>
      <c r="X144" s="6">
        <v>13230</v>
      </c>
      <c r="Y144" s="6"/>
      <c r="Z144" s="6">
        <v>8915</v>
      </c>
      <c r="AA144" s="6"/>
      <c r="AB144" s="6">
        <v>0</v>
      </c>
      <c r="AC144" s="6"/>
      <c r="AD144" s="6">
        <v>0</v>
      </c>
      <c r="AE144" s="6"/>
      <c r="AF144" s="8">
        <v>3064.4871254460454</v>
      </c>
      <c r="AG144" s="8">
        <v>11689.21265274902</v>
      </c>
      <c r="AH144" s="9">
        <f t="shared" si="25"/>
        <v>0</v>
      </c>
      <c r="AI144" s="7"/>
      <c r="AJ144" s="9"/>
      <c r="AK144" s="21">
        <f t="shared" si="26"/>
        <v>-1</v>
      </c>
      <c r="AL144" s="21">
        <f t="shared" si="27"/>
        <v>9.5535582931818477E-2</v>
      </c>
      <c r="AM144" s="18" t="e">
        <f t="shared" si="28"/>
        <v>#DIV/0!</v>
      </c>
      <c r="AN144" s="18">
        <f t="shared" si="29"/>
        <v>-1</v>
      </c>
    </row>
    <row r="145" spans="1:40" hidden="1" x14ac:dyDescent="0.3">
      <c r="A145" s="11">
        <v>45800</v>
      </c>
      <c r="B145" s="6">
        <v>37119549</v>
      </c>
      <c r="C145" s="6">
        <v>2538647</v>
      </c>
      <c r="D145" s="7">
        <v>3.1287369385133712E-2</v>
      </c>
      <c r="E145" s="6"/>
      <c r="F145" s="11">
        <v>46164</v>
      </c>
      <c r="G145" s="6">
        <v>4357578.0479111187</v>
      </c>
      <c r="H145" s="6">
        <f t="shared" si="23"/>
        <v>2745052.4500621934</v>
      </c>
      <c r="I145" s="6">
        <f t="shared" si="24"/>
        <v>637903.56319198839</v>
      </c>
      <c r="J145" s="6">
        <v>1842077</v>
      </c>
      <c r="K145" s="6"/>
      <c r="L145" s="6">
        <v>21773.275862068964</v>
      </c>
      <c r="M145" s="6"/>
      <c r="N145" s="6">
        <v>44511</v>
      </c>
      <c r="O145" s="6"/>
      <c r="P145" s="6">
        <v>5468</v>
      </c>
      <c r="Q145" s="6"/>
      <c r="R145" s="6">
        <v>104707</v>
      </c>
      <c r="S145" s="6"/>
      <c r="T145" s="6">
        <v>359912</v>
      </c>
      <c r="U145" s="6"/>
      <c r="V145" s="6">
        <v>161958</v>
      </c>
      <c r="W145" s="6"/>
      <c r="X145" s="6">
        <v>14507</v>
      </c>
      <c r="Y145" s="6"/>
      <c r="Z145" s="6">
        <v>5507</v>
      </c>
      <c r="AA145" s="6"/>
      <c r="AB145" s="6">
        <v>0</v>
      </c>
      <c r="AC145" s="6"/>
      <c r="AD145" s="6">
        <v>0</v>
      </c>
      <c r="AE145" s="6"/>
      <c r="AF145" s="8">
        <v>2557.7547184799541</v>
      </c>
      <c r="AG145" s="8">
        <v>9756.3271092328778</v>
      </c>
      <c r="AH145" s="9">
        <f t="shared" si="25"/>
        <v>0</v>
      </c>
      <c r="AI145" s="7"/>
      <c r="AJ145" s="9"/>
      <c r="AK145" s="21">
        <f t="shared" si="26"/>
        <v>-1</v>
      </c>
      <c r="AL145" s="21">
        <f t="shared" si="27"/>
        <v>6.8391105721677808E-2</v>
      </c>
      <c r="AM145" s="18" t="e">
        <f t="shared" si="28"/>
        <v>#DIV/0!</v>
      </c>
      <c r="AN145" s="18">
        <f t="shared" si="29"/>
        <v>-1</v>
      </c>
    </row>
    <row r="146" spans="1:40" hidden="1" x14ac:dyDescent="0.3">
      <c r="A146" s="11">
        <v>45801</v>
      </c>
      <c r="B146" s="6">
        <v>45670035</v>
      </c>
      <c r="C146" s="6">
        <v>2064018</v>
      </c>
      <c r="D146" s="7">
        <v>2.3963086648499044E-2</v>
      </c>
      <c r="E146" s="6"/>
      <c r="F146" s="11">
        <v>46165</v>
      </c>
      <c r="G146" s="6">
        <v>3337481.6225140179</v>
      </c>
      <c r="H146" s="6">
        <f t="shared" si="23"/>
        <v>2102443.6061016517</v>
      </c>
      <c r="I146" s="6">
        <f t="shared" si="24"/>
        <v>488572.18291478214</v>
      </c>
      <c r="J146" s="6">
        <v>1490912</v>
      </c>
      <c r="K146" s="6"/>
      <c r="L146" s="6">
        <v>21924.137931034478</v>
      </c>
      <c r="M146" s="6"/>
      <c r="N146" s="6">
        <v>4053</v>
      </c>
      <c r="O146" s="6"/>
      <c r="P146" s="6">
        <v>-155</v>
      </c>
      <c r="Q146" s="6"/>
      <c r="R146" s="6">
        <v>60410</v>
      </c>
      <c r="S146" s="6"/>
      <c r="T146" s="6">
        <v>342742</v>
      </c>
      <c r="U146" s="6"/>
      <c r="V146" s="6">
        <v>137614</v>
      </c>
      <c r="W146" s="6"/>
      <c r="X146" s="6">
        <v>23925</v>
      </c>
      <c r="Y146" s="6"/>
      <c r="Z146" s="6">
        <v>4517</v>
      </c>
      <c r="AA146" s="6"/>
      <c r="AB146" s="6">
        <v>0</v>
      </c>
      <c r="AC146" s="6"/>
      <c r="AD146" s="6">
        <v>0</v>
      </c>
      <c r="AE146" s="6"/>
      <c r="AF146" s="8">
        <v>1958.9917320970221</v>
      </c>
      <c r="AG146" s="8">
        <v>7472.3991337135085</v>
      </c>
      <c r="AH146" s="9">
        <f t="shared" si="25"/>
        <v>0</v>
      </c>
      <c r="AI146" s="7"/>
      <c r="AJ146" s="9"/>
      <c r="AK146" s="21">
        <f t="shared" si="26"/>
        <v>-1</v>
      </c>
      <c r="AL146" s="21">
        <f t="shared" si="27"/>
        <v>4.5194140972302739E-2</v>
      </c>
      <c r="AM146" s="18" t="e">
        <f t="shared" si="28"/>
        <v>#DIV/0!</v>
      </c>
      <c r="AN146" s="18">
        <f t="shared" si="29"/>
        <v>-1</v>
      </c>
    </row>
    <row r="147" spans="1:40" hidden="1" x14ac:dyDescent="0.3">
      <c r="A147" s="11">
        <v>45802</v>
      </c>
      <c r="B147" s="6">
        <v>43078411</v>
      </c>
      <c r="C147" s="6">
        <v>2330311</v>
      </c>
      <c r="D147" s="7">
        <v>2.0538200059518136E-2</v>
      </c>
      <c r="E147" s="6"/>
      <c r="F147" s="11">
        <v>46166</v>
      </c>
      <c r="G147" s="6">
        <v>2860477.294249217</v>
      </c>
      <c r="H147" s="6">
        <f t="shared" si="23"/>
        <v>1801955.1499921286</v>
      </c>
      <c r="I147" s="6">
        <f t="shared" si="24"/>
        <v>418743.76967408747</v>
      </c>
      <c r="J147" s="6">
        <v>1648534</v>
      </c>
      <c r="K147" s="6"/>
      <c r="L147" s="6">
        <v>27512.931034482754</v>
      </c>
      <c r="M147" s="6"/>
      <c r="N147" s="6">
        <v>7700</v>
      </c>
      <c r="O147" s="6"/>
      <c r="P147" s="6">
        <v>-1294</v>
      </c>
      <c r="Q147" s="6"/>
      <c r="R147" s="6">
        <v>100831</v>
      </c>
      <c r="S147" s="6"/>
      <c r="T147" s="6">
        <v>396662</v>
      </c>
      <c r="U147" s="6"/>
      <c r="V147" s="6">
        <v>149588</v>
      </c>
      <c r="W147" s="6"/>
      <c r="X147" s="6">
        <v>19789</v>
      </c>
      <c r="Y147" s="6"/>
      <c r="Z147" s="6">
        <v>8501</v>
      </c>
      <c r="AA147" s="6"/>
      <c r="AB147" s="6">
        <v>0</v>
      </c>
      <c r="AC147" s="6"/>
      <c r="AD147" s="6">
        <v>0</v>
      </c>
      <c r="AE147" s="6"/>
      <c r="AF147" s="8">
        <v>1679.0059101702036</v>
      </c>
      <c r="AG147" s="8">
        <v>6404.4182030444217</v>
      </c>
      <c r="AH147" s="9">
        <f t="shared" si="25"/>
        <v>0</v>
      </c>
      <c r="AI147" s="7"/>
      <c r="AJ147" s="9"/>
      <c r="AK147" s="21">
        <f t="shared" si="26"/>
        <v>-1</v>
      </c>
      <c r="AL147" s="21">
        <f t="shared" si="27"/>
        <v>5.4094636870426815E-2</v>
      </c>
      <c r="AM147" s="18" t="e">
        <f t="shared" si="28"/>
        <v>#DIV/0!</v>
      </c>
      <c r="AN147" s="18">
        <f t="shared" si="29"/>
        <v>-1</v>
      </c>
    </row>
    <row r="148" spans="1:40" hidden="1" x14ac:dyDescent="0.3">
      <c r="A148" s="11">
        <v>45803</v>
      </c>
      <c r="B148" s="6">
        <v>26417617</v>
      </c>
      <c r="C148" s="6">
        <v>4563034</v>
      </c>
      <c r="D148" s="7">
        <v>4.7358519706358251E-2</v>
      </c>
      <c r="E148" s="6"/>
      <c r="F148" s="11">
        <v>46167</v>
      </c>
      <c r="G148" s="6">
        <v>6595902.7527590552</v>
      </c>
      <c r="H148" s="6">
        <f t="shared" si="23"/>
        <v>4155083.1247905442</v>
      </c>
      <c r="I148" s="6">
        <f t="shared" si="24"/>
        <v>965570.74186423549</v>
      </c>
      <c r="J148" s="6">
        <v>3471403</v>
      </c>
      <c r="K148" s="6"/>
      <c r="L148" s="6">
        <v>24606.89655172413</v>
      </c>
      <c r="M148" s="6"/>
      <c r="N148" s="6">
        <v>37482</v>
      </c>
      <c r="O148" s="6"/>
      <c r="P148" s="6">
        <v>8128</v>
      </c>
      <c r="Q148" s="6"/>
      <c r="R148" s="6">
        <v>96490</v>
      </c>
      <c r="S148" s="6"/>
      <c r="T148" s="6">
        <v>729673</v>
      </c>
      <c r="U148" s="6"/>
      <c r="V148" s="6">
        <v>173445</v>
      </c>
      <c r="W148" s="6"/>
      <c r="X148" s="6">
        <v>31849</v>
      </c>
      <c r="Y148" s="6"/>
      <c r="Z148" s="6">
        <v>14564</v>
      </c>
      <c r="AA148" s="6"/>
      <c r="AB148" s="6">
        <v>0</v>
      </c>
      <c r="AC148" s="6"/>
      <c r="AD148" s="6">
        <v>0</v>
      </c>
      <c r="AE148" s="6"/>
      <c r="AF148" s="8">
        <v>3871.577560519348</v>
      </c>
      <c r="AG148" s="8">
        <v>14767.787089311019</v>
      </c>
      <c r="AH148" s="9">
        <f t="shared" si="25"/>
        <v>0</v>
      </c>
      <c r="AI148" s="7"/>
      <c r="AJ148" s="9"/>
      <c r="AK148" s="21">
        <f t="shared" si="26"/>
        <v>-1</v>
      </c>
      <c r="AL148" s="21">
        <f t="shared" si="27"/>
        <v>0.17272693445438322</v>
      </c>
      <c r="AM148" s="18" t="e">
        <f t="shared" si="28"/>
        <v>#DIV/0!</v>
      </c>
      <c r="AN148" s="18">
        <f t="shared" si="29"/>
        <v>-1</v>
      </c>
    </row>
    <row r="149" spans="1:40" hidden="1" x14ac:dyDescent="0.3">
      <c r="A149" s="11">
        <v>45804</v>
      </c>
      <c r="B149" s="6">
        <v>31571706</v>
      </c>
      <c r="C149" s="6">
        <v>5857068</v>
      </c>
      <c r="D149" s="7">
        <v>4.8215751544577162E-2</v>
      </c>
      <c r="E149" s="6"/>
      <c r="F149" s="11">
        <v>46168</v>
      </c>
      <c r="G149" s="6">
        <v>6715294.5301313056</v>
      </c>
      <c r="H149" s="6">
        <f t="shared" si="23"/>
        <v>4230293.8697019471</v>
      </c>
      <c r="I149" s="6">
        <f t="shared" si="24"/>
        <v>983048.44148641243</v>
      </c>
      <c r="J149" s="6">
        <v>4105033</v>
      </c>
      <c r="K149" s="6"/>
      <c r="L149" s="6">
        <v>24421.551724137928</v>
      </c>
      <c r="M149" s="6"/>
      <c r="N149" s="6">
        <v>55831</v>
      </c>
      <c r="O149" s="6"/>
      <c r="P149" s="6">
        <v>10097</v>
      </c>
      <c r="Q149" s="6"/>
      <c r="R149" s="6">
        <v>119447</v>
      </c>
      <c r="S149" s="6"/>
      <c r="T149" s="6">
        <v>1213906</v>
      </c>
      <c r="U149" s="6"/>
      <c r="V149" s="6">
        <v>294966</v>
      </c>
      <c r="W149" s="6"/>
      <c r="X149" s="6">
        <v>45119</v>
      </c>
      <c r="Y149" s="6"/>
      <c r="Z149" s="6">
        <v>12669</v>
      </c>
      <c r="AA149" s="6"/>
      <c r="AB149" s="6">
        <v>0</v>
      </c>
      <c r="AC149" s="6"/>
      <c r="AD149" s="6">
        <v>0</v>
      </c>
      <c r="AE149" s="6"/>
      <c r="AF149" s="8">
        <v>3941.6565995093597</v>
      </c>
      <c r="AG149" s="8">
        <v>15035.09732940064</v>
      </c>
      <c r="AH149" s="9">
        <f t="shared" si="25"/>
        <v>0</v>
      </c>
      <c r="AI149" s="7"/>
      <c r="AJ149" s="9"/>
      <c r="AK149" s="21">
        <f t="shared" si="26"/>
        <v>-1</v>
      </c>
      <c r="AL149" s="21">
        <f t="shared" si="27"/>
        <v>0.18551636075668512</v>
      </c>
      <c r="AM149" s="18" t="e">
        <f t="shared" si="28"/>
        <v>#DIV/0!</v>
      </c>
      <c r="AN149" s="18">
        <f t="shared" si="29"/>
        <v>-1</v>
      </c>
    </row>
    <row r="150" spans="1:40" hidden="1" x14ac:dyDescent="0.3">
      <c r="A150" s="11">
        <v>45805</v>
      </c>
      <c r="B150" s="6">
        <v>34320185</v>
      </c>
      <c r="C150" s="6">
        <v>5669212</v>
      </c>
      <c r="D150" s="7">
        <v>4.5301131833697446E-2</v>
      </c>
      <c r="E150" s="6"/>
      <c r="F150" s="11">
        <v>46169</v>
      </c>
      <c r="G150" s="6">
        <v>6309358.105314035</v>
      </c>
      <c r="H150" s="6">
        <f t="shared" si="23"/>
        <v>3974574.5767226047</v>
      </c>
      <c r="I150" s="6">
        <f t="shared" si="24"/>
        <v>923623.6213286909</v>
      </c>
      <c r="J150" s="6">
        <v>3686445</v>
      </c>
      <c r="K150" s="6"/>
      <c r="L150" s="6">
        <v>31223.275862068956</v>
      </c>
      <c r="M150" s="6"/>
      <c r="N150" s="6">
        <v>60377</v>
      </c>
      <c r="O150" s="6"/>
      <c r="P150" s="6">
        <v>8759</v>
      </c>
      <c r="Q150" s="6"/>
      <c r="R150" s="6">
        <v>88703</v>
      </c>
      <c r="S150" s="6"/>
      <c r="T150" s="6">
        <v>1382114</v>
      </c>
      <c r="U150" s="6"/>
      <c r="V150" s="6">
        <v>371492</v>
      </c>
      <c r="W150" s="6"/>
      <c r="X150" s="6">
        <v>45166</v>
      </c>
      <c r="Y150" s="6"/>
      <c r="Z150" s="6">
        <v>26156</v>
      </c>
      <c r="AA150" s="6"/>
      <c r="AB150" s="6">
        <v>0</v>
      </c>
      <c r="AC150" s="6"/>
      <c r="AD150" s="6">
        <v>0</v>
      </c>
      <c r="AE150" s="6"/>
      <c r="AF150" s="8">
        <v>3703.3852949995121</v>
      </c>
      <c r="AG150" s="8">
        <v>14126.232702645802</v>
      </c>
      <c r="AH150" s="9">
        <f t="shared" si="25"/>
        <v>0</v>
      </c>
      <c r="AI150" s="7"/>
      <c r="AJ150" s="9"/>
      <c r="AK150" s="21">
        <f t="shared" si="26"/>
        <v>-1</v>
      </c>
      <c r="AL150" s="21">
        <f t="shared" si="27"/>
        <v>0.16518593941145712</v>
      </c>
      <c r="AM150" s="18" t="e">
        <f t="shared" si="28"/>
        <v>#DIV/0!</v>
      </c>
      <c r="AN150" s="18">
        <f t="shared" si="29"/>
        <v>-1</v>
      </c>
    </row>
    <row r="151" spans="1:40" hidden="1" x14ac:dyDescent="0.3">
      <c r="A151" s="11">
        <v>45806</v>
      </c>
      <c r="B151" s="6">
        <v>37519109</v>
      </c>
      <c r="C151" s="6">
        <v>4708569</v>
      </c>
      <c r="D151" s="7">
        <v>3.6304779031121323E-2</v>
      </c>
      <c r="E151" s="6"/>
      <c r="F151" s="11">
        <v>46170</v>
      </c>
      <c r="G151" s="6">
        <v>5056382.5354856402</v>
      </c>
      <c r="H151" s="6">
        <f t="shared" si="23"/>
        <v>3185263.7210113029</v>
      </c>
      <c r="I151" s="6">
        <f t="shared" si="24"/>
        <v>740201.18533372506</v>
      </c>
      <c r="J151" s="6">
        <v>3006591</v>
      </c>
      <c r="K151" s="6"/>
      <c r="L151" s="6">
        <v>27291.379310344819</v>
      </c>
      <c r="M151" s="6"/>
      <c r="N151" s="6">
        <v>44594</v>
      </c>
      <c r="O151" s="6"/>
      <c r="P151" s="6">
        <v>8693</v>
      </c>
      <c r="Q151" s="6"/>
      <c r="R151" s="6">
        <v>93162</v>
      </c>
      <c r="S151" s="6"/>
      <c r="T151" s="6">
        <v>1195372</v>
      </c>
      <c r="U151" s="6"/>
      <c r="V151" s="6">
        <v>298834</v>
      </c>
      <c r="W151" s="6"/>
      <c r="X151" s="6">
        <v>46665</v>
      </c>
      <c r="Y151" s="6"/>
      <c r="Z151" s="6">
        <v>14658</v>
      </c>
      <c r="AA151" s="6"/>
      <c r="AB151" s="6">
        <v>0</v>
      </c>
      <c r="AC151" s="6"/>
      <c r="AD151" s="6">
        <v>0</v>
      </c>
      <c r="AE151" s="6"/>
      <c r="AF151" s="8">
        <v>2967.9299249218689</v>
      </c>
      <c r="AG151" s="8">
        <v>11320.903828505894</v>
      </c>
      <c r="AH151" s="9">
        <f t="shared" si="25"/>
        <v>0</v>
      </c>
      <c r="AI151" s="7"/>
      <c r="AJ151" s="9"/>
      <c r="AK151" s="21">
        <f t="shared" si="26"/>
        <v>-1</v>
      </c>
      <c r="AL151" s="21">
        <f t="shared" si="27"/>
        <v>0.12549788962205899</v>
      </c>
      <c r="AM151" s="18" t="e">
        <f t="shared" si="28"/>
        <v>#DIV/0!</v>
      </c>
      <c r="AN151" s="18">
        <f t="shared" si="29"/>
        <v>-1</v>
      </c>
    </row>
    <row r="152" spans="1:40" hidden="1" x14ac:dyDescent="0.3">
      <c r="A152" s="11">
        <v>45807</v>
      </c>
      <c r="B152" s="6">
        <v>43157206</v>
      </c>
      <c r="C152" s="6">
        <v>4173457</v>
      </c>
      <c r="D152" s="7">
        <v>3.2022031385212868E-2</v>
      </c>
      <c r="E152" s="6"/>
      <c r="F152" s="11">
        <v>46171</v>
      </c>
      <c r="G152" s="6">
        <v>4459898.7948161159</v>
      </c>
      <c r="H152" s="6">
        <f t="shared" si="23"/>
        <v>2809509.3143789205</v>
      </c>
      <c r="I152" s="6">
        <f t="shared" si="24"/>
        <v>652882.24362444831</v>
      </c>
      <c r="J152" s="6">
        <v>2492801</v>
      </c>
      <c r="K152" s="6"/>
      <c r="L152" s="6">
        <v>37442.241379310333</v>
      </c>
      <c r="M152" s="6"/>
      <c r="N152" s="6">
        <v>36352</v>
      </c>
      <c r="O152" s="6"/>
      <c r="P152" s="6">
        <v>7638</v>
      </c>
      <c r="Q152" s="6"/>
      <c r="R152" s="6">
        <v>113450</v>
      </c>
      <c r="S152" s="6"/>
      <c r="T152" s="6">
        <v>1220737</v>
      </c>
      <c r="U152" s="6"/>
      <c r="V152" s="6">
        <v>249590</v>
      </c>
      <c r="W152" s="6"/>
      <c r="X152" s="6">
        <v>38407</v>
      </c>
      <c r="Y152" s="6"/>
      <c r="Z152" s="6">
        <v>14482</v>
      </c>
      <c r="AA152" s="6"/>
      <c r="AB152" s="6">
        <v>0</v>
      </c>
      <c r="AC152" s="6"/>
      <c r="AD152" s="6">
        <v>0</v>
      </c>
      <c r="AE152" s="6"/>
      <c r="AF152" s="8">
        <v>2617.813625128822</v>
      </c>
      <c r="AG152" s="8">
        <v>9985.4164487444723</v>
      </c>
      <c r="AH152" s="9">
        <f t="shared" si="25"/>
        <v>0</v>
      </c>
      <c r="AI152" s="7"/>
      <c r="AJ152" s="9"/>
      <c r="AK152" s="21">
        <f t="shared" si="26"/>
        <v>-1</v>
      </c>
      <c r="AL152" s="21">
        <f t="shared" si="27"/>
        <v>9.67035956868941E-2</v>
      </c>
      <c r="AM152" s="18" t="e">
        <f t="shared" si="28"/>
        <v>#DIV/0!</v>
      </c>
      <c r="AN152" s="18">
        <f t="shared" si="29"/>
        <v>-1</v>
      </c>
    </row>
    <row r="153" spans="1:40" hidden="1" x14ac:dyDescent="0.3">
      <c r="A153" s="11">
        <v>45808</v>
      </c>
      <c r="B153" s="6">
        <v>51180118</v>
      </c>
      <c r="C153" s="6">
        <v>3786986</v>
      </c>
      <c r="D153" s="7">
        <v>3.0055398479734825E-2</v>
      </c>
      <c r="E153" s="6"/>
      <c r="F153" s="11">
        <v>46172</v>
      </c>
      <c r="G153" s="6">
        <v>4185994.1315086684</v>
      </c>
      <c r="H153" s="6">
        <f t="shared" si="23"/>
        <v>2636963.3131762575</v>
      </c>
      <c r="I153" s="6">
        <f t="shared" si="24"/>
        <v>612785.48373222328</v>
      </c>
      <c r="J153" s="6">
        <v>2298316</v>
      </c>
      <c r="K153" s="6"/>
      <c r="L153" s="6">
        <v>34463.793103448254</v>
      </c>
      <c r="M153" s="6"/>
      <c r="N153" s="6">
        <v>19296</v>
      </c>
      <c r="O153" s="6"/>
      <c r="P153" s="6">
        <v>4141</v>
      </c>
      <c r="Q153" s="6"/>
      <c r="R153" s="6">
        <v>119066</v>
      </c>
      <c r="S153" s="6"/>
      <c r="T153" s="6">
        <v>1010801</v>
      </c>
      <c r="U153" s="6"/>
      <c r="V153" s="6">
        <v>278925</v>
      </c>
      <c r="W153" s="6"/>
      <c r="X153" s="6">
        <v>39390</v>
      </c>
      <c r="Y153" s="6"/>
      <c r="Z153" s="6">
        <v>17051</v>
      </c>
      <c r="AA153" s="6"/>
      <c r="AB153" s="6">
        <v>0</v>
      </c>
      <c r="AC153" s="6"/>
      <c r="AD153" s="6">
        <v>0</v>
      </c>
      <c r="AE153" s="6"/>
      <c r="AF153" s="8">
        <v>2457.040613771258</v>
      </c>
      <c r="AG153" s="8">
        <v>9372.1621449568975</v>
      </c>
      <c r="AH153" s="9">
        <f t="shared" si="25"/>
        <v>0</v>
      </c>
      <c r="AI153" s="7"/>
      <c r="AJ153" s="9"/>
      <c r="AK153" s="21">
        <f t="shared" si="26"/>
        <v>-1</v>
      </c>
      <c r="AL153" s="21">
        <f t="shared" si="27"/>
        <v>7.3993303415205103E-2</v>
      </c>
      <c r="AM153" s="18" t="e">
        <f t="shared" si="28"/>
        <v>#DIV/0!</v>
      </c>
      <c r="AN153" s="18">
        <f t="shared" si="29"/>
        <v>-1</v>
      </c>
    </row>
    <row r="154" spans="1:40" hidden="1" x14ac:dyDescent="0.3">
      <c r="A154" s="11">
        <v>45809</v>
      </c>
      <c r="B154" s="6">
        <v>54033676</v>
      </c>
      <c r="C154" s="6">
        <v>4287505</v>
      </c>
      <c r="D154" s="7">
        <v>2.3594816736167649E-2</v>
      </c>
      <c r="E154" s="6"/>
      <c r="F154" s="11">
        <v>46173</v>
      </c>
      <c r="G154" s="6">
        <v>3286190.4811614961</v>
      </c>
      <c r="H154" s="6">
        <f t="shared" si="23"/>
        <v>2070132.7968199411</v>
      </c>
      <c r="I154" s="6">
        <f t="shared" si="24"/>
        <v>481063.6996543064</v>
      </c>
      <c r="J154" s="6">
        <v>2641485</v>
      </c>
      <c r="K154" s="6"/>
      <c r="L154" s="6">
        <v>39671.551724137906</v>
      </c>
      <c r="M154" s="6"/>
      <c r="N154" s="6">
        <v>-228</v>
      </c>
      <c r="O154" s="6"/>
      <c r="P154" s="6">
        <v>1403</v>
      </c>
      <c r="Q154" s="6"/>
      <c r="R154" s="6">
        <v>186803</v>
      </c>
      <c r="S154" s="6"/>
      <c r="T154" s="6">
        <v>1125600</v>
      </c>
      <c r="U154" s="6"/>
      <c r="V154" s="6">
        <v>278166</v>
      </c>
      <c r="W154" s="6"/>
      <c r="X154" s="6">
        <v>40863</v>
      </c>
      <c r="Y154" s="6"/>
      <c r="Z154" s="6">
        <v>13413</v>
      </c>
      <c r="AA154" s="6"/>
      <c r="AB154" s="6">
        <v>0</v>
      </c>
      <c r="AC154" s="6"/>
      <c r="AD154" s="6">
        <v>0</v>
      </c>
      <c r="AE154" s="6"/>
      <c r="AF154" s="8">
        <v>1928.8855223244805</v>
      </c>
      <c r="AG154" s="8">
        <v>7357.5616833364611</v>
      </c>
      <c r="AH154" s="9">
        <f t="shared" si="25"/>
        <v>0</v>
      </c>
      <c r="AI154" s="7"/>
      <c r="AJ154" s="9"/>
      <c r="AK154" s="21">
        <f t="shared" si="26"/>
        <v>-1</v>
      </c>
      <c r="AL154" s="21">
        <f t="shared" si="27"/>
        <v>7.9348756505109891E-2</v>
      </c>
      <c r="AM154" s="18" t="e">
        <f t="shared" si="28"/>
        <v>#DIV/0!</v>
      </c>
      <c r="AN154" s="18">
        <f t="shared" si="29"/>
        <v>-1</v>
      </c>
    </row>
    <row r="155" spans="1:40" hidden="1" x14ac:dyDescent="0.3">
      <c r="A155" s="11">
        <v>45810</v>
      </c>
      <c r="B155" s="6">
        <v>30821255</v>
      </c>
      <c r="C155" s="6">
        <v>5262743</v>
      </c>
      <c r="D155" s="7">
        <v>4.4668086561921651E-2</v>
      </c>
      <c r="E155" s="6"/>
      <c r="F155" s="11">
        <v>46174</v>
      </c>
      <c r="G155" s="6">
        <v>6731486.4277621107</v>
      </c>
      <c r="H155" s="6">
        <f t="shared" si="23"/>
        <v>3919033.2350106314</v>
      </c>
      <c r="I155" s="6">
        <f t="shared" si="24"/>
        <v>910716.75691459607</v>
      </c>
      <c r="J155" s="6">
        <v>3591037</v>
      </c>
      <c r="K155" s="6"/>
      <c r="L155" s="6">
        <v>32404.310344827569</v>
      </c>
      <c r="M155" s="6"/>
      <c r="N155" s="6">
        <v>47857</v>
      </c>
      <c r="O155" s="6"/>
      <c r="P155" s="6">
        <v>7967</v>
      </c>
      <c r="Q155" s="6"/>
      <c r="R155" s="6">
        <v>133459</v>
      </c>
      <c r="S155" s="6"/>
      <c r="T155" s="6">
        <v>1113451</v>
      </c>
      <c r="U155" s="6"/>
      <c r="V155" s="6">
        <v>281772</v>
      </c>
      <c r="W155" s="6"/>
      <c r="X155" s="6">
        <v>68092</v>
      </c>
      <c r="Y155" s="6"/>
      <c r="Z155" s="6">
        <v>19108</v>
      </c>
      <c r="AA155" s="6"/>
      <c r="AB155" s="6">
        <v>0</v>
      </c>
      <c r="AC155" s="6"/>
      <c r="AD155" s="6">
        <v>0</v>
      </c>
      <c r="AE155" s="6"/>
      <c r="AF155" s="8">
        <v>3971.9323311580224</v>
      </c>
      <c r="AG155" s="8">
        <v>14664.18353278941</v>
      </c>
      <c r="AH155" s="9">
        <f t="shared" si="25"/>
        <v>0</v>
      </c>
      <c r="AI155" s="7"/>
      <c r="AJ155" s="9"/>
      <c r="AK155" s="21">
        <f t="shared" si="26"/>
        <v>-1</v>
      </c>
      <c r="AL155" s="21">
        <f t="shared" si="27"/>
        <v>0.17075044478234258</v>
      </c>
      <c r="AM155" s="18" t="e">
        <f t="shared" si="28"/>
        <v>#DIV/0!</v>
      </c>
      <c r="AN155" s="18">
        <f t="shared" si="29"/>
        <v>-1</v>
      </c>
    </row>
    <row r="156" spans="1:40" hidden="1" x14ac:dyDescent="0.3">
      <c r="A156" s="11">
        <v>45811</v>
      </c>
      <c r="B156" s="6">
        <v>35412335</v>
      </c>
      <c r="C156" s="6">
        <v>6755995</v>
      </c>
      <c r="D156" s="7">
        <v>5.4710423545039036E-2</v>
      </c>
      <c r="E156" s="6"/>
      <c r="F156" s="11">
        <v>46175</v>
      </c>
      <c r="G156" s="6">
        <v>8244867.9112325776</v>
      </c>
      <c r="H156" s="6">
        <f t="shared" si="23"/>
        <v>4800115.3547798628</v>
      </c>
      <c r="I156" s="6">
        <f t="shared" si="24"/>
        <v>1115465.2758920053</v>
      </c>
      <c r="J156" s="6">
        <v>4671193</v>
      </c>
      <c r="K156" s="6"/>
      <c r="L156" s="6">
        <v>32920.689655172391</v>
      </c>
      <c r="M156" s="6"/>
      <c r="N156" s="6">
        <v>51815</v>
      </c>
      <c r="O156" s="6"/>
      <c r="P156" s="6">
        <v>10260</v>
      </c>
      <c r="Q156" s="6"/>
      <c r="R156" s="6">
        <v>127803</v>
      </c>
      <c r="S156" s="6"/>
      <c r="T156" s="6">
        <v>1389018</v>
      </c>
      <c r="U156" s="6"/>
      <c r="V156" s="6">
        <v>419059</v>
      </c>
      <c r="W156" s="6"/>
      <c r="X156" s="6">
        <v>74233</v>
      </c>
      <c r="Y156" s="6"/>
      <c r="Z156" s="6">
        <v>12614</v>
      </c>
      <c r="AA156" s="6"/>
      <c r="AB156" s="6">
        <v>0</v>
      </c>
      <c r="AC156" s="6"/>
      <c r="AD156" s="6">
        <v>0</v>
      </c>
      <c r="AE156" s="6"/>
      <c r="AF156" s="8">
        <v>4864.907294129257</v>
      </c>
      <c r="AG156" s="8">
        <v>17961.00423753143</v>
      </c>
      <c r="AH156" s="9">
        <f t="shared" si="25"/>
        <v>0</v>
      </c>
      <c r="AI156" s="7"/>
      <c r="AJ156" s="9"/>
      <c r="AK156" s="21">
        <f t="shared" si="26"/>
        <v>-1</v>
      </c>
      <c r="AL156" s="21">
        <f t="shared" si="27"/>
        <v>0.19078083950126418</v>
      </c>
      <c r="AM156" s="18" t="e">
        <f t="shared" si="28"/>
        <v>#DIV/0!</v>
      </c>
      <c r="AN156" s="18">
        <f t="shared" si="29"/>
        <v>-1</v>
      </c>
    </row>
    <row r="157" spans="1:40" hidden="1" x14ac:dyDescent="0.3">
      <c r="A157" s="11">
        <v>45812</v>
      </c>
      <c r="B157" s="6">
        <v>35210999</v>
      </c>
      <c r="C157" s="6">
        <v>4644101</v>
      </c>
      <c r="D157" s="7">
        <v>3.3810562246425896E-2</v>
      </c>
      <c r="E157" s="6"/>
      <c r="F157" s="11">
        <v>46176</v>
      </c>
      <c r="G157" s="6">
        <v>5095256.1077653347</v>
      </c>
      <c r="H157" s="6">
        <f t="shared" si="23"/>
        <v>2966429.2190902918</v>
      </c>
      <c r="I157" s="6">
        <f t="shared" si="24"/>
        <v>689347.76410980849</v>
      </c>
      <c r="J157" s="6">
        <v>3304777</v>
      </c>
      <c r="K157" s="6"/>
      <c r="L157" s="6">
        <v>29785.344827586188</v>
      </c>
      <c r="M157" s="6"/>
      <c r="N157" s="6">
        <v>42044</v>
      </c>
      <c r="O157" s="6"/>
      <c r="P157" s="6">
        <v>4685</v>
      </c>
      <c r="Q157" s="6"/>
      <c r="R157" s="6">
        <v>147345</v>
      </c>
      <c r="S157" s="6"/>
      <c r="T157" s="6">
        <v>792011</v>
      </c>
      <c r="U157" s="6"/>
      <c r="V157" s="6">
        <v>301527</v>
      </c>
      <c r="W157" s="6"/>
      <c r="X157" s="6">
        <v>38002</v>
      </c>
      <c r="Y157" s="6"/>
      <c r="Z157" s="6">
        <v>13710</v>
      </c>
      <c r="AA157" s="6"/>
      <c r="AB157" s="6">
        <v>0</v>
      </c>
      <c r="AC157" s="6"/>
      <c r="AD157" s="6">
        <v>0</v>
      </c>
      <c r="AE157" s="6"/>
      <c r="AF157" s="8">
        <v>3006.4700697453036</v>
      </c>
      <c r="AG157" s="8">
        <v>11099.743201246723</v>
      </c>
      <c r="AH157" s="9">
        <f t="shared" si="25"/>
        <v>0</v>
      </c>
      <c r="AI157" s="7"/>
      <c r="AJ157" s="9"/>
      <c r="AK157" s="21">
        <f t="shared" si="26"/>
        <v>-1</v>
      </c>
      <c r="AL157" s="21">
        <f t="shared" si="27"/>
        <v>0.13189347453618117</v>
      </c>
      <c r="AM157" s="18" t="e">
        <f t="shared" si="28"/>
        <v>#DIV/0!</v>
      </c>
      <c r="AN157" s="18">
        <f t="shared" si="29"/>
        <v>-1</v>
      </c>
    </row>
    <row r="158" spans="1:40" hidden="1" x14ac:dyDescent="0.3">
      <c r="A158" s="11">
        <v>45813</v>
      </c>
      <c r="B158" s="6">
        <v>38609736</v>
      </c>
      <c r="C158" s="6">
        <v>3551292</v>
      </c>
      <c r="D158" s="7">
        <v>3.4779100728011415E-2</v>
      </c>
      <c r="E158" s="6"/>
      <c r="F158" s="11">
        <v>46177</v>
      </c>
      <c r="G158" s="6">
        <v>5241214.9823305169</v>
      </c>
      <c r="H158" s="6">
        <f t="shared" si="23"/>
        <v>3051405.6483684634</v>
      </c>
      <c r="I158" s="6">
        <f t="shared" si="24"/>
        <v>709094.84290338482</v>
      </c>
      <c r="J158" s="6">
        <v>2405203</v>
      </c>
      <c r="K158" s="6"/>
      <c r="L158" s="6">
        <v>24530.172413793087</v>
      </c>
      <c r="M158" s="6"/>
      <c r="N158" s="6">
        <v>28287</v>
      </c>
      <c r="O158" s="6"/>
      <c r="P158" s="6">
        <v>7601</v>
      </c>
      <c r="Q158" s="6"/>
      <c r="R158" s="6">
        <v>173866</v>
      </c>
      <c r="S158" s="6"/>
      <c r="T158" s="6">
        <v>649458</v>
      </c>
      <c r="U158" s="6"/>
      <c r="V158" s="6">
        <v>251407</v>
      </c>
      <c r="W158" s="6"/>
      <c r="X158" s="6">
        <v>22490</v>
      </c>
      <c r="Y158" s="6"/>
      <c r="Z158" s="6">
        <v>12980</v>
      </c>
      <c r="AA158" s="6"/>
      <c r="AB158" s="6">
        <v>0</v>
      </c>
      <c r="AC158" s="6"/>
      <c r="AD158" s="6">
        <v>0</v>
      </c>
      <c r="AE158" s="6"/>
      <c r="AF158" s="8">
        <v>3092.5935105523617</v>
      </c>
      <c r="AG158" s="8">
        <v>11417.706811191159</v>
      </c>
      <c r="AH158" s="9">
        <f t="shared" si="25"/>
        <v>0</v>
      </c>
      <c r="AI158" s="7"/>
      <c r="AJ158" s="9"/>
      <c r="AK158" s="21">
        <f t="shared" si="26"/>
        <v>-1</v>
      </c>
      <c r="AL158" s="21">
        <f t="shared" si="27"/>
        <v>9.197918369605014E-2</v>
      </c>
      <c r="AM158" s="18" t="e">
        <f t="shared" si="28"/>
        <v>#DIV/0!</v>
      </c>
      <c r="AN158" s="18">
        <f t="shared" si="29"/>
        <v>-1</v>
      </c>
    </row>
    <row r="159" spans="1:40" hidden="1" x14ac:dyDescent="0.3">
      <c r="A159" s="11">
        <v>45814</v>
      </c>
      <c r="B159" s="6">
        <v>40369746</v>
      </c>
      <c r="C159" s="6">
        <v>3019087</v>
      </c>
      <c r="D159" s="7">
        <v>2.9472391949051654E-2</v>
      </c>
      <c r="E159" s="6"/>
      <c r="F159" s="11">
        <v>46178</v>
      </c>
      <c r="G159" s="6">
        <v>4441493.282316938</v>
      </c>
      <c r="H159" s="6">
        <f t="shared" si="23"/>
        <v>2585812.2085322691</v>
      </c>
      <c r="I159" s="6">
        <f t="shared" si="24"/>
        <v>600898.83584217401</v>
      </c>
      <c r="J159" s="6">
        <v>2001508</v>
      </c>
      <c r="K159" s="6"/>
      <c r="L159" s="6">
        <v>24459.482758620674</v>
      </c>
      <c r="M159" s="6"/>
      <c r="N159" s="6">
        <v>72867</v>
      </c>
      <c r="O159" s="6"/>
      <c r="P159" s="6">
        <v>5878</v>
      </c>
      <c r="Q159" s="6"/>
      <c r="R159" s="6">
        <v>128752</v>
      </c>
      <c r="S159" s="6"/>
      <c r="T159" s="6">
        <v>599700</v>
      </c>
      <c r="U159" s="6"/>
      <c r="V159" s="6">
        <v>181701</v>
      </c>
      <c r="W159" s="6"/>
      <c r="X159" s="6">
        <v>19333</v>
      </c>
      <c r="Y159" s="6"/>
      <c r="Z159" s="6">
        <v>9348</v>
      </c>
      <c r="AA159" s="6"/>
      <c r="AB159" s="6">
        <v>0</v>
      </c>
      <c r="AC159" s="6"/>
      <c r="AD159" s="6">
        <v>0</v>
      </c>
      <c r="AE159" s="6"/>
      <c r="AF159" s="8">
        <v>2620.715492183007</v>
      </c>
      <c r="AG159" s="8">
        <v>9675.5558152703052</v>
      </c>
      <c r="AH159" s="9">
        <f t="shared" si="25"/>
        <v>0</v>
      </c>
      <c r="AI159" s="7"/>
      <c r="AJ159" s="9"/>
      <c r="AK159" s="21">
        <f t="shared" si="26"/>
        <v>-1</v>
      </c>
      <c r="AL159" s="21">
        <f t="shared" si="27"/>
        <v>7.4785880495755408E-2</v>
      </c>
      <c r="AM159" s="18" t="e">
        <f t="shared" si="28"/>
        <v>#DIV/0!</v>
      </c>
      <c r="AN159" s="18">
        <f t="shared" si="29"/>
        <v>-1</v>
      </c>
    </row>
    <row r="160" spans="1:40" hidden="1" x14ac:dyDescent="0.3">
      <c r="A160" s="11">
        <v>45815</v>
      </c>
      <c r="B160" s="6">
        <v>50222961</v>
      </c>
      <c r="C160" s="6">
        <v>2641946</v>
      </c>
      <c r="D160" s="7">
        <v>2.4988889594548303E-2</v>
      </c>
      <c r="E160" s="6"/>
      <c r="F160" s="11">
        <v>46179</v>
      </c>
      <c r="G160" s="6">
        <v>3765828.8970440095</v>
      </c>
      <c r="H160" s="6">
        <f t="shared" si="23"/>
        <v>2192444.2340122713</v>
      </c>
      <c r="I160" s="6">
        <f t="shared" si="24"/>
        <v>509486.80013180472</v>
      </c>
      <c r="J160" s="6">
        <v>1812078</v>
      </c>
      <c r="K160" s="6"/>
      <c r="L160" s="6">
        <v>25031.896551724123</v>
      </c>
      <c r="M160" s="6"/>
      <c r="N160" s="6">
        <v>25976</v>
      </c>
      <c r="O160" s="6"/>
      <c r="P160" s="6">
        <v>10248</v>
      </c>
      <c r="Q160" s="6"/>
      <c r="R160" s="6">
        <v>156778</v>
      </c>
      <c r="S160" s="6"/>
      <c r="T160" s="6">
        <v>495806</v>
      </c>
      <c r="U160" s="6"/>
      <c r="V160" s="6">
        <v>116017</v>
      </c>
      <c r="W160" s="6"/>
      <c r="X160" s="6">
        <v>17934</v>
      </c>
      <c r="Y160" s="6"/>
      <c r="Z160" s="6">
        <v>7109</v>
      </c>
      <c r="AA160" s="6"/>
      <c r="AB160" s="6">
        <v>0</v>
      </c>
      <c r="AC160" s="6"/>
      <c r="AD160" s="6">
        <v>0</v>
      </c>
      <c r="AE160" s="6"/>
      <c r="AF160" s="8">
        <v>2222.0378381942205</v>
      </c>
      <c r="AG160" s="8">
        <v>8203.6570513734423</v>
      </c>
      <c r="AH160" s="9">
        <f t="shared" si="25"/>
        <v>0</v>
      </c>
      <c r="AI160" s="7"/>
      <c r="AJ160" s="9"/>
      <c r="AK160" s="21">
        <f t="shared" si="26"/>
        <v>-1</v>
      </c>
      <c r="AL160" s="21">
        <f t="shared" si="27"/>
        <v>5.2604345649791537E-2</v>
      </c>
      <c r="AM160" s="18" t="e">
        <f t="shared" si="28"/>
        <v>#DIV/0!</v>
      </c>
      <c r="AN160" s="18">
        <f t="shared" si="29"/>
        <v>-1</v>
      </c>
    </row>
    <row r="161" spans="1:40" hidden="1" x14ac:dyDescent="0.3">
      <c r="A161" s="11">
        <v>45816</v>
      </c>
      <c r="B161" s="6">
        <v>49920221</v>
      </c>
      <c r="C161" s="6">
        <v>3194912</v>
      </c>
      <c r="D161" s="7">
        <v>2.3482726936272916E-2</v>
      </c>
      <c r="E161" s="6"/>
      <c r="F161" s="11">
        <v>46180</v>
      </c>
      <c r="G161" s="6">
        <v>3538849.9894490317</v>
      </c>
      <c r="H161" s="6">
        <f t="shared" si="23"/>
        <v>2060298.4008360391</v>
      </c>
      <c r="I161" s="6">
        <f t="shared" si="24"/>
        <v>478778.35307018925</v>
      </c>
      <c r="J161" s="6">
        <v>2272542</v>
      </c>
      <c r="K161" s="6"/>
      <c r="L161" s="6">
        <v>25757.758620689638</v>
      </c>
      <c r="M161" s="6"/>
      <c r="N161" s="6">
        <v>21715</v>
      </c>
      <c r="O161" s="6"/>
      <c r="P161" s="6">
        <v>6780</v>
      </c>
      <c r="Q161" s="6"/>
      <c r="R161" s="6">
        <v>85534</v>
      </c>
      <c r="S161" s="6"/>
      <c r="T161" s="6">
        <v>642846</v>
      </c>
      <c r="U161" s="6"/>
      <c r="V161" s="6">
        <v>139716</v>
      </c>
      <c r="W161" s="6"/>
      <c r="X161" s="6">
        <v>16575</v>
      </c>
      <c r="Y161" s="6"/>
      <c r="Z161" s="6">
        <v>9204</v>
      </c>
      <c r="AA161" s="6"/>
      <c r="AB161" s="6">
        <v>0</v>
      </c>
      <c r="AC161" s="6"/>
      <c r="AD161" s="6">
        <v>0</v>
      </c>
      <c r="AE161" s="6"/>
      <c r="AF161" s="8">
        <v>2088.1083010493107</v>
      </c>
      <c r="AG161" s="8">
        <v>7709.1956282147312</v>
      </c>
      <c r="AH161" s="9">
        <f t="shared" si="25"/>
        <v>0</v>
      </c>
      <c r="AI161" s="7"/>
      <c r="AJ161" s="9"/>
      <c r="AK161" s="21">
        <f t="shared" si="26"/>
        <v>-1</v>
      </c>
      <c r="AL161" s="21">
        <f t="shared" si="27"/>
        <v>6.4000357690724166E-2</v>
      </c>
      <c r="AM161" s="18" t="e">
        <f t="shared" si="28"/>
        <v>#DIV/0!</v>
      </c>
      <c r="AN161" s="18">
        <f t="shared" si="29"/>
        <v>-1</v>
      </c>
    </row>
    <row r="162" spans="1:40" hidden="1" x14ac:dyDescent="0.3">
      <c r="A162" s="11">
        <v>45817</v>
      </c>
      <c r="B162" s="6">
        <v>28800124</v>
      </c>
      <c r="C162" s="6">
        <v>4495643</v>
      </c>
      <c r="D162" s="7">
        <v>3.0519722672568295E-2</v>
      </c>
      <c r="E162" s="6"/>
      <c r="F162" s="11">
        <v>46181</v>
      </c>
      <c r="G162" s="6">
        <v>4599326.1579418499</v>
      </c>
      <c r="H162" s="6">
        <f t="shared" si="23"/>
        <v>2677701.6139094057</v>
      </c>
      <c r="I162" s="6">
        <f t="shared" si="24"/>
        <v>622252.37286050688</v>
      </c>
      <c r="J162" s="6">
        <v>3416740</v>
      </c>
      <c r="K162" s="6"/>
      <c r="L162" s="6">
        <v>24238.793103448261</v>
      </c>
      <c r="M162" s="6"/>
      <c r="N162" s="6">
        <v>51991</v>
      </c>
      <c r="O162" s="6"/>
      <c r="P162" s="6">
        <v>11309</v>
      </c>
      <c r="Q162" s="6"/>
      <c r="R162" s="6">
        <v>75866</v>
      </c>
      <c r="S162" s="6"/>
      <c r="T162" s="6">
        <v>757315</v>
      </c>
      <c r="U162" s="6"/>
      <c r="V162" s="6">
        <v>142907</v>
      </c>
      <c r="W162" s="6"/>
      <c r="X162" s="6">
        <v>32343</v>
      </c>
      <c r="Y162" s="6"/>
      <c r="Z162" s="6">
        <v>7172</v>
      </c>
      <c r="AA162" s="6"/>
      <c r="AB162" s="6">
        <v>0</v>
      </c>
      <c r="AC162" s="6"/>
      <c r="AD162" s="6">
        <v>0</v>
      </c>
      <c r="AE162" s="6"/>
      <c r="AF162" s="8">
        <v>2713.8452204149103</v>
      </c>
      <c r="AG162" s="8">
        <v>10019.386302118823</v>
      </c>
      <c r="AH162" s="9">
        <f t="shared" si="25"/>
        <v>0</v>
      </c>
      <c r="AI162" s="7"/>
      <c r="AJ162" s="9"/>
      <c r="AK162" s="21">
        <f t="shared" si="26"/>
        <v>-1</v>
      </c>
      <c r="AL162" s="21">
        <f t="shared" si="27"/>
        <v>0.15609804318898071</v>
      </c>
      <c r="AM162" s="18" t="e">
        <f t="shared" si="28"/>
        <v>#DIV/0!</v>
      </c>
      <c r="AN162" s="18">
        <f t="shared" si="29"/>
        <v>-1</v>
      </c>
    </row>
    <row r="163" spans="1:40" hidden="1" x14ac:dyDescent="0.3">
      <c r="A163" s="11">
        <v>45818</v>
      </c>
      <c r="B163" s="6">
        <v>33842549</v>
      </c>
      <c r="C163" s="6">
        <v>4875835</v>
      </c>
      <c r="D163" s="7">
        <v>4.1138986708084489E-2</v>
      </c>
      <c r="E163" s="6"/>
      <c r="F163" s="11">
        <v>46182</v>
      </c>
      <c r="G163" s="6">
        <v>6199650.6228997298</v>
      </c>
      <c r="H163" s="6">
        <f t="shared" si="23"/>
        <v>3609401.4445893858</v>
      </c>
      <c r="I163" s="6">
        <f t="shared" si="24"/>
        <v>838763.58808434196</v>
      </c>
      <c r="J163" s="6">
        <v>3683319</v>
      </c>
      <c r="K163" s="6"/>
      <c r="L163" s="6">
        <v>22251.724137931022</v>
      </c>
      <c r="M163" s="6"/>
      <c r="N163" s="6">
        <v>65685</v>
      </c>
      <c r="O163" s="6"/>
      <c r="P163" s="6">
        <v>13660</v>
      </c>
      <c r="Q163" s="6"/>
      <c r="R163" s="6">
        <v>88024</v>
      </c>
      <c r="S163" s="6"/>
      <c r="T163" s="6">
        <v>829750</v>
      </c>
      <c r="U163" s="6"/>
      <c r="V163" s="6">
        <v>153054</v>
      </c>
      <c r="W163" s="6"/>
      <c r="X163" s="6">
        <v>32493</v>
      </c>
      <c r="Y163" s="6"/>
      <c r="Z163" s="6">
        <v>9850</v>
      </c>
      <c r="AA163" s="6"/>
      <c r="AB163" s="6">
        <v>0</v>
      </c>
      <c r="AC163" s="6"/>
      <c r="AD163" s="6">
        <v>0</v>
      </c>
      <c r="AE163" s="6"/>
      <c r="AF163" s="8">
        <v>3658.1211319720182</v>
      </c>
      <c r="AG163" s="8">
        <v>13505.607646838542</v>
      </c>
      <c r="AH163" s="9">
        <f t="shared" si="25"/>
        <v>0</v>
      </c>
      <c r="AI163" s="7"/>
      <c r="AJ163" s="9"/>
      <c r="AK163" s="21">
        <f t="shared" si="26"/>
        <v>-1</v>
      </c>
      <c r="AL163" s="21">
        <f t="shared" si="27"/>
        <v>0.14407410623827419</v>
      </c>
      <c r="AM163" s="18" t="e">
        <f t="shared" si="28"/>
        <v>#DIV/0!</v>
      </c>
      <c r="AN163" s="18">
        <f t="shared" si="29"/>
        <v>-1</v>
      </c>
    </row>
    <row r="164" spans="1:40" hidden="1" x14ac:dyDescent="0.3">
      <c r="A164" s="11">
        <v>45819</v>
      </c>
      <c r="B164" s="6">
        <v>38225481</v>
      </c>
      <c r="C164" s="6">
        <v>4441729</v>
      </c>
      <c r="D164" s="7">
        <v>4.1610975548566742E-2</v>
      </c>
      <c r="E164" s="6"/>
      <c r="F164" s="11">
        <v>46183</v>
      </c>
      <c r="G164" s="6">
        <v>6270779.4022656661</v>
      </c>
      <c r="H164" s="6">
        <f t="shared" si="23"/>
        <v>3650812.2166814441</v>
      </c>
      <c r="I164" s="6">
        <f t="shared" si="24"/>
        <v>848386.7481341461</v>
      </c>
      <c r="J164" s="6">
        <v>3146636</v>
      </c>
      <c r="K164" s="6"/>
      <c r="L164" s="6">
        <v>19799.999999999989</v>
      </c>
      <c r="M164" s="6"/>
      <c r="N164" s="6">
        <v>47481</v>
      </c>
      <c r="O164" s="6"/>
      <c r="P164" s="6">
        <v>1700</v>
      </c>
      <c r="Q164" s="6"/>
      <c r="R164" s="6">
        <v>120026</v>
      </c>
      <c r="S164" s="6"/>
      <c r="T164" s="6">
        <v>948224</v>
      </c>
      <c r="U164" s="6"/>
      <c r="V164" s="6">
        <v>139153</v>
      </c>
      <c r="W164" s="6"/>
      <c r="X164" s="6">
        <v>23874</v>
      </c>
      <c r="Y164" s="6"/>
      <c r="Z164" s="6">
        <v>14635</v>
      </c>
      <c r="AA164" s="6"/>
      <c r="AB164" s="6">
        <v>0</v>
      </c>
      <c r="AC164" s="6"/>
      <c r="AD164" s="6">
        <v>0</v>
      </c>
      <c r="AE164" s="6"/>
      <c r="AF164" s="8">
        <v>3700.0908665129955</v>
      </c>
      <c r="AG164" s="8">
        <v>13660.557892416344</v>
      </c>
      <c r="AH164" s="9">
        <f t="shared" si="25"/>
        <v>0</v>
      </c>
      <c r="AI164" s="7"/>
      <c r="AJ164" s="9"/>
      <c r="AK164" s="21">
        <f t="shared" si="26"/>
        <v>-1</v>
      </c>
      <c r="AL164" s="21">
        <f t="shared" si="27"/>
        <v>0.11619811925976811</v>
      </c>
      <c r="AM164" s="18" t="e">
        <f t="shared" si="28"/>
        <v>#DIV/0!</v>
      </c>
      <c r="AN164" s="18">
        <f t="shared" si="29"/>
        <v>-1</v>
      </c>
    </row>
    <row r="165" spans="1:40" hidden="1" x14ac:dyDescent="0.3">
      <c r="A165" s="11">
        <v>45820</v>
      </c>
      <c r="B165" s="6">
        <v>44572329</v>
      </c>
      <c r="C165" s="6">
        <v>3841261</v>
      </c>
      <c r="D165" s="7">
        <v>3.8713118109169671E-2</v>
      </c>
      <c r="E165" s="6"/>
      <c r="F165" s="11">
        <v>46184</v>
      </c>
      <c r="G165" s="6">
        <v>5834071.9109821701</v>
      </c>
      <c r="H165" s="6">
        <f t="shared" si="23"/>
        <v>3396563.5911089913</v>
      </c>
      <c r="I165" s="6">
        <f t="shared" si="24"/>
        <v>789303.68610170344</v>
      </c>
      <c r="J165" s="6">
        <v>2555955</v>
      </c>
      <c r="K165" s="6"/>
      <c r="L165" s="6">
        <v>25116.379310344812</v>
      </c>
      <c r="M165" s="6"/>
      <c r="N165" s="6">
        <v>47507</v>
      </c>
      <c r="O165" s="6"/>
      <c r="P165" s="6">
        <v>12578</v>
      </c>
      <c r="Q165" s="6"/>
      <c r="R165" s="6">
        <v>112328</v>
      </c>
      <c r="S165" s="6"/>
      <c r="T165" s="6">
        <v>947866</v>
      </c>
      <c r="U165" s="6"/>
      <c r="V165" s="6">
        <v>131048</v>
      </c>
      <c r="W165" s="6"/>
      <c r="X165" s="6">
        <v>20426</v>
      </c>
      <c r="Y165" s="6"/>
      <c r="Z165" s="6">
        <v>13553</v>
      </c>
      <c r="AA165" s="6"/>
      <c r="AB165" s="6">
        <v>0</v>
      </c>
      <c r="AC165" s="6"/>
      <c r="AD165" s="6">
        <v>0</v>
      </c>
      <c r="AE165" s="6"/>
      <c r="AF165" s="8">
        <v>3442.4103939305842</v>
      </c>
      <c r="AG165" s="8">
        <v>12709.213955078238</v>
      </c>
      <c r="AH165" s="9">
        <f t="shared" si="25"/>
        <v>0</v>
      </c>
      <c r="AI165" s="7"/>
      <c r="AJ165" s="9"/>
      <c r="AK165" s="21">
        <f t="shared" si="26"/>
        <v>-1</v>
      </c>
      <c r="AL165" s="21">
        <f t="shared" si="27"/>
        <v>8.6180396810765711E-2</v>
      </c>
      <c r="AM165" s="18" t="e">
        <f t="shared" si="28"/>
        <v>#DIV/0!</v>
      </c>
      <c r="AN165" s="18">
        <f t="shared" si="29"/>
        <v>-1</v>
      </c>
    </row>
    <row r="166" spans="1:40" hidden="1" x14ac:dyDescent="0.3">
      <c r="A166" s="11">
        <v>45821</v>
      </c>
      <c r="B166" s="6">
        <v>48087656</v>
      </c>
      <c r="C166" s="6">
        <v>2766518</v>
      </c>
      <c r="D166" s="7">
        <v>2.8910421435831272E-2</v>
      </c>
      <c r="E166" s="6"/>
      <c r="F166" s="11">
        <v>46185</v>
      </c>
      <c r="G166" s="6">
        <v>4356804.2532200366</v>
      </c>
      <c r="H166" s="6">
        <f t="shared" si="23"/>
        <v>2536506.735924805</v>
      </c>
      <c r="I166" s="6">
        <f t="shared" si="24"/>
        <v>589441.08148835332</v>
      </c>
      <c r="J166" s="6">
        <v>1667347</v>
      </c>
      <c r="K166" s="6"/>
      <c r="L166" s="6">
        <v>28341.379310344812</v>
      </c>
      <c r="M166" s="6"/>
      <c r="N166" s="6">
        <v>42888</v>
      </c>
      <c r="O166" s="6"/>
      <c r="P166" s="6">
        <v>9320</v>
      </c>
      <c r="Q166" s="6"/>
      <c r="R166" s="6">
        <v>114759</v>
      </c>
      <c r="S166" s="6"/>
      <c r="T166" s="6">
        <v>766146</v>
      </c>
      <c r="U166" s="6"/>
      <c r="V166" s="6">
        <v>144596</v>
      </c>
      <c r="W166" s="6"/>
      <c r="X166" s="6">
        <v>10631</v>
      </c>
      <c r="Y166" s="6"/>
      <c r="Z166" s="6">
        <v>10831</v>
      </c>
      <c r="AA166" s="6"/>
      <c r="AB166" s="6">
        <v>0</v>
      </c>
      <c r="AC166" s="6"/>
      <c r="AD166" s="6">
        <v>0</v>
      </c>
      <c r="AE166" s="6"/>
      <c r="AF166" s="8">
        <v>2570.7444944881941</v>
      </c>
      <c r="AG166" s="8">
        <v>9491.0652901510894</v>
      </c>
      <c r="AH166" s="9">
        <f t="shared" si="25"/>
        <v>0</v>
      </c>
      <c r="AI166" s="7"/>
      <c r="AJ166" s="9"/>
      <c r="AK166" s="21">
        <f t="shared" si="26"/>
        <v>-1</v>
      </c>
      <c r="AL166" s="21">
        <f t="shared" si="27"/>
        <v>5.7530730963472207E-2</v>
      </c>
      <c r="AM166" s="18" t="e">
        <f t="shared" si="28"/>
        <v>#DIV/0!</v>
      </c>
      <c r="AN166" s="18">
        <f t="shared" si="29"/>
        <v>-1</v>
      </c>
    </row>
    <row r="167" spans="1:40" hidden="1" x14ac:dyDescent="0.3">
      <c r="A167" s="11">
        <v>45822</v>
      </c>
      <c r="B167" s="6">
        <v>63504580</v>
      </c>
      <c r="C167" s="6">
        <v>2432658</v>
      </c>
      <c r="D167" s="7">
        <v>2.2074574367339533E-2</v>
      </c>
      <c r="E167" s="6"/>
      <c r="F167" s="11">
        <v>46186</v>
      </c>
      <c r="G167" s="6">
        <v>3326641.2150066099</v>
      </c>
      <c r="H167" s="6">
        <f t="shared" si="23"/>
        <v>1936751.6554439948</v>
      </c>
      <c r="I167" s="6">
        <f t="shared" si="24"/>
        <v>450068.18794945622</v>
      </c>
      <c r="J167" s="6">
        <v>1488514</v>
      </c>
      <c r="K167" s="6"/>
      <c r="L167" s="6">
        <v>33468.10344827584</v>
      </c>
      <c r="M167" s="6"/>
      <c r="N167" s="6">
        <v>14384</v>
      </c>
      <c r="O167" s="6"/>
      <c r="P167" s="6">
        <v>6930</v>
      </c>
      <c r="Q167" s="6"/>
      <c r="R167" s="6">
        <v>78828</v>
      </c>
      <c r="S167" s="6"/>
      <c r="T167" s="6">
        <v>672212</v>
      </c>
      <c r="U167" s="6"/>
      <c r="V167" s="6">
        <v>147847</v>
      </c>
      <c r="W167" s="6"/>
      <c r="X167" s="6">
        <v>11663</v>
      </c>
      <c r="Y167" s="6"/>
      <c r="Z167" s="6">
        <v>12280</v>
      </c>
      <c r="AA167" s="6"/>
      <c r="AB167" s="6">
        <v>0</v>
      </c>
      <c r="AC167" s="6"/>
      <c r="AD167" s="6">
        <v>0</v>
      </c>
      <c r="AE167" s="6"/>
      <c r="AF167" s="8">
        <v>1962.8939221437752</v>
      </c>
      <c r="AG167" s="8">
        <v>7246.9101509896773</v>
      </c>
      <c r="AH167" s="9">
        <f t="shared" si="25"/>
        <v>0</v>
      </c>
      <c r="AI167" s="7"/>
      <c r="AJ167" s="9"/>
      <c r="AK167" s="21">
        <f t="shared" si="26"/>
        <v>-1</v>
      </c>
      <c r="AL167" s="21">
        <f t="shared" si="27"/>
        <v>3.8306811886638731E-2</v>
      </c>
      <c r="AM167" s="18" t="e">
        <f t="shared" si="28"/>
        <v>#DIV/0!</v>
      </c>
      <c r="AN167" s="18">
        <f t="shared" si="29"/>
        <v>-1</v>
      </c>
    </row>
    <row r="168" spans="1:40" hidden="1" x14ac:dyDescent="0.3">
      <c r="A168" s="11">
        <v>45823</v>
      </c>
      <c r="B168" s="6">
        <v>45983368</v>
      </c>
      <c r="C168" s="6">
        <v>2713541</v>
      </c>
      <c r="D168" s="7">
        <v>1.9794345534900986E-2</v>
      </c>
      <c r="E168" s="6"/>
      <c r="F168" s="11">
        <v>46187</v>
      </c>
      <c r="G168" s="6">
        <v>2983010.4347520373</v>
      </c>
      <c r="H168" s="6">
        <f t="shared" si="23"/>
        <v>1736691.763347025</v>
      </c>
      <c r="I168" s="6">
        <f t="shared" si="24"/>
        <v>403577.66715173138</v>
      </c>
      <c r="J168" s="6">
        <v>1664679</v>
      </c>
      <c r="K168" s="6"/>
      <c r="L168" s="6">
        <v>25457.758620689638</v>
      </c>
      <c r="M168" s="6"/>
      <c r="N168" s="6">
        <v>15670</v>
      </c>
      <c r="O168" s="6"/>
      <c r="P168" s="6">
        <v>5332</v>
      </c>
      <c r="Q168" s="6"/>
      <c r="R168" s="6">
        <v>91206</v>
      </c>
      <c r="S168" s="6"/>
      <c r="T168" s="6">
        <v>746589</v>
      </c>
      <c r="U168" s="6"/>
      <c r="V168" s="6">
        <v>161202</v>
      </c>
      <c r="W168" s="6"/>
      <c r="X168" s="6">
        <v>18560</v>
      </c>
      <c r="Y168" s="6"/>
      <c r="Z168" s="6">
        <v>10303</v>
      </c>
      <c r="AA168" s="6"/>
      <c r="AB168" s="6">
        <v>0</v>
      </c>
      <c r="AC168" s="6"/>
      <c r="AD168" s="6">
        <v>0</v>
      </c>
      <c r="AE168" s="6"/>
      <c r="AF168" s="8">
        <v>1760.1336223613764</v>
      </c>
      <c r="AG168" s="8">
        <v>6498.3288557223377</v>
      </c>
      <c r="AH168" s="9">
        <f t="shared" si="25"/>
        <v>0</v>
      </c>
      <c r="AI168" s="7"/>
      <c r="AJ168" s="9"/>
      <c r="AK168" s="21">
        <f t="shared" si="26"/>
        <v>-1</v>
      </c>
      <c r="AL168" s="21">
        <f t="shared" si="27"/>
        <v>5.9011358193684291E-2</v>
      </c>
      <c r="AM168" s="18" t="e">
        <f t="shared" si="28"/>
        <v>#DIV/0!</v>
      </c>
      <c r="AN168" s="18">
        <f t="shared" si="29"/>
        <v>-1</v>
      </c>
    </row>
    <row r="169" spans="1:40" hidden="1" x14ac:dyDescent="0.3">
      <c r="A169" s="11">
        <v>45824</v>
      </c>
      <c r="B169" s="6">
        <v>24589018</v>
      </c>
      <c r="C169" s="6">
        <v>3899283</v>
      </c>
      <c r="D169" s="7">
        <v>2.2749642052439581E-2</v>
      </c>
      <c r="E169" s="6"/>
      <c r="F169" s="11">
        <v>46188</v>
      </c>
      <c r="G169" s="6">
        <v>3428374.0025477167</v>
      </c>
      <c r="H169" s="6">
        <f t="shared" si="23"/>
        <v>1995979.9075904409</v>
      </c>
      <c r="I169" s="6">
        <f t="shared" si="24"/>
        <v>463831.82772435213</v>
      </c>
      <c r="J169" s="6">
        <v>2846654</v>
      </c>
      <c r="K169" s="6"/>
      <c r="L169" s="6">
        <v>25462.068965517225</v>
      </c>
      <c r="M169" s="6"/>
      <c r="N169" s="6">
        <v>27617</v>
      </c>
      <c r="O169" s="6"/>
      <c r="P169" s="6">
        <v>9575</v>
      </c>
      <c r="Q169" s="6"/>
      <c r="R169" s="6">
        <v>85369</v>
      </c>
      <c r="S169" s="6"/>
      <c r="T169" s="6">
        <v>742785</v>
      </c>
      <c r="U169" s="6"/>
      <c r="V169" s="6">
        <v>138760</v>
      </c>
      <c r="W169" s="6"/>
      <c r="X169" s="6">
        <v>37149</v>
      </c>
      <c r="Y169" s="6"/>
      <c r="Z169" s="6">
        <v>11374</v>
      </c>
      <c r="AA169" s="6"/>
      <c r="AB169" s="6">
        <v>0</v>
      </c>
      <c r="AC169" s="6"/>
      <c r="AD169" s="6">
        <v>0</v>
      </c>
      <c r="AE169" s="6"/>
      <c r="AF169" s="8">
        <v>2022.9216370191787</v>
      </c>
      <c r="AG169" s="8">
        <v>7468.529593265077</v>
      </c>
      <c r="AH169" s="9">
        <f t="shared" si="25"/>
        <v>0</v>
      </c>
      <c r="AI169" s="7"/>
      <c r="AJ169" s="9"/>
      <c r="AK169" s="21">
        <f t="shared" si="26"/>
        <v>-1</v>
      </c>
      <c r="AL169" s="21">
        <f t="shared" si="27"/>
        <v>0.15857823195704684</v>
      </c>
      <c r="AM169" s="18" t="e">
        <f t="shared" si="28"/>
        <v>#DIV/0!</v>
      </c>
      <c r="AN169" s="18">
        <f t="shared" si="29"/>
        <v>-1</v>
      </c>
    </row>
    <row r="170" spans="1:40" hidden="1" x14ac:dyDescent="0.3">
      <c r="A170" s="11">
        <v>45825</v>
      </c>
      <c r="B170" s="6">
        <v>30070009</v>
      </c>
      <c r="C170" s="6">
        <v>4479648</v>
      </c>
      <c r="D170" s="7">
        <v>3.5026499043149785E-2</v>
      </c>
      <c r="E170" s="6"/>
      <c r="F170" s="11">
        <v>46189</v>
      </c>
      <c r="G170" s="6">
        <v>5278497.9404508863</v>
      </c>
      <c r="H170" s="6">
        <f t="shared" si="23"/>
        <v>3073111.5752155613</v>
      </c>
      <c r="I170" s="6">
        <f t="shared" si="24"/>
        <v>714138.93161572784</v>
      </c>
      <c r="J170" s="6">
        <v>3368273</v>
      </c>
      <c r="K170" s="6"/>
      <c r="L170" s="6">
        <v>37267.241379310319</v>
      </c>
      <c r="M170" s="6"/>
      <c r="N170" s="6">
        <v>45603</v>
      </c>
      <c r="O170" s="6"/>
      <c r="P170" s="6">
        <v>6054</v>
      </c>
      <c r="Q170" s="6"/>
      <c r="R170" s="6">
        <v>78737</v>
      </c>
      <c r="S170" s="6"/>
      <c r="T170" s="6">
        <v>770093</v>
      </c>
      <c r="U170" s="6"/>
      <c r="V170" s="6">
        <v>153147</v>
      </c>
      <c r="W170" s="6"/>
      <c r="X170" s="6">
        <v>41755</v>
      </c>
      <c r="Y170" s="6"/>
      <c r="Z170" s="6">
        <v>15986</v>
      </c>
      <c r="AA170" s="6"/>
      <c r="AB170" s="6">
        <v>0</v>
      </c>
      <c r="AC170" s="6"/>
      <c r="AD170" s="6">
        <v>0</v>
      </c>
      <c r="AE170" s="6"/>
      <c r="AF170" s="8">
        <v>3114.5924239199603</v>
      </c>
      <c r="AG170" s="8">
        <v>11498.925743501204</v>
      </c>
      <c r="AH170" s="9">
        <f t="shared" si="25"/>
        <v>0</v>
      </c>
      <c r="AI170" s="7"/>
      <c r="AJ170" s="9"/>
      <c r="AK170" s="21">
        <f t="shared" si="26"/>
        <v>-1</v>
      </c>
      <c r="AL170" s="21">
        <f t="shared" si="27"/>
        <v>0.14897394942582159</v>
      </c>
      <c r="AM170" s="18" t="e">
        <f t="shared" si="28"/>
        <v>#DIV/0!</v>
      </c>
      <c r="AN170" s="18">
        <f t="shared" si="29"/>
        <v>-1</v>
      </c>
    </row>
    <row r="171" spans="1:40" hidden="1" x14ac:dyDescent="0.3">
      <c r="A171" s="11">
        <v>45826</v>
      </c>
      <c r="B171" s="6">
        <v>33373402</v>
      </c>
      <c r="C171" s="6">
        <v>4024442</v>
      </c>
      <c r="D171" s="7">
        <v>3.7764235727701538E-2</v>
      </c>
      <c r="E171" s="6"/>
      <c r="F171" s="11">
        <v>46190</v>
      </c>
      <c r="G171" s="6">
        <v>5691075.2132494226</v>
      </c>
      <c r="H171" s="6">
        <f t="shared" si="23"/>
        <v>3313311.724389011</v>
      </c>
      <c r="I171" s="6">
        <f t="shared" si="24"/>
        <v>769957.36635402183</v>
      </c>
      <c r="J171" s="6">
        <v>3013055</v>
      </c>
      <c r="K171" s="6"/>
      <c r="L171" s="6">
        <v>40300.862068965493</v>
      </c>
      <c r="M171" s="6"/>
      <c r="N171" s="6">
        <v>43913</v>
      </c>
      <c r="O171" s="6"/>
      <c r="P171" s="6">
        <v>7553</v>
      </c>
      <c r="Q171" s="6"/>
      <c r="R171" s="6">
        <v>114170</v>
      </c>
      <c r="S171" s="6"/>
      <c r="T171" s="6">
        <v>667867</v>
      </c>
      <c r="U171" s="6"/>
      <c r="V171" s="6">
        <v>125568</v>
      </c>
      <c r="W171" s="6"/>
      <c r="X171" s="6">
        <v>34974</v>
      </c>
      <c r="Y171" s="6"/>
      <c r="Z171" s="6">
        <v>17342</v>
      </c>
      <c r="AA171" s="6"/>
      <c r="AB171" s="6">
        <v>0</v>
      </c>
      <c r="AC171" s="6"/>
      <c r="AD171" s="6">
        <v>0</v>
      </c>
      <c r="AE171" s="6"/>
      <c r="AF171" s="8">
        <v>3358.0347938207651</v>
      </c>
      <c r="AG171" s="8">
        <v>12397.703289099974</v>
      </c>
      <c r="AH171" s="9">
        <f t="shared" si="25"/>
        <v>0</v>
      </c>
      <c r="AI171" s="7"/>
      <c r="AJ171" s="9"/>
      <c r="AK171" s="21">
        <f t="shared" si="26"/>
        <v>-1</v>
      </c>
      <c r="AL171" s="21">
        <f t="shared" si="27"/>
        <v>0.1205883056213448</v>
      </c>
      <c r="AM171" s="18" t="e">
        <f t="shared" si="28"/>
        <v>#DIV/0!</v>
      </c>
      <c r="AN171" s="18">
        <f t="shared" si="29"/>
        <v>-1</v>
      </c>
    </row>
    <row r="172" spans="1:40" hidden="1" x14ac:dyDescent="0.3">
      <c r="A172" s="11">
        <v>45827</v>
      </c>
      <c r="B172" s="6">
        <v>36317478</v>
      </c>
      <c r="C172" s="6">
        <v>3427475</v>
      </c>
      <c r="D172" s="7">
        <v>3.5886052468677002E-2</v>
      </c>
      <c r="E172" s="6"/>
      <c r="F172" s="11">
        <v>46191</v>
      </c>
      <c r="G172" s="6">
        <v>5408032.7529585119</v>
      </c>
      <c r="H172" s="6">
        <f t="shared" si="23"/>
        <v>3148526.0086777741</v>
      </c>
      <c r="I172" s="6">
        <f t="shared" si="24"/>
        <v>731663.96499735257</v>
      </c>
      <c r="J172" s="6">
        <v>2710805</v>
      </c>
      <c r="K172" s="6"/>
      <c r="L172" s="6">
        <v>40587.931034482739</v>
      </c>
      <c r="M172" s="6"/>
      <c r="N172" s="6">
        <v>31678</v>
      </c>
      <c r="O172" s="6"/>
      <c r="P172" s="6">
        <v>8489</v>
      </c>
      <c r="Q172" s="6"/>
      <c r="R172" s="6">
        <v>61076</v>
      </c>
      <c r="S172" s="6"/>
      <c r="T172" s="6">
        <v>455015</v>
      </c>
      <c r="U172" s="6"/>
      <c r="V172" s="6">
        <v>126044</v>
      </c>
      <c r="W172" s="6"/>
      <c r="X172" s="6">
        <v>24483</v>
      </c>
      <c r="Y172" s="6"/>
      <c r="Z172" s="6">
        <v>9885</v>
      </c>
      <c r="AA172" s="6"/>
      <c r="AB172" s="6">
        <v>0</v>
      </c>
      <c r="AC172" s="6"/>
      <c r="AD172" s="6">
        <v>0</v>
      </c>
      <c r="AE172" s="6"/>
      <c r="AF172" s="8">
        <v>3191.0248011268145</v>
      </c>
      <c r="AG172" s="8">
        <v>11781.110411758613</v>
      </c>
      <c r="AH172" s="9">
        <f t="shared" si="25"/>
        <v>0</v>
      </c>
      <c r="AI172" s="7"/>
      <c r="AJ172" s="9"/>
      <c r="AK172" s="21">
        <f t="shared" si="26"/>
        <v>-1</v>
      </c>
      <c r="AL172" s="21">
        <f t="shared" si="27"/>
        <v>9.437535833297675E-2</v>
      </c>
      <c r="AM172" s="18" t="e">
        <f t="shared" si="28"/>
        <v>#DIV/0!</v>
      </c>
      <c r="AN172" s="18">
        <f t="shared" si="29"/>
        <v>-1</v>
      </c>
    </row>
    <row r="173" spans="1:40" hidden="1" x14ac:dyDescent="0.3">
      <c r="A173" s="11">
        <v>45828</v>
      </c>
      <c r="B173" s="6">
        <v>38092110</v>
      </c>
      <c r="C173" s="6">
        <v>3266693</v>
      </c>
      <c r="D173" s="7">
        <v>3.1471187947647791E-2</v>
      </c>
      <c r="E173" s="6"/>
      <c r="F173" s="11">
        <v>46192</v>
      </c>
      <c r="G173" s="6">
        <v>4742712.0980762197</v>
      </c>
      <c r="H173" s="6">
        <f t="shared" si="23"/>
        <v>2761180.0953488545</v>
      </c>
      <c r="I173" s="6">
        <f t="shared" si="24"/>
        <v>641651.35401981929</v>
      </c>
      <c r="J173" s="6">
        <v>2155416</v>
      </c>
      <c r="K173" s="6"/>
      <c r="L173" s="6">
        <v>37026.724137931029</v>
      </c>
      <c r="M173" s="6"/>
      <c r="N173" s="6">
        <v>33900</v>
      </c>
      <c r="O173" s="6"/>
      <c r="P173" s="6">
        <v>3527</v>
      </c>
      <c r="Q173" s="6"/>
      <c r="R173" s="6">
        <v>110621</v>
      </c>
      <c r="S173" s="6"/>
      <c r="T173" s="6">
        <v>822254</v>
      </c>
      <c r="U173" s="6"/>
      <c r="V173" s="6">
        <v>98107</v>
      </c>
      <c r="W173" s="6"/>
      <c r="X173" s="6">
        <v>33075</v>
      </c>
      <c r="Y173" s="6"/>
      <c r="Z173" s="6">
        <v>9793</v>
      </c>
      <c r="AA173" s="6"/>
      <c r="AB173" s="6">
        <v>0</v>
      </c>
      <c r="AC173" s="6"/>
      <c r="AD173" s="6">
        <v>0</v>
      </c>
      <c r="AE173" s="6"/>
      <c r="AF173" s="8">
        <v>2798.4504940888451</v>
      </c>
      <c r="AG173" s="8">
        <v>10331.744911872564</v>
      </c>
      <c r="AH173" s="9">
        <f t="shared" si="25"/>
        <v>0</v>
      </c>
      <c r="AI173" s="7"/>
      <c r="AJ173" s="9"/>
      <c r="AK173" s="21">
        <f t="shared" si="26"/>
        <v>-1</v>
      </c>
      <c r="AL173" s="21">
        <f t="shared" si="27"/>
        <v>8.5757733031853578E-2</v>
      </c>
      <c r="AM173" s="18" t="e">
        <f t="shared" si="28"/>
        <v>#DIV/0!</v>
      </c>
      <c r="AN173" s="18">
        <f t="shared" si="29"/>
        <v>-1</v>
      </c>
    </row>
    <row r="174" spans="1:40" hidden="1" x14ac:dyDescent="0.3">
      <c r="A174" s="11">
        <v>45829</v>
      </c>
      <c r="B174" s="6">
        <v>50963433</v>
      </c>
      <c r="C174" s="6">
        <v>2861501</v>
      </c>
      <c r="D174" s="7">
        <v>2.8085611192959208E-2</v>
      </c>
      <c r="E174" s="6"/>
      <c r="F174" s="11">
        <v>46193</v>
      </c>
      <c r="G174" s="6">
        <v>4232505.2428365117</v>
      </c>
      <c r="H174" s="6">
        <f t="shared" si="23"/>
        <v>2464140.5567755867</v>
      </c>
      <c r="I174" s="6">
        <f t="shared" si="24"/>
        <v>572624.41063281812</v>
      </c>
      <c r="J174" s="6">
        <v>2319435</v>
      </c>
      <c r="K174" s="6"/>
      <c r="L174" s="6">
        <v>39113.793103448261</v>
      </c>
      <c r="M174" s="6"/>
      <c r="N174" s="6">
        <v>21973</v>
      </c>
      <c r="O174" s="6"/>
      <c r="P174" s="6">
        <v>5556</v>
      </c>
      <c r="Q174" s="6"/>
      <c r="R174" s="6">
        <v>84521</v>
      </c>
      <c r="S174" s="6"/>
      <c r="T174" s="6">
        <v>311488</v>
      </c>
      <c r="U174" s="6"/>
      <c r="V174" s="6">
        <v>82471</v>
      </c>
      <c r="W174" s="6"/>
      <c r="X174" s="6">
        <v>25122</v>
      </c>
      <c r="Y174" s="6"/>
      <c r="Z174" s="6">
        <v>10935</v>
      </c>
      <c r="AA174" s="6"/>
      <c r="AB174" s="6">
        <v>0</v>
      </c>
      <c r="AC174" s="6"/>
      <c r="AD174" s="6">
        <v>0</v>
      </c>
      <c r="AE174" s="6"/>
      <c r="AF174" s="8">
        <v>2497.4015169198055</v>
      </c>
      <c r="AG174" s="8">
        <v>9220.2865370824202</v>
      </c>
      <c r="AH174" s="9">
        <f t="shared" si="25"/>
        <v>0</v>
      </c>
      <c r="AI174" s="7"/>
      <c r="AJ174" s="9"/>
      <c r="AK174" s="21">
        <f t="shared" si="26"/>
        <v>-1</v>
      </c>
      <c r="AL174" s="21">
        <f t="shared" si="27"/>
        <v>5.6148120947817626E-2</v>
      </c>
      <c r="AM174" s="18" t="e">
        <f t="shared" si="28"/>
        <v>#DIV/0!</v>
      </c>
      <c r="AN174" s="18">
        <f t="shared" si="29"/>
        <v>-1</v>
      </c>
    </row>
    <row r="175" spans="1:40" hidden="1" x14ac:dyDescent="0.3">
      <c r="A175" s="11">
        <v>45830</v>
      </c>
      <c r="B175" s="6">
        <v>48992029</v>
      </c>
      <c r="C175" s="6">
        <v>3297903</v>
      </c>
      <c r="D175" s="7">
        <v>2.9283411787250409E-2</v>
      </c>
      <c r="E175" s="6"/>
      <c r="F175" s="11">
        <v>46194</v>
      </c>
      <c r="G175" s="6">
        <v>4413013.9474674845</v>
      </c>
      <c r="H175" s="6">
        <f t="shared" si="23"/>
        <v>2569231.7012425722</v>
      </c>
      <c r="I175" s="6">
        <f t="shared" si="24"/>
        <v>597045.807576944</v>
      </c>
      <c r="J175" s="6">
        <v>2913089</v>
      </c>
      <c r="K175" s="6"/>
      <c r="L175" s="6">
        <v>49765.517241379282</v>
      </c>
      <c r="M175" s="6"/>
      <c r="N175" s="6">
        <v>3999</v>
      </c>
      <c r="O175" s="6"/>
      <c r="P175" s="6">
        <v>5169</v>
      </c>
      <c r="Q175" s="6"/>
      <c r="R175" s="6">
        <v>91234</v>
      </c>
      <c r="S175" s="6"/>
      <c r="T175" s="6">
        <v>100157</v>
      </c>
      <c r="U175" s="6"/>
      <c r="V175" s="6">
        <v>134523</v>
      </c>
      <c r="W175" s="6"/>
      <c r="X175" s="6">
        <v>40627</v>
      </c>
      <c r="Y175" s="6"/>
      <c r="Z175" s="6">
        <v>9105</v>
      </c>
      <c r="AA175" s="6"/>
      <c r="AB175" s="6">
        <v>0</v>
      </c>
      <c r="AC175" s="6"/>
      <c r="AD175" s="6">
        <v>0</v>
      </c>
      <c r="AE175" s="6"/>
      <c r="AF175" s="8">
        <v>2603.9111812670858</v>
      </c>
      <c r="AG175" s="8">
        <v>9613.5151058956617</v>
      </c>
      <c r="AH175" s="9">
        <f t="shared" si="25"/>
        <v>0</v>
      </c>
      <c r="AI175" s="7"/>
      <c r="AJ175" s="9"/>
      <c r="AK175" s="21">
        <f t="shared" si="26"/>
        <v>-1</v>
      </c>
      <c r="AL175" s="21">
        <f t="shared" si="27"/>
        <v>6.7315093236901866E-2</v>
      </c>
      <c r="AM175" s="18" t="e">
        <f t="shared" si="28"/>
        <v>#DIV/0!</v>
      </c>
      <c r="AN175" s="18">
        <f t="shared" si="29"/>
        <v>-1</v>
      </c>
    </row>
    <row r="176" spans="1:40" hidden="1" x14ac:dyDescent="0.3">
      <c r="A176" s="11">
        <v>45831</v>
      </c>
      <c r="B176" s="6">
        <v>31644110</v>
      </c>
      <c r="C176" s="6">
        <v>5240081</v>
      </c>
      <c r="D176" s="7">
        <v>3.9783937312855053E-2</v>
      </c>
      <c r="E176" s="6"/>
      <c r="F176" s="11">
        <v>46195</v>
      </c>
      <c r="G176" s="6">
        <v>5995444.5036094077</v>
      </c>
      <c r="H176" s="6">
        <f t="shared" si="23"/>
        <v>3490513.7996569462</v>
      </c>
      <c r="I176" s="6">
        <f t="shared" si="24"/>
        <v>811136.11877307657</v>
      </c>
      <c r="J176" s="6">
        <v>3567197</v>
      </c>
      <c r="K176" s="6"/>
      <c r="L176" s="6">
        <v>48518.10344827584</v>
      </c>
      <c r="M176" s="6"/>
      <c r="N176" s="6">
        <v>41503</v>
      </c>
      <c r="O176" s="6"/>
      <c r="P176" s="6">
        <v>11366</v>
      </c>
      <c r="Q176" s="6"/>
      <c r="R176" s="6">
        <v>144879</v>
      </c>
      <c r="S176" s="6"/>
      <c r="T176" s="6">
        <v>1270698</v>
      </c>
      <c r="U176" s="6"/>
      <c r="V176" s="6">
        <v>117470</v>
      </c>
      <c r="W176" s="6"/>
      <c r="X176" s="6">
        <v>71619</v>
      </c>
      <c r="Y176" s="6"/>
      <c r="Z176" s="6">
        <v>15349</v>
      </c>
      <c r="AA176" s="6"/>
      <c r="AB176" s="6">
        <v>0</v>
      </c>
      <c r="AC176" s="6"/>
      <c r="AD176" s="6">
        <v>0</v>
      </c>
      <c r="AE176" s="6"/>
      <c r="AF176" s="8">
        <v>3537.6287420469016</v>
      </c>
      <c r="AG176" s="8">
        <v>13060.7555262962</v>
      </c>
      <c r="AH176" s="9">
        <f t="shared" si="25"/>
        <v>0</v>
      </c>
      <c r="AI176" s="7"/>
      <c r="AJ176" s="9"/>
      <c r="AK176" s="21">
        <f t="shared" si="26"/>
        <v>-1</v>
      </c>
      <c r="AL176" s="21">
        <f t="shared" si="27"/>
        <v>0.16559419746676396</v>
      </c>
      <c r="AM176" s="18" t="e">
        <f t="shared" si="28"/>
        <v>#DIV/0!</v>
      </c>
      <c r="AN176" s="18">
        <f t="shared" si="29"/>
        <v>-1</v>
      </c>
    </row>
    <row r="177" spans="1:40" hidden="1" x14ac:dyDescent="0.3">
      <c r="A177" s="11">
        <v>45832</v>
      </c>
      <c r="B177" s="6">
        <v>32757630</v>
      </c>
      <c r="C177" s="6">
        <v>4358294</v>
      </c>
      <c r="D177" s="7">
        <v>4.0082788360653425E-2</v>
      </c>
      <c r="E177" s="6"/>
      <c r="F177" s="11">
        <v>46196</v>
      </c>
      <c r="G177" s="6">
        <v>6040481.3952028835</v>
      </c>
      <c r="H177" s="6">
        <f t="shared" si="23"/>
        <v>3516734.0226122313</v>
      </c>
      <c r="I177" s="6">
        <f t="shared" si="24"/>
        <v>817229.25322319823</v>
      </c>
      <c r="J177" s="6">
        <v>3442550</v>
      </c>
      <c r="K177" s="6"/>
      <c r="L177" s="6">
        <v>48212.931034482724</v>
      </c>
      <c r="M177" s="6"/>
      <c r="N177" s="6">
        <v>85752</v>
      </c>
      <c r="O177" s="6"/>
      <c r="P177" s="6">
        <v>8426</v>
      </c>
      <c r="Q177" s="6"/>
      <c r="R177" s="6">
        <v>104213</v>
      </c>
      <c r="S177" s="6"/>
      <c r="T177" s="6">
        <v>504323</v>
      </c>
      <c r="U177" s="6"/>
      <c r="V177" s="6">
        <v>137554</v>
      </c>
      <c r="W177" s="6"/>
      <c r="X177" s="6">
        <v>60128</v>
      </c>
      <c r="Y177" s="6"/>
      <c r="Z177" s="6">
        <v>15348</v>
      </c>
      <c r="AA177" s="6"/>
      <c r="AB177" s="6">
        <v>0</v>
      </c>
      <c r="AC177" s="6"/>
      <c r="AD177" s="6">
        <v>0</v>
      </c>
      <c r="AE177" s="6"/>
      <c r="AF177" s="8">
        <v>3564.2028854749014</v>
      </c>
      <c r="AG177" s="8">
        <v>13158.865988399981</v>
      </c>
      <c r="AH177" s="9">
        <f t="shared" si="25"/>
        <v>0</v>
      </c>
      <c r="AI177" s="7"/>
      <c r="AJ177" s="9"/>
      <c r="AK177" s="21">
        <f t="shared" si="26"/>
        <v>-1</v>
      </c>
      <c r="AL177" s="21">
        <f t="shared" si="27"/>
        <v>0.13304668255914728</v>
      </c>
      <c r="AM177" s="18" t="e">
        <f t="shared" si="28"/>
        <v>#DIV/0!</v>
      </c>
      <c r="AN177" s="18">
        <f t="shared" si="29"/>
        <v>-1</v>
      </c>
    </row>
    <row r="178" spans="1:40" hidden="1" x14ac:dyDescent="0.3">
      <c r="A178" s="11">
        <v>45833</v>
      </c>
      <c r="B178" s="6">
        <v>36672538</v>
      </c>
      <c r="C178" s="6">
        <v>4373960</v>
      </c>
      <c r="D178" s="7">
        <v>3.9739179589627763E-2</v>
      </c>
      <c r="E178" s="6"/>
      <c r="F178" s="11">
        <v>46197</v>
      </c>
      <c r="G178" s="6">
        <v>5988699.5089245699</v>
      </c>
      <c r="H178" s="6">
        <f t="shared" si="23"/>
        <v>3486586.9019912491</v>
      </c>
      <c r="I178" s="6">
        <f t="shared" si="24"/>
        <v>810223.57445605216</v>
      </c>
      <c r="J178" s="6">
        <v>3181484</v>
      </c>
      <c r="K178" s="6"/>
      <c r="L178" s="6">
        <v>41541.379310344812</v>
      </c>
      <c r="M178" s="6"/>
      <c r="N178" s="6">
        <v>19984</v>
      </c>
      <c r="O178" s="6"/>
      <c r="P178" s="6">
        <v>5166</v>
      </c>
      <c r="Q178" s="6"/>
      <c r="R178" s="6">
        <v>119359</v>
      </c>
      <c r="S178" s="6"/>
      <c r="T178" s="6">
        <v>869828</v>
      </c>
      <c r="U178" s="6"/>
      <c r="V178" s="6">
        <v>125724</v>
      </c>
      <c r="W178" s="6"/>
      <c r="X178" s="6">
        <v>44086</v>
      </c>
      <c r="Y178" s="6"/>
      <c r="Z178" s="6">
        <v>8329</v>
      </c>
      <c r="AA178" s="6"/>
      <c r="AB178" s="6">
        <v>0</v>
      </c>
      <c r="AC178" s="6"/>
      <c r="AD178" s="6">
        <v>0</v>
      </c>
      <c r="AE178" s="6"/>
      <c r="AF178" s="8">
        <v>3533.6488391310008</v>
      </c>
      <c r="AG178" s="8">
        <v>13046.06191574709</v>
      </c>
      <c r="AH178" s="9">
        <f t="shared" si="25"/>
        <v>0</v>
      </c>
      <c r="AI178" s="7"/>
      <c r="AJ178" s="9"/>
      <c r="AK178" s="21">
        <f t="shared" si="26"/>
        <v>-1</v>
      </c>
      <c r="AL178" s="21">
        <f t="shared" si="27"/>
        <v>0.11927071968675852</v>
      </c>
      <c r="AM178" s="18" t="e">
        <f t="shared" si="28"/>
        <v>#DIV/0!</v>
      </c>
      <c r="AN178" s="18">
        <f t="shared" si="29"/>
        <v>-1</v>
      </c>
    </row>
    <row r="179" spans="1:40" hidden="1" x14ac:dyDescent="0.3">
      <c r="A179" s="11">
        <v>45834</v>
      </c>
      <c r="B179" s="6">
        <v>40289974</v>
      </c>
      <c r="C179" s="6">
        <v>3500282</v>
      </c>
      <c r="D179" s="7">
        <v>3.6685201616898838E-2</v>
      </c>
      <c r="E179" s="6"/>
      <c r="F179" s="11">
        <v>46198</v>
      </c>
      <c r="G179" s="6">
        <v>5528464.6330560753</v>
      </c>
      <c r="H179" s="6">
        <f t="shared" si="23"/>
        <v>3218640.7664986667</v>
      </c>
      <c r="I179" s="6">
        <f t="shared" si="24"/>
        <v>747957.4437777953</v>
      </c>
      <c r="J179" s="6">
        <v>2646749</v>
      </c>
      <c r="K179" s="6"/>
      <c r="L179" s="6">
        <v>43047.413793103435</v>
      </c>
      <c r="M179" s="6"/>
      <c r="N179" s="6">
        <v>27161</v>
      </c>
      <c r="O179" s="6"/>
      <c r="P179" s="6">
        <v>7060</v>
      </c>
      <c r="Q179" s="6"/>
      <c r="R179" s="6">
        <v>96473</v>
      </c>
      <c r="S179" s="6"/>
      <c r="T179" s="6">
        <v>505360</v>
      </c>
      <c r="U179" s="6"/>
      <c r="V179" s="6">
        <v>154811</v>
      </c>
      <c r="W179" s="6"/>
      <c r="X179" s="6">
        <v>46738</v>
      </c>
      <c r="Y179" s="6"/>
      <c r="Z179" s="6">
        <v>15930</v>
      </c>
      <c r="AA179" s="6"/>
      <c r="AB179" s="6">
        <v>0</v>
      </c>
      <c r="AC179" s="6"/>
      <c r="AD179" s="6">
        <v>0</v>
      </c>
      <c r="AE179" s="6"/>
      <c r="AF179" s="8">
        <v>3262.0859676900936</v>
      </c>
      <c r="AG179" s="8">
        <v>12043.464828112486</v>
      </c>
      <c r="AH179" s="9">
        <f t="shared" si="25"/>
        <v>0</v>
      </c>
      <c r="AI179" s="7"/>
      <c r="AJ179" s="9"/>
      <c r="AK179" s="21">
        <f t="shared" si="26"/>
        <v>-1</v>
      </c>
      <c r="AL179" s="21">
        <f t="shared" si="27"/>
        <v>8.6877246433566827E-2</v>
      </c>
      <c r="AM179" s="18" t="e">
        <f t="shared" si="28"/>
        <v>#DIV/0!</v>
      </c>
      <c r="AN179" s="18">
        <f t="shared" si="29"/>
        <v>-1</v>
      </c>
    </row>
    <row r="180" spans="1:40" hidden="1" x14ac:dyDescent="0.3">
      <c r="A180" s="11">
        <v>45835</v>
      </c>
      <c r="B180" s="6">
        <v>45550137</v>
      </c>
      <c r="C180" s="6">
        <v>2964200</v>
      </c>
      <c r="D180" s="7">
        <v>3.0831096558344619E-2</v>
      </c>
      <c r="E180" s="6"/>
      <c r="F180" s="11">
        <v>46199</v>
      </c>
      <c r="G180" s="6">
        <v>4646250.2428398505</v>
      </c>
      <c r="H180" s="6">
        <f t="shared" si="23"/>
        <v>2705020.5501074046</v>
      </c>
      <c r="I180" s="6">
        <f t="shared" si="24"/>
        <v>628600.82960599568</v>
      </c>
      <c r="J180" s="6">
        <v>2155899</v>
      </c>
      <c r="K180" s="6"/>
      <c r="L180" s="6">
        <v>39018.965517241362</v>
      </c>
      <c r="M180" s="6"/>
      <c r="N180" s="6">
        <v>39894</v>
      </c>
      <c r="O180" s="6"/>
      <c r="P180" s="6">
        <v>8661</v>
      </c>
      <c r="Q180" s="6"/>
      <c r="R180" s="6">
        <v>57827</v>
      </c>
      <c r="S180" s="6"/>
      <c r="T180" s="6">
        <v>506732</v>
      </c>
      <c r="U180" s="6"/>
      <c r="V180" s="6">
        <v>154811</v>
      </c>
      <c r="W180" s="6"/>
      <c r="X180" s="6">
        <v>29295</v>
      </c>
      <c r="Y180" s="6"/>
      <c r="Z180" s="6">
        <v>11081</v>
      </c>
      <c r="AA180" s="6"/>
      <c r="AB180" s="6">
        <v>0</v>
      </c>
      <c r="AC180" s="6"/>
      <c r="AD180" s="6">
        <v>0</v>
      </c>
      <c r="AE180" s="6"/>
      <c r="AF180" s="8">
        <v>2741.5329075129193</v>
      </c>
      <c r="AG180" s="8">
        <v>10121.607914007482</v>
      </c>
      <c r="AH180" s="9">
        <f t="shared" si="25"/>
        <v>0</v>
      </c>
      <c r="AI180" s="7"/>
      <c r="AJ180" s="9"/>
      <c r="AK180" s="21">
        <f t="shared" si="26"/>
        <v>-1</v>
      </c>
      <c r="AL180" s="21">
        <f t="shared" si="27"/>
        <v>6.5075545217350275E-2</v>
      </c>
      <c r="AM180" s="18" t="e">
        <f t="shared" si="28"/>
        <v>#DIV/0!</v>
      </c>
      <c r="AN180" s="18">
        <f t="shared" si="29"/>
        <v>-1</v>
      </c>
    </row>
    <row r="181" spans="1:40" hidden="1" x14ac:dyDescent="0.3">
      <c r="A181" s="11">
        <v>45836</v>
      </c>
      <c r="B181" s="6">
        <v>52421787</v>
      </c>
      <c r="C181" s="6">
        <v>2495812</v>
      </c>
      <c r="D181" s="7">
        <v>2.6933855106437948E-2</v>
      </c>
      <c r="E181" s="6"/>
      <c r="F181" s="11">
        <v>46200</v>
      </c>
      <c r="G181" s="6">
        <v>4058935.4514875468</v>
      </c>
      <c r="H181" s="6">
        <f t="shared" si="23"/>
        <v>2363089.2082821759</v>
      </c>
      <c r="I181" s="6">
        <f t="shared" si="24"/>
        <v>549141.79365482857</v>
      </c>
      <c r="J181" s="6">
        <v>1738073</v>
      </c>
      <c r="K181" s="6"/>
      <c r="L181" s="6">
        <v>45922.413793103435</v>
      </c>
      <c r="M181" s="6"/>
      <c r="N181" s="6">
        <v>20153</v>
      </c>
      <c r="O181" s="6"/>
      <c r="P181" s="6">
        <v>5603</v>
      </c>
      <c r="Q181" s="6"/>
      <c r="R181" s="6">
        <v>54501</v>
      </c>
      <c r="S181" s="6"/>
      <c r="T181" s="6">
        <v>502302</v>
      </c>
      <c r="U181" s="6"/>
      <c r="V181" s="6">
        <v>134913</v>
      </c>
      <c r="W181" s="6"/>
      <c r="X181" s="6">
        <v>29728</v>
      </c>
      <c r="Y181" s="6"/>
      <c r="Z181" s="6">
        <v>10539</v>
      </c>
      <c r="AA181" s="6"/>
      <c r="AB181" s="6">
        <v>0</v>
      </c>
      <c r="AC181" s="6"/>
      <c r="AD181" s="6">
        <v>0</v>
      </c>
      <c r="AE181" s="6"/>
      <c r="AF181" s="8">
        <v>2394.9861776972466</v>
      </c>
      <c r="AG181" s="8">
        <v>8842.1740201215307</v>
      </c>
      <c r="AH181" s="9">
        <f t="shared" si="25"/>
        <v>0</v>
      </c>
      <c r="AI181" s="7"/>
      <c r="AJ181" s="9"/>
      <c r="AK181" s="21">
        <f t="shared" si="26"/>
        <v>-1</v>
      </c>
      <c r="AL181" s="21">
        <f t="shared" si="27"/>
        <v>4.7610204512867904E-2</v>
      </c>
      <c r="AM181" s="18" t="e">
        <f t="shared" si="28"/>
        <v>#DIV/0!</v>
      </c>
      <c r="AN181" s="18">
        <f t="shared" si="29"/>
        <v>-1</v>
      </c>
    </row>
    <row r="182" spans="1:40" hidden="1" x14ac:dyDescent="0.3">
      <c r="A182" s="11">
        <v>45837</v>
      </c>
      <c r="B182" s="6">
        <v>53436952</v>
      </c>
      <c r="C182" s="6">
        <v>2733857</v>
      </c>
      <c r="D182" s="7">
        <v>2.3422331983493257E-2</v>
      </c>
      <c r="E182" s="6"/>
      <c r="F182" s="11">
        <v>46201</v>
      </c>
      <c r="G182" s="6">
        <v>3529748.4622462038</v>
      </c>
      <c r="H182" s="6">
        <f t="shared" si="23"/>
        <v>2054999.5432984037</v>
      </c>
      <c r="I182" s="6">
        <f t="shared" si="24"/>
        <v>477546.98858240771</v>
      </c>
      <c r="J182" s="6">
        <v>2175842</v>
      </c>
      <c r="K182" s="6"/>
      <c r="L182" s="6">
        <v>46807.758620689638</v>
      </c>
      <c r="M182" s="6"/>
      <c r="N182" s="6">
        <v>7774</v>
      </c>
      <c r="O182" s="6"/>
      <c r="P182" s="6">
        <v>4942</v>
      </c>
      <c r="Q182" s="6"/>
      <c r="R182" s="6">
        <v>107553</v>
      </c>
      <c r="S182" s="6"/>
      <c r="T182" s="6">
        <v>253751</v>
      </c>
      <c r="U182" s="6"/>
      <c r="V182" s="6">
        <v>130575</v>
      </c>
      <c r="W182" s="6"/>
      <c r="X182" s="6">
        <v>43414</v>
      </c>
      <c r="Y182" s="6"/>
      <c r="Z182" s="6">
        <v>10006</v>
      </c>
      <c r="AA182" s="6"/>
      <c r="AB182" s="6">
        <v>0</v>
      </c>
      <c r="AC182" s="6"/>
      <c r="AD182" s="6">
        <v>0</v>
      </c>
      <c r="AE182" s="6"/>
      <c r="AF182" s="8">
        <v>2082.7379195521821</v>
      </c>
      <c r="AG182" s="8">
        <v>7689.3684374800823</v>
      </c>
      <c r="AH182" s="9">
        <f t="shared" si="25"/>
        <v>0</v>
      </c>
      <c r="AI182" s="7"/>
      <c r="AJ182" s="9"/>
      <c r="AK182" s="21">
        <f t="shared" si="26"/>
        <v>-1</v>
      </c>
      <c r="AL182" s="21">
        <f t="shared" si="27"/>
        <v>5.1160421724652259E-2</v>
      </c>
      <c r="AM182" s="18" t="e">
        <f t="shared" si="28"/>
        <v>#DIV/0!</v>
      </c>
      <c r="AN182" s="18">
        <f t="shared" si="29"/>
        <v>-1</v>
      </c>
    </row>
    <row r="183" spans="1:40" hidden="1" x14ac:dyDescent="0.3">
      <c r="A183" s="11">
        <v>45838</v>
      </c>
      <c r="B183" s="6">
        <v>31090588</v>
      </c>
      <c r="C183" s="6">
        <v>4890780</v>
      </c>
      <c r="D183" s="7">
        <v>3.1151878890524252E-2</v>
      </c>
      <c r="E183" s="6"/>
      <c r="F183" s="11">
        <v>46202</v>
      </c>
      <c r="G183" s="6">
        <v>4694592.1818288798</v>
      </c>
      <c r="H183" s="6">
        <f t="shared" si="23"/>
        <v>2733164.9529188713</v>
      </c>
      <c r="I183" s="6">
        <f t="shared" si="24"/>
        <v>635141.11077145708</v>
      </c>
      <c r="J183" s="6">
        <v>3654183</v>
      </c>
      <c r="K183" s="6"/>
      <c r="L183" s="6">
        <v>47272.41379310342</v>
      </c>
      <c r="M183" s="6"/>
      <c r="N183" s="6">
        <v>48765</v>
      </c>
      <c r="O183" s="6"/>
      <c r="P183" s="6">
        <v>11584</v>
      </c>
      <c r="Q183" s="6"/>
      <c r="R183" s="6">
        <v>80803</v>
      </c>
      <c r="S183" s="6"/>
      <c r="T183" s="6">
        <v>907574</v>
      </c>
      <c r="U183" s="6"/>
      <c r="V183" s="6">
        <v>118765</v>
      </c>
      <c r="W183" s="6"/>
      <c r="X183" s="6">
        <v>58578</v>
      </c>
      <c r="Y183" s="6"/>
      <c r="Z183" s="6">
        <v>10528</v>
      </c>
      <c r="AA183" s="6"/>
      <c r="AB183" s="6">
        <v>0</v>
      </c>
      <c r="AC183" s="6"/>
      <c r="AD183" s="6">
        <v>0</v>
      </c>
      <c r="AE183" s="6"/>
      <c r="AF183" s="8">
        <v>2770.0572033697003</v>
      </c>
      <c r="AG183" s="8">
        <v>10226.918245280287</v>
      </c>
      <c r="AH183" s="9">
        <f t="shared" si="25"/>
        <v>0</v>
      </c>
      <c r="AI183" s="7"/>
      <c r="AJ183" s="9"/>
      <c r="AK183" s="21">
        <f t="shared" si="26"/>
        <v>-1</v>
      </c>
      <c r="AL183" s="21">
        <f t="shared" si="27"/>
        <v>0.15730741406370313</v>
      </c>
      <c r="AM183" s="18" t="e">
        <f t="shared" si="28"/>
        <v>#DIV/0!</v>
      </c>
      <c r="AN183" s="18">
        <f t="shared" si="29"/>
        <v>-1</v>
      </c>
    </row>
    <row r="184" spans="1:40" hidden="1" x14ac:dyDescent="0.3">
      <c r="A184" s="11">
        <v>45839</v>
      </c>
      <c r="B184" s="6"/>
      <c r="C184" s="6"/>
      <c r="D184" s="7">
        <v>4.2428764423607587E-2</v>
      </c>
      <c r="E184" s="6"/>
      <c r="F184" s="11">
        <v>46203</v>
      </c>
      <c r="G184" s="6">
        <v>6394020.291608016</v>
      </c>
      <c r="H184" s="6">
        <f t="shared" si="23"/>
        <v>3722562.3637593617</v>
      </c>
      <c r="I184" s="6">
        <f t="shared" si="24"/>
        <v>865060.26359994931</v>
      </c>
      <c r="J184" s="6">
        <v>3679795</v>
      </c>
      <c r="K184" s="6"/>
      <c r="L184" s="6">
        <v>42322.41379310342</v>
      </c>
      <c r="M184" s="6"/>
      <c r="N184" s="6">
        <v>86850</v>
      </c>
      <c r="O184" s="6"/>
      <c r="P184" s="6">
        <v>9893</v>
      </c>
      <c r="Q184" s="6"/>
      <c r="R184" s="6">
        <v>74174</v>
      </c>
      <c r="S184" s="6"/>
      <c r="T184" s="6">
        <v>622788</v>
      </c>
      <c r="U184" s="6"/>
      <c r="V184" s="6">
        <v>102657</v>
      </c>
      <c r="W184" s="6"/>
      <c r="X184" s="6">
        <v>47524</v>
      </c>
      <c r="Y184" s="6"/>
      <c r="Z184" s="6">
        <v>13842</v>
      </c>
      <c r="AA184" s="6"/>
      <c r="AB184" s="6">
        <v>0</v>
      </c>
      <c r="AC184" s="6"/>
      <c r="AD184" s="6">
        <v>0</v>
      </c>
      <c r="AE184" s="6"/>
      <c r="AF184" s="8">
        <v>3772.8094968114574</v>
      </c>
      <c r="AG184" s="8">
        <v>13929.031585330142</v>
      </c>
      <c r="AH184" s="9">
        <f t="shared" si="25"/>
        <v>0</v>
      </c>
      <c r="AI184" s="7"/>
      <c r="AJ184" s="9"/>
      <c r="AK184" s="21" t="e">
        <f t="shared" si="26"/>
        <v>#DIV/0!</v>
      </c>
      <c r="AL184" s="21" t="e">
        <f t="shared" si="27"/>
        <v>#DIV/0!</v>
      </c>
      <c r="AM184" s="18" t="e">
        <f t="shared" si="28"/>
        <v>#DIV/0!</v>
      </c>
      <c r="AN184" s="18" t="e">
        <f t="shared" si="29"/>
        <v>#DIV/0!</v>
      </c>
    </row>
    <row r="185" spans="1:40" hidden="1" x14ac:dyDescent="0.3">
      <c r="A185" s="11">
        <v>45840</v>
      </c>
      <c r="B185" s="6"/>
      <c r="C185" s="6"/>
      <c r="D185" s="7">
        <v>4.1552205413595493E-2</v>
      </c>
      <c r="E185" s="6"/>
      <c r="F185" s="11">
        <v>46204</v>
      </c>
      <c r="G185" s="6">
        <v>6262669.3121175477</v>
      </c>
      <c r="H185" s="6">
        <f t="shared" si="23"/>
        <v>3645655.9153955341</v>
      </c>
      <c r="I185" s="6">
        <f t="shared" si="24"/>
        <v>847188.51129787031</v>
      </c>
      <c r="J185" s="6">
        <v>3685044</v>
      </c>
      <c r="K185" s="6"/>
      <c r="L185" s="6">
        <v>36679.310344827565</v>
      </c>
      <c r="M185" s="6"/>
      <c r="N185" s="6">
        <v>54428</v>
      </c>
      <c r="O185" s="6"/>
      <c r="P185" s="6">
        <v>10227</v>
      </c>
      <c r="Q185" s="6"/>
      <c r="R185" s="6">
        <v>69019</v>
      </c>
      <c r="S185" s="6"/>
      <c r="T185" s="6">
        <v>520885</v>
      </c>
      <c r="U185" s="6"/>
      <c r="V185" s="6">
        <v>97656</v>
      </c>
      <c r="W185" s="6"/>
      <c r="X185" s="6">
        <v>41854</v>
      </c>
      <c r="Y185" s="6"/>
      <c r="Z185" s="6">
        <v>8284</v>
      </c>
      <c r="AA185" s="6"/>
      <c r="AB185" s="6">
        <v>0</v>
      </c>
      <c r="AC185" s="6"/>
      <c r="AD185" s="6">
        <v>0</v>
      </c>
      <c r="AE185" s="6"/>
      <c r="AF185" s="8">
        <v>3752.0349662490571</v>
      </c>
      <c r="AG185" s="8">
        <v>13646.429048092012</v>
      </c>
      <c r="AH185" s="9">
        <f t="shared" si="25"/>
        <v>0</v>
      </c>
      <c r="AI185" s="7"/>
      <c r="AJ185" s="9"/>
      <c r="AK185" s="21" t="e">
        <f t="shared" si="26"/>
        <v>#DIV/0!</v>
      </c>
      <c r="AL185" s="21" t="e">
        <f t="shared" si="27"/>
        <v>#DIV/0!</v>
      </c>
      <c r="AM185" s="18" t="e">
        <f t="shared" si="28"/>
        <v>#DIV/0!</v>
      </c>
      <c r="AN185" s="18" t="e">
        <f t="shared" si="29"/>
        <v>#DIV/0!</v>
      </c>
    </row>
    <row r="186" spans="1:40" hidden="1" x14ac:dyDescent="0.3">
      <c r="A186" s="11">
        <v>45841</v>
      </c>
      <c r="B186" s="6"/>
      <c r="C186" s="6"/>
      <c r="D186" s="7">
        <v>4.0179041422402029E-2</v>
      </c>
      <c r="E186" s="6"/>
      <c r="F186" s="11">
        <v>46205</v>
      </c>
      <c r="G186" s="6">
        <v>6055708.6489576949</v>
      </c>
      <c r="H186" s="6">
        <f t="shared" si="23"/>
        <v>3525178.9544863869</v>
      </c>
      <c r="I186" s="6">
        <f t="shared" si="24"/>
        <v>819191.71194901073</v>
      </c>
      <c r="J186" s="6">
        <v>2698039</v>
      </c>
      <c r="K186" s="6"/>
      <c r="L186" s="6">
        <v>35471.55172413792</v>
      </c>
      <c r="M186" s="6"/>
      <c r="N186" s="6">
        <v>41667</v>
      </c>
      <c r="O186" s="6"/>
      <c r="P186" s="6">
        <v>9394</v>
      </c>
      <c r="Q186" s="6"/>
      <c r="R186" s="6">
        <v>92502</v>
      </c>
      <c r="S186" s="6"/>
      <c r="T186" s="6">
        <v>552929</v>
      </c>
      <c r="U186" s="6"/>
      <c r="V186" s="6">
        <v>93404</v>
      </c>
      <c r="W186" s="6"/>
      <c r="X186" s="6">
        <v>39271</v>
      </c>
      <c r="Y186" s="6"/>
      <c r="Z186" s="6">
        <v>9501</v>
      </c>
      <c r="AA186" s="6"/>
      <c r="AB186" s="6">
        <v>0</v>
      </c>
      <c r="AC186" s="6"/>
      <c r="AD186" s="6">
        <v>0</v>
      </c>
      <c r="AE186" s="6"/>
      <c r="AF186" s="8">
        <v>3628.042526905122</v>
      </c>
      <c r="AG186" s="8">
        <v>13195.459363313616</v>
      </c>
      <c r="AH186" s="9">
        <f t="shared" si="25"/>
        <v>0</v>
      </c>
      <c r="AI186" s="7"/>
      <c r="AJ186" s="9"/>
      <c r="AK186" s="21" t="e">
        <f t="shared" si="26"/>
        <v>#DIV/0!</v>
      </c>
      <c r="AL186" s="21" t="e">
        <f t="shared" si="27"/>
        <v>#DIV/0!</v>
      </c>
      <c r="AM186" s="18" t="e">
        <f t="shared" si="28"/>
        <v>#DIV/0!</v>
      </c>
      <c r="AN186" s="18" t="e">
        <f t="shared" si="29"/>
        <v>#DIV/0!</v>
      </c>
    </row>
    <row r="187" spans="1:40" hidden="1" x14ac:dyDescent="0.3">
      <c r="A187" s="11">
        <v>45842</v>
      </c>
      <c r="B187" s="6"/>
      <c r="C187" s="6"/>
      <c r="D187" s="7">
        <v>3.2004029323407727E-2</v>
      </c>
      <c r="E187" s="6"/>
      <c r="F187" s="11">
        <v>46206</v>
      </c>
      <c r="G187" s="6">
        <v>4823586.3851942904</v>
      </c>
      <c r="H187" s="6">
        <f t="shared" si="23"/>
        <v>2807929.8717848156</v>
      </c>
      <c r="I187" s="6">
        <f t="shared" si="24"/>
        <v>652515.20799326617</v>
      </c>
      <c r="J187" s="6">
        <v>2179555</v>
      </c>
      <c r="K187" s="6"/>
      <c r="L187" s="6">
        <v>32924.137931034464</v>
      </c>
      <c r="M187" s="6"/>
      <c r="N187" s="6">
        <v>12896</v>
      </c>
      <c r="O187" s="6"/>
      <c r="P187" s="6">
        <v>-1764</v>
      </c>
      <c r="Q187" s="6"/>
      <c r="R187" s="6">
        <v>107559</v>
      </c>
      <c r="S187" s="6"/>
      <c r="T187" s="6">
        <v>416715</v>
      </c>
      <c r="U187" s="6"/>
      <c r="V187" s="6">
        <v>115888</v>
      </c>
      <c r="W187" s="6"/>
      <c r="X187" s="6">
        <v>27713</v>
      </c>
      <c r="Y187" s="6"/>
      <c r="Z187" s="6">
        <v>5365</v>
      </c>
      <c r="AA187" s="6"/>
      <c r="AB187" s="6">
        <v>0</v>
      </c>
      <c r="AC187" s="6"/>
      <c r="AD187" s="6">
        <v>0</v>
      </c>
      <c r="AE187" s="6"/>
      <c r="AF187" s="8">
        <v>2889.8643498474048</v>
      </c>
      <c r="AG187" s="8">
        <v>10510.650663852424</v>
      </c>
      <c r="AH187" s="9">
        <f t="shared" si="25"/>
        <v>0</v>
      </c>
      <c r="AI187" s="7"/>
      <c r="AJ187" s="9"/>
      <c r="AK187" s="21" t="e">
        <f t="shared" si="26"/>
        <v>#DIV/0!</v>
      </c>
      <c r="AL187" s="21" t="e">
        <f t="shared" si="27"/>
        <v>#DIV/0!</v>
      </c>
      <c r="AM187" s="18" t="e">
        <f t="shared" si="28"/>
        <v>#DIV/0!</v>
      </c>
      <c r="AN187" s="18" t="e">
        <f t="shared" si="29"/>
        <v>#DIV/0!</v>
      </c>
    </row>
    <row r="188" spans="1:40" hidden="1" x14ac:dyDescent="0.3">
      <c r="A188" s="11">
        <v>45843</v>
      </c>
      <c r="B188" s="6"/>
      <c r="C188" s="6"/>
      <c r="D188" s="7">
        <v>2.4093559368865786E-2</v>
      </c>
      <c r="E188" s="6"/>
      <c r="F188" s="11">
        <v>46207</v>
      </c>
      <c r="G188" s="6">
        <v>3631335.4099300876</v>
      </c>
      <c r="H188" s="6">
        <f t="shared" si="23"/>
        <v>2113890.8599854885</v>
      </c>
      <c r="I188" s="6">
        <f t="shared" si="24"/>
        <v>491232.33027957927</v>
      </c>
      <c r="J188" s="6">
        <v>1713969</v>
      </c>
      <c r="K188" s="6"/>
      <c r="L188" s="6">
        <v>35299.137931034464</v>
      </c>
      <c r="M188" s="6"/>
      <c r="N188" s="6">
        <v>11072</v>
      </c>
      <c r="O188" s="6"/>
      <c r="P188" s="6">
        <v>8150</v>
      </c>
      <c r="Q188" s="6"/>
      <c r="R188" s="6">
        <v>64081</v>
      </c>
      <c r="S188" s="6"/>
      <c r="T188" s="6">
        <v>404189</v>
      </c>
      <c r="U188" s="6"/>
      <c r="V188" s="6">
        <v>108332</v>
      </c>
      <c r="W188" s="6"/>
      <c r="X188" s="6">
        <v>16902</v>
      </c>
      <c r="Y188" s="6"/>
      <c r="Z188" s="6">
        <v>4377</v>
      </c>
      <c r="AA188" s="6"/>
      <c r="AB188" s="6">
        <v>0</v>
      </c>
      <c r="AC188" s="6"/>
      <c r="AD188" s="6">
        <v>0</v>
      </c>
      <c r="AE188" s="6"/>
      <c r="AF188" s="8">
        <v>2175.5735059926328</v>
      </c>
      <c r="AG188" s="8">
        <v>7912.7219643471008</v>
      </c>
      <c r="AH188" s="9">
        <f t="shared" si="25"/>
        <v>0</v>
      </c>
      <c r="AI188" s="7"/>
      <c r="AJ188" s="9"/>
      <c r="AK188" s="21" t="e">
        <f t="shared" si="26"/>
        <v>#DIV/0!</v>
      </c>
      <c r="AL188" s="21" t="e">
        <f t="shared" si="27"/>
        <v>#DIV/0!</v>
      </c>
      <c r="AM188" s="18" t="e">
        <f t="shared" si="28"/>
        <v>#DIV/0!</v>
      </c>
      <c r="AN188" s="18" t="e">
        <f t="shared" si="29"/>
        <v>#DIV/0!</v>
      </c>
    </row>
    <row r="189" spans="1:40" hidden="1" x14ac:dyDescent="0.3">
      <c r="A189" s="11">
        <v>45844</v>
      </c>
      <c r="B189" s="6"/>
      <c r="C189" s="6"/>
      <c r="D189" s="7">
        <v>2.2536991531209111E-2</v>
      </c>
      <c r="E189" s="6"/>
      <c r="F189" s="11">
        <v>46208</v>
      </c>
      <c r="G189" s="6">
        <v>3396732.468110492</v>
      </c>
      <c r="H189" s="6">
        <f t="shared" si="23"/>
        <v>1977322.6396327177</v>
      </c>
      <c r="I189" s="6">
        <f t="shared" si="24"/>
        <v>459496.19555477746</v>
      </c>
      <c r="J189" s="6">
        <v>2262588</v>
      </c>
      <c r="K189" s="6"/>
      <c r="L189" s="6">
        <v>39215.51724137929</v>
      </c>
      <c r="M189" s="6"/>
      <c r="N189" s="6">
        <v>24461</v>
      </c>
      <c r="O189" s="6"/>
      <c r="P189" s="6">
        <v>3632</v>
      </c>
      <c r="Q189" s="6"/>
      <c r="R189" s="6">
        <v>74909</v>
      </c>
      <c r="S189" s="6"/>
      <c r="T189" s="6">
        <v>230319</v>
      </c>
      <c r="U189" s="6"/>
      <c r="V189" s="6">
        <v>105857</v>
      </c>
      <c r="W189" s="6"/>
      <c r="X189" s="6">
        <v>29115</v>
      </c>
      <c r="Y189" s="6"/>
      <c r="Z189" s="6">
        <v>8317</v>
      </c>
      <c r="AA189" s="6"/>
      <c r="AB189" s="6">
        <v>0</v>
      </c>
      <c r="AC189" s="6"/>
      <c r="AD189" s="6">
        <v>0</v>
      </c>
      <c r="AE189" s="6"/>
      <c r="AF189" s="8">
        <v>2035.0202695014682</v>
      </c>
      <c r="AG189" s="8">
        <v>7401.5194338509982</v>
      </c>
      <c r="AH189" s="9">
        <f t="shared" si="25"/>
        <v>0</v>
      </c>
      <c r="AI189" s="7"/>
      <c r="AJ189" s="9"/>
      <c r="AK189" s="21" t="e">
        <f t="shared" si="26"/>
        <v>#DIV/0!</v>
      </c>
      <c r="AL189" s="21" t="e">
        <f t="shared" si="27"/>
        <v>#DIV/0!</v>
      </c>
      <c r="AM189" s="18" t="e">
        <f t="shared" si="28"/>
        <v>#DIV/0!</v>
      </c>
      <c r="AN189" s="18" t="e">
        <f t="shared" si="29"/>
        <v>#DIV/0!</v>
      </c>
    </row>
    <row r="190" spans="1:40" hidden="1" x14ac:dyDescent="0.3">
      <c r="A190" s="11">
        <v>45845</v>
      </c>
      <c r="B190" s="6"/>
      <c r="C190" s="6"/>
      <c r="D190" s="7">
        <v>2.9727990539283426E-2</v>
      </c>
      <c r="E190" s="6"/>
      <c r="F190" s="11">
        <v>46209</v>
      </c>
      <c r="G190" s="6">
        <v>4480546.1517182402</v>
      </c>
      <c r="H190" s="6">
        <f t="shared" si="23"/>
        <v>2608237.6009553713</v>
      </c>
      <c r="I190" s="6">
        <f t="shared" si="24"/>
        <v>606110.11613386788</v>
      </c>
      <c r="J190" s="6">
        <v>3483892</v>
      </c>
      <c r="K190" s="6"/>
      <c r="L190" s="6">
        <v>35553.448275862058</v>
      </c>
      <c r="M190" s="6"/>
      <c r="N190" s="6">
        <v>63151</v>
      </c>
      <c r="O190" s="6"/>
      <c r="P190" s="6">
        <v>5117</v>
      </c>
      <c r="Q190" s="6"/>
      <c r="R190" s="6">
        <v>82044</v>
      </c>
      <c r="S190" s="6"/>
      <c r="T190" s="6">
        <v>867493</v>
      </c>
      <c r="U190" s="6"/>
      <c r="V190" s="6">
        <v>163273</v>
      </c>
      <c r="W190" s="6"/>
      <c r="X190" s="6">
        <v>43008</v>
      </c>
      <c r="Y190" s="6"/>
      <c r="Z190" s="6">
        <v>6303</v>
      </c>
      <c r="AA190" s="6"/>
      <c r="AB190" s="6">
        <v>0</v>
      </c>
      <c r="AC190" s="6"/>
      <c r="AD190" s="6">
        <v>0</v>
      </c>
      <c r="AE190" s="6"/>
      <c r="AF190" s="8">
        <v>2684.3451236698402</v>
      </c>
      <c r="AG190" s="8">
        <v>9763.1620174833588</v>
      </c>
      <c r="AH190" s="9">
        <f t="shared" si="25"/>
        <v>0</v>
      </c>
      <c r="AI190" s="7"/>
      <c r="AJ190" s="9"/>
      <c r="AK190" s="21" t="e">
        <f t="shared" si="26"/>
        <v>#DIV/0!</v>
      </c>
      <c r="AL190" s="21" t="e">
        <f t="shared" si="27"/>
        <v>#DIV/0!</v>
      </c>
      <c r="AM190" s="18" t="e">
        <f t="shared" si="28"/>
        <v>#DIV/0!</v>
      </c>
      <c r="AN190" s="18" t="e">
        <f t="shared" si="29"/>
        <v>#DIV/0!</v>
      </c>
    </row>
    <row r="191" spans="1:40" hidden="1" x14ac:dyDescent="0.3">
      <c r="A191" s="11">
        <v>45846</v>
      </c>
      <c r="B191" s="6"/>
      <c r="C191" s="6"/>
      <c r="D191" s="7">
        <v>4.1292750618074914E-2</v>
      </c>
      <c r="E191" s="6"/>
      <c r="F191" s="11">
        <v>46210</v>
      </c>
      <c r="G191" s="6">
        <v>6223564.7791664088</v>
      </c>
      <c r="H191" s="6">
        <f t="shared" si="23"/>
        <v>3622892.1920106411</v>
      </c>
      <c r="I191" s="6">
        <f t="shared" si="24"/>
        <v>841898.60863739077</v>
      </c>
      <c r="J191" s="6">
        <v>3544388</v>
      </c>
      <c r="K191" s="6"/>
      <c r="L191" s="6">
        <v>38138.793103448261</v>
      </c>
      <c r="M191" s="6"/>
      <c r="N191" s="6">
        <v>75946</v>
      </c>
      <c r="O191" s="6"/>
      <c r="P191" s="6">
        <v>5502</v>
      </c>
      <c r="Q191" s="6"/>
      <c r="R191" s="6">
        <v>59539</v>
      </c>
      <c r="S191" s="6"/>
      <c r="T191" s="6">
        <v>634734</v>
      </c>
      <c r="U191" s="6"/>
      <c r="V191" s="6">
        <v>168311</v>
      </c>
      <c r="W191" s="6"/>
      <c r="X191" s="6">
        <v>34428</v>
      </c>
      <c r="Y191" s="6"/>
      <c r="Z191" s="6">
        <v>5491</v>
      </c>
      <c r="AA191" s="6"/>
      <c r="AB191" s="6">
        <v>0</v>
      </c>
      <c r="AC191" s="6"/>
      <c r="AD191" s="6">
        <v>0</v>
      </c>
      <c r="AE191" s="6"/>
      <c r="AF191" s="8">
        <v>3728.6070048384777</v>
      </c>
      <c r="AG191" s="8">
        <v>13561.219817366073</v>
      </c>
      <c r="AH191" s="9">
        <f t="shared" si="25"/>
        <v>0</v>
      </c>
      <c r="AI191" s="7"/>
      <c r="AJ191" s="9"/>
      <c r="AK191" s="21" t="e">
        <f t="shared" si="26"/>
        <v>#DIV/0!</v>
      </c>
      <c r="AL191" s="21" t="e">
        <f t="shared" si="27"/>
        <v>#DIV/0!</v>
      </c>
      <c r="AM191" s="18" t="e">
        <f t="shared" si="28"/>
        <v>#DIV/0!</v>
      </c>
      <c r="AN191" s="18" t="e">
        <f t="shared" si="29"/>
        <v>#DIV/0!</v>
      </c>
    </row>
    <row r="192" spans="1:40" hidden="1" x14ac:dyDescent="0.3">
      <c r="A192" s="11">
        <v>45847</v>
      </c>
      <c r="B192" s="6"/>
      <c r="C192" s="6"/>
      <c r="D192" s="7">
        <v>3.942817017813402E-2</v>
      </c>
      <c r="E192" s="6"/>
      <c r="F192" s="11">
        <v>46211</v>
      </c>
      <c r="G192" s="6">
        <v>5942538.7641820926</v>
      </c>
      <c r="H192" s="6">
        <f t="shared" si="23"/>
        <v>3459299.9435862717</v>
      </c>
      <c r="I192" s="6">
        <f t="shared" si="24"/>
        <v>803882.54880650132</v>
      </c>
      <c r="J192" s="6">
        <v>3310758</v>
      </c>
      <c r="K192" s="6"/>
      <c r="L192" s="6">
        <v>33820.689655172413</v>
      </c>
      <c r="M192" s="6"/>
      <c r="N192" s="6">
        <v>39814</v>
      </c>
      <c r="O192" s="6"/>
      <c r="P192" s="6">
        <v>5684</v>
      </c>
      <c r="Q192" s="6"/>
      <c r="R192" s="6">
        <v>93614</v>
      </c>
      <c r="S192" s="6"/>
      <c r="T192" s="6">
        <v>580420</v>
      </c>
      <c r="U192" s="6"/>
      <c r="V192" s="6">
        <v>132668</v>
      </c>
      <c r="W192" s="6"/>
      <c r="X192" s="6">
        <v>37975</v>
      </c>
      <c r="Y192" s="6"/>
      <c r="Z192" s="6">
        <v>2520</v>
      </c>
      <c r="AA192" s="6"/>
      <c r="AB192" s="6">
        <v>0</v>
      </c>
      <c r="AC192" s="6"/>
      <c r="AD192" s="6">
        <v>0</v>
      </c>
      <c r="AE192" s="6"/>
      <c r="AF192" s="8">
        <v>3560.2411879484489</v>
      </c>
      <c r="AG192" s="8">
        <v>12948.860872158599</v>
      </c>
      <c r="AH192" s="9">
        <f t="shared" si="25"/>
        <v>0</v>
      </c>
      <c r="AI192" s="7"/>
      <c r="AJ192" s="9"/>
      <c r="AK192" s="21" t="e">
        <f t="shared" si="26"/>
        <v>#DIV/0!</v>
      </c>
      <c r="AL192" s="21" t="e">
        <f t="shared" si="27"/>
        <v>#DIV/0!</v>
      </c>
      <c r="AM192" s="18" t="e">
        <f t="shared" si="28"/>
        <v>#DIV/0!</v>
      </c>
      <c r="AN192" s="18" t="e">
        <f t="shared" si="29"/>
        <v>#DIV/0!</v>
      </c>
    </row>
    <row r="193" spans="1:40" hidden="1" x14ac:dyDescent="0.3">
      <c r="A193" s="11">
        <v>45848</v>
      </c>
      <c r="B193" s="6"/>
      <c r="C193" s="6"/>
      <c r="D193" s="7">
        <v>3.6406195504065618E-2</v>
      </c>
      <c r="E193" s="6"/>
      <c r="F193" s="11">
        <v>46212</v>
      </c>
      <c r="G193" s="6">
        <v>5487072.4931405</v>
      </c>
      <c r="H193" s="6">
        <f t="shared" si="23"/>
        <v>3194161.6738594798</v>
      </c>
      <c r="I193" s="6">
        <f t="shared" si="24"/>
        <v>742268.91843909351</v>
      </c>
      <c r="J193" s="6">
        <v>2584721</v>
      </c>
      <c r="K193" s="6"/>
      <c r="L193" s="6">
        <v>34077.586206896543</v>
      </c>
      <c r="M193" s="6"/>
      <c r="N193" s="6">
        <v>28434</v>
      </c>
      <c r="O193" s="6"/>
      <c r="P193" s="6">
        <v>4376</v>
      </c>
      <c r="Q193" s="6"/>
      <c r="R193" s="6">
        <v>129021</v>
      </c>
      <c r="S193" s="6"/>
      <c r="T193" s="6">
        <v>532963</v>
      </c>
      <c r="U193" s="6"/>
      <c r="V193" s="6">
        <v>167845</v>
      </c>
      <c r="W193" s="6"/>
      <c r="X193" s="6">
        <v>35189</v>
      </c>
      <c r="Y193" s="6"/>
      <c r="Z193" s="6">
        <v>5580</v>
      </c>
      <c r="AA193" s="6"/>
      <c r="AB193" s="6">
        <v>0</v>
      </c>
      <c r="AC193" s="6"/>
      <c r="AD193" s="6">
        <v>0</v>
      </c>
      <c r="AE193" s="6"/>
      <c r="AF193" s="8">
        <v>3287.366269966024</v>
      </c>
      <c r="AG193" s="8">
        <v>11956.394586330305</v>
      </c>
      <c r="AH193" s="9">
        <f t="shared" si="25"/>
        <v>0</v>
      </c>
      <c r="AI193" s="7"/>
      <c r="AJ193" s="9"/>
      <c r="AK193" s="21" t="e">
        <f t="shared" si="26"/>
        <v>#DIV/0!</v>
      </c>
      <c r="AL193" s="21" t="e">
        <f t="shared" si="27"/>
        <v>#DIV/0!</v>
      </c>
      <c r="AM193" s="18" t="e">
        <f t="shared" si="28"/>
        <v>#DIV/0!</v>
      </c>
      <c r="AN193" s="18" t="e">
        <f t="shared" si="29"/>
        <v>#DIV/0!</v>
      </c>
    </row>
    <row r="194" spans="1:40" hidden="1" x14ac:dyDescent="0.3">
      <c r="A194" s="11">
        <v>45849</v>
      </c>
      <c r="B194" s="6"/>
      <c r="C194" s="6"/>
      <c r="D194" s="7">
        <v>2.8313421428752331E-2</v>
      </c>
      <c r="E194" s="6"/>
      <c r="F194" s="11">
        <v>46213</v>
      </c>
      <c r="G194" s="6">
        <v>4267344.9877796844</v>
      </c>
      <c r="H194" s="6">
        <f t="shared" si="23"/>
        <v>2484127.8889867216</v>
      </c>
      <c r="I194" s="6">
        <f t="shared" si="24"/>
        <v>577269.127143024</v>
      </c>
      <c r="J194" s="6">
        <v>1939583</v>
      </c>
      <c r="K194" s="6"/>
      <c r="L194" s="6">
        <v>35028.448275862058</v>
      </c>
      <c r="M194" s="6"/>
      <c r="N194" s="6">
        <v>26271</v>
      </c>
      <c r="O194" s="6"/>
      <c r="P194" s="6">
        <v>5444</v>
      </c>
      <c r="Q194" s="6"/>
      <c r="R194" s="6">
        <v>85348</v>
      </c>
      <c r="S194" s="6"/>
      <c r="T194" s="6">
        <v>527863</v>
      </c>
      <c r="U194" s="6"/>
      <c r="V194" s="6">
        <v>153400</v>
      </c>
      <c r="W194" s="6"/>
      <c r="X194" s="6">
        <v>20782</v>
      </c>
      <c r="Y194" s="6"/>
      <c r="Z194" s="6">
        <v>4297</v>
      </c>
      <c r="AA194" s="6"/>
      <c r="AB194" s="6">
        <v>0</v>
      </c>
      <c r="AC194" s="6"/>
      <c r="AD194" s="6">
        <v>0</v>
      </c>
      <c r="AE194" s="6"/>
      <c r="AF194" s="8">
        <v>2556.6139307750354</v>
      </c>
      <c r="AG194" s="8">
        <v>9298.5942091482266</v>
      </c>
      <c r="AH194" s="9">
        <f t="shared" si="25"/>
        <v>0</v>
      </c>
      <c r="AI194" s="7"/>
      <c r="AJ194" s="9"/>
      <c r="AK194" s="21" t="e">
        <f t="shared" si="26"/>
        <v>#DIV/0!</v>
      </c>
      <c r="AL194" s="21" t="e">
        <f t="shared" si="27"/>
        <v>#DIV/0!</v>
      </c>
      <c r="AM194" s="18" t="e">
        <f t="shared" si="28"/>
        <v>#DIV/0!</v>
      </c>
      <c r="AN194" s="18" t="e">
        <f t="shared" si="29"/>
        <v>#DIV/0!</v>
      </c>
    </row>
    <row r="195" spans="1:40" hidden="1" x14ac:dyDescent="0.3">
      <c r="A195" s="11">
        <v>45850</v>
      </c>
      <c r="B195" s="6"/>
      <c r="C195" s="6"/>
      <c r="D195" s="7">
        <v>2.2882153403812434E-2</v>
      </c>
      <c r="E195" s="6"/>
      <c r="F195" s="11">
        <v>46214</v>
      </c>
      <c r="G195" s="6">
        <v>3448754.6085901544</v>
      </c>
      <c r="H195" s="6">
        <f t="shared" si="23"/>
        <v>2007606.0243556281</v>
      </c>
      <c r="I195" s="6">
        <f t="shared" si="24"/>
        <v>466533.53978469211</v>
      </c>
      <c r="J195" s="6">
        <v>1839299</v>
      </c>
      <c r="K195" s="6"/>
      <c r="L195" s="6">
        <v>37977.586206896543</v>
      </c>
      <c r="M195" s="6"/>
      <c r="N195" s="6">
        <v>10430</v>
      </c>
      <c r="O195" s="6"/>
      <c r="P195" s="6">
        <v>6547</v>
      </c>
      <c r="Q195" s="6"/>
      <c r="R195" s="6">
        <v>71218</v>
      </c>
      <c r="S195" s="6"/>
      <c r="T195" s="6">
        <v>483286</v>
      </c>
      <c r="U195" s="6"/>
      <c r="V195" s="6">
        <v>135225</v>
      </c>
      <c r="W195" s="6"/>
      <c r="X195" s="6">
        <v>12782</v>
      </c>
      <c r="Y195" s="6"/>
      <c r="Z195" s="6">
        <v>12597</v>
      </c>
      <c r="AA195" s="6"/>
      <c r="AB195" s="6">
        <v>0</v>
      </c>
      <c r="AC195" s="6"/>
      <c r="AD195" s="6">
        <v>0</v>
      </c>
      <c r="AE195" s="6"/>
      <c r="AF195" s="8">
        <v>2066.1873135159344</v>
      </c>
      <c r="AG195" s="8">
        <v>7514.8762811640099</v>
      </c>
      <c r="AH195" s="9">
        <f t="shared" si="25"/>
        <v>0</v>
      </c>
      <c r="AI195" s="7"/>
      <c r="AJ195" s="9"/>
      <c r="AK195" s="21" t="e">
        <f t="shared" si="26"/>
        <v>#DIV/0!</v>
      </c>
      <c r="AL195" s="21" t="e">
        <f t="shared" si="27"/>
        <v>#DIV/0!</v>
      </c>
      <c r="AM195" s="18" t="e">
        <f t="shared" si="28"/>
        <v>#DIV/0!</v>
      </c>
      <c r="AN195" s="18" t="e">
        <f t="shared" si="29"/>
        <v>#DIV/0!</v>
      </c>
    </row>
    <row r="196" spans="1:40" hidden="1" x14ac:dyDescent="0.3">
      <c r="A196" s="11">
        <v>45851</v>
      </c>
      <c r="B196" s="6"/>
      <c r="C196" s="6"/>
      <c r="D196" s="7">
        <v>2.3464748735523271E-2</v>
      </c>
      <c r="E196" s="6"/>
      <c r="F196" s="11">
        <v>46215</v>
      </c>
      <c r="G196" s="6">
        <v>3536562.268110788</v>
      </c>
      <c r="H196" s="6">
        <f t="shared" ref="H196:H259" si="30">87736761*D196</f>
        <v>2058721.0517336575</v>
      </c>
      <c r="I196" s="6">
        <f t="shared" ref="I196:I259" si="31">20388533*D196</f>
        <v>478411.80393092451</v>
      </c>
      <c r="J196" s="6">
        <v>1908062</v>
      </c>
      <c r="K196" s="6"/>
      <c r="L196" s="6">
        <v>38972.413793103435</v>
      </c>
      <c r="M196" s="6"/>
      <c r="N196" s="6">
        <v>978</v>
      </c>
      <c r="O196" s="6"/>
      <c r="P196" s="6">
        <v>654</v>
      </c>
      <c r="Q196" s="6"/>
      <c r="R196" s="6">
        <v>51478</v>
      </c>
      <c r="S196" s="6"/>
      <c r="T196" s="6">
        <v>452704</v>
      </c>
      <c r="U196" s="6"/>
      <c r="V196" s="6">
        <v>140269</v>
      </c>
      <c r="W196" s="6"/>
      <c r="X196" s="6">
        <v>31653</v>
      </c>
      <c r="Y196" s="6"/>
      <c r="Z196" s="6">
        <v>13211</v>
      </c>
      <c r="AA196" s="6"/>
      <c r="AB196" s="6">
        <v>0</v>
      </c>
      <c r="AC196" s="6"/>
      <c r="AD196" s="6">
        <v>0</v>
      </c>
      <c r="AE196" s="6"/>
      <c r="AF196" s="8">
        <v>2118.793860725516</v>
      </c>
      <c r="AG196" s="8">
        <v>7706.2101894080315</v>
      </c>
      <c r="AH196" s="9">
        <f t="shared" ref="AH196:AH245" si="32">+AE196+AC196+AA196+Y196+W196+U196+S196+Q196+O196+M196+K196</f>
        <v>0</v>
      </c>
      <c r="AI196" s="7"/>
      <c r="AJ196" s="9"/>
      <c r="AK196" s="21" t="e">
        <f t="shared" ref="AK196:AK259" si="33">+AH196/C196-1</f>
        <v>#DIV/0!</v>
      </c>
      <c r="AL196" s="21" t="e">
        <f t="shared" ref="AL196:AL259" si="34">+C196/B196</f>
        <v>#DIV/0!</v>
      </c>
      <c r="AM196" s="18" t="e">
        <f t="shared" ref="AM196:AM259" si="35">+AH196/E196</f>
        <v>#DIV/0!</v>
      </c>
      <c r="AN196" s="18" t="e">
        <f t="shared" ref="AN196:AN259" si="36">+E196/B196-1</f>
        <v>#DIV/0!</v>
      </c>
    </row>
    <row r="197" spans="1:40" hidden="1" x14ac:dyDescent="0.3">
      <c r="A197" s="11">
        <v>45852</v>
      </c>
      <c r="B197" s="6"/>
      <c r="C197" s="6"/>
      <c r="D197" s="7">
        <v>2.6489781183466343E-2</v>
      </c>
      <c r="E197" s="6"/>
      <c r="F197" s="11">
        <v>46216</v>
      </c>
      <c r="G197" s="6">
        <v>3992489.4010107988</v>
      </c>
      <c r="H197" s="6">
        <f t="shared" si="30"/>
        <v>2324127.6006360836</v>
      </c>
      <c r="I197" s="6">
        <f t="shared" si="31"/>
        <v>540087.77782188263</v>
      </c>
      <c r="J197" s="6">
        <v>2840112</v>
      </c>
      <c r="K197" s="6"/>
      <c r="L197" s="6">
        <v>38589.655172413783</v>
      </c>
      <c r="M197" s="6"/>
      <c r="N197" s="6">
        <v>41758</v>
      </c>
      <c r="O197" s="6"/>
      <c r="P197" s="6">
        <v>3383</v>
      </c>
      <c r="Q197" s="6"/>
      <c r="R197" s="6">
        <v>79566</v>
      </c>
      <c r="S197" s="6"/>
      <c r="T197" s="6">
        <v>679280</v>
      </c>
      <c r="U197" s="6"/>
      <c r="V197" s="6">
        <v>124738</v>
      </c>
      <c r="W197" s="6"/>
      <c r="X197" s="6">
        <v>35820</v>
      </c>
      <c r="Y197" s="6"/>
      <c r="Z197" s="6">
        <v>15056</v>
      </c>
      <c r="AA197" s="6"/>
      <c r="AB197" s="6">
        <v>0</v>
      </c>
      <c r="AC197" s="6"/>
      <c r="AD197" s="6">
        <v>0</v>
      </c>
      <c r="AE197" s="6"/>
      <c r="AF197" s="8">
        <v>2391.9448861824408</v>
      </c>
      <c r="AG197" s="8">
        <v>8699.6806985696112</v>
      </c>
      <c r="AH197" s="9">
        <f t="shared" si="32"/>
        <v>0</v>
      </c>
      <c r="AI197" s="7"/>
      <c r="AJ197" s="9"/>
      <c r="AK197" s="21" t="e">
        <f t="shared" si="33"/>
        <v>#DIV/0!</v>
      </c>
      <c r="AL197" s="21" t="e">
        <f t="shared" si="34"/>
        <v>#DIV/0!</v>
      </c>
      <c r="AM197" s="18" t="e">
        <f t="shared" si="35"/>
        <v>#DIV/0!</v>
      </c>
      <c r="AN197" s="18" t="e">
        <f t="shared" si="36"/>
        <v>#DIV/0!</v>
      </c>
    </row>
    <row r="198" spans="1:40" hidden="1" x14ac:dyDescent="0.3">
      <c r="A198" s="11">
        <v>45853</v>
      </c>
      <c r="B198" s="6"/>
      <c r="C198" s="6"/>
      <c r="D198" s="7">
        <v>3.2157302474088642E-2</v>
      </c>
      <c r="E198" s="6"/>
      <c r="F198" s="11">
        <v>46217</v>
      </c>
      <c r="G198" s="6">
        <v>4846687.4227345716</v>
      </c>
      <c r="H198" s="6">
        <f t="shared" si="30"/>
        <v>2821377.5615738239</v>
      </c>
      <c r="I198" s="6">
        <f t="shared" si="31"/>
        <v>655640.22268393787</v>
      </c>
      <c r="J198" s="6">
        <v>3030753</v>
      </c>
      <c r="K198" s="6"/>
      <c r="L198" s="6">
        <v>41557.758620689645</v>
      </c>
      <c r="M198" s="6"/>
      <c r="N198" s="6">
        <v>41277</v>
      </c>
      <c r="O198" s="6"/>
      <c r="P198" s="6">
        <v>10445</v>
      </c>
      <c r="Q198" s="6"/>
      <c r="R198" s="6">
        <v>72001</v>
      </c>
      <c r="S198" s="6"/>
      <c r="T198" s="6">
        <v>731523</v>
      </c>
      <c r="U198" s="6"/>
      <c r="V198" s="6">
        <v>137392</v>
      </c>
      <c r="W198" s="6"/>
      <c r="X198" s="6">
        <v>41913</v>
      </c>
      <c r="Y198" s="6"/>
      <c r="Z198" s="6">
        <v>20268</v>
      </c>
      <c r="AA198" s="6"/>
      <c r="AB198" s="6">
        <v>0</v>
      </c>
      <c r="AC198" s="6"/>
      <c r="AD198" s="6">
        <v>0</v>
      </c>
      <c r="AE198" s="6"/>
      <c r="AF198" s="8">
        <v>2903.7044388394997</v>
      </c>
      <c r="AG198" s="8">
        <v>10560.988092514161</v>
      </c>
      <c r="AH198" s="9">
        <f t="shared" si="32"/>
        <v>0</v>
      </c>
      <c r="AI198" s="7"/>
      <c r="AJ198" s="9"/>
      <c r="AK198" s="21" t="e">
        <f t="shared" si="33"/>
        <v>#DIV/0!</v>
      </c>
      <c r="AL198" s="21" t="e">
        <f t="shared" si="34"/>
        <v>#DIV/0!</v>
      </c>
      <c r="AM198" s="18" t="e">
        <f t="shared" si="35"/>
        <v>#DIV/0!</v>
      </c>
      <c r="AN198" s="18" t="e">
        <f t="shared" si="36"/>
        <v>#DIV/0!</v>
      </c>
    </row>
    <row r="199" spans="1:40" hidden="1" x14ac:dyDescent="0.3">
      <c r="A199" s="11">
        <v>45854</v>
      </c>
      <c r="B199" s="6"/>
      <c r="C199" s="6"/>
      <c r="D199" s="7">
        <v>3.4747406822231514E-2</v>
      </c>
      <c r="E199" s="6"/>
      <c r="F199" s="11">
        <v>46218</v>
      </c>
      <c r="G199" s="6">
        <v>5237063.0202471223</v>
      </c>
      <c r="H199" s="6">
        <f t="shared" si="30"/>
        <v>3048624.9277318958</v>
      </c>
      <c r="I199" s="6">
        <f t="shared" si="31"/>
        <v>708448.65065949236</v>
      </c>
      <c r="J199" s="6">
        <v>3000776</v>
      </c>
      <c r="K199" s="6"/>
      <c r="L199" s="6">
        <v>43500.862068965507</v>
      </c>
      <c r="M199" s="6"/>
      <c r="N199" s="6">
        <v>50474</v>
      </c>
      <c r="O199" s="6"/>
      <c r="P199" s="6">
        <v>7851</v>
      </c>
      <c r="Q199" s="6"/>
      <c r="R199" s="6">
        <v>87553</v>
      </c>
      <c r="S199" s="6"/>
      <c r="T199" s="6">
        <v>786889</v>
      </c>
      <c r="U199" s="6"/>
      <c r="V199" s="6">
        <v>104771</v>
      </c>
      <c r="W199" s="6"/>
      <c r="X199" s="6">
        <v>62833</v>
      </c>
      <c r="Y199" s="6"/>
      <c r="Z199" s="6">
        <v>26962</v>
      </c>
      <c r="AA199" s="6"/>
      <c r="AB199" s="6">
        <v>0</v>
      </c>
      <c r="AC199" s="6"/>
      <c r="AD199" s="6">
        <v>0</v>
      </c>
      <c r="AE199" s="6"/>
      <c r="AF199" s="8">
        <v>3137.5828090423502</v>
      </c>
      <c r="AG199" s="8">
        <v>11411.621045982414</v>
      </c>
      <c r="AH199" s="9">
        <f t="shared" si="32"/>
        <v>0</v>
      </c>
      <c r="AI199" s="7"/>
      <c r="AJ199" s="9"/>
      <c r="AK199" s="21" t="e">
        <f t="shared" si="33"/>
        <v>#DIV/0!</v>
      </c>
      <c r="AL199" s="21" t="e">
        <f t="shared" si="34"/>
        <v>#DIV/0!</v>
      </c>
      <c r="AM199" s="18" t="e">
        <f t="shared" si="35"/>
        <v>#DIV/0!</v>
      </c>
      <c r="AN199" s="18" t="e">
        <f t="shared" si="36"/>
        <v>#DIV/0!</v>
      </c>
    </row>
    <row r="200" spans="1:40" hidden="1" x14ac:dyDescent="0.3">
      <c r="A200" s="11">
        <v>45855</v>
      </c>
      <c r="B200" s="6"/>
      <c r="C200" s="6"/>
      <c r="D200" s="7">
        <v>3.2777413651349209E-2</v>
      </c>
      <c r="E200" s="6"/>
      <c r="F200" s="11">
        <v>46219</v>
      </c>
      <c r="G200" s="6">
        <v>4940149.3990911907</v>
      </c>
      <c r="H200" s="6">
        <f t="shared" si="30"/>
        <v>2875784.1077265628</v>
      </c>
      <c r="I200" s="6">
        <f t="shared" si="31"/>
        <v>668283.37988518388</v>
      </c>
      <c r="J200" s="6">
        <v>2683648</v>
      </c>
      <c r="K200" s="6"/>
      <c r="L200" s="6">
        <v>39649.999999999993</v>
      </c>
      <c r="M200" s="6"/>
      <c r="N200" s="6">
        <v>18997</v>
      </c>
      <c r="O200" s="6"/>
      <c r="P200" s="6">
        <v>6904</v>
      </c>
      <c r="Q200" s="6"/>
      <c r="R200" s="6">
        <v>157886</v>
      </c>
      <c r="S200" s="6"/>
      <c r="T200" s="6">
        <v>648054</v>
      </c>
      <c r="U200" s="6"/>
      <c r="V200" s="6">
        <v>111421</v>
      </c>
      <c r="W200" s="6"/>
      <c r="X200" s="6">
        <v>44791</v>
      </c>
      <c r="Y200" s="6"/>
      <c r="Z200" s="6">
        <v>15718</v>
      </c>
      <c r="AA200" s="6"/>
      <c r="AB200" s="6">
        <v>0</v>
      </c>
      <c r="AC200" s="6"/>
      <c r="AD200" s="6">
        <v>0</v>
      </c>
      <c r="AE200" s="6"/>
      <c r="AF200" s="8">
        <v>2959.6985502683542</v>
      </c>
      <c r="AG200" s="8">
        <v>10764.642822706806</v>
      </c>
      <c r="AH200" s="9">
        <f t="shared" si="32"/>
        <v>0</v>
      </c>
      <c r="AI200" s="7"/>
      <c r="AJ200" s="9"/>
      <c r="AK200" s="21" t="e">
        <f t="shared" si="33"/>
        <v>#DIV/0!</v>
      </c>
      <c r="AL200" s="21" t="e">
        <f t="shared" si="34"/>
        <v>#DIV/0!</v>
      </c>
      <c r="AM200" s="18" t="e">
        <f t="shared" si="35"/>
        <v>#DIV/0!</v>
      </c>
      <c r="AN200" s="18" t="e">
        <f t="shared" si="36"/>
        <v>#DIV/0!</v>
      </c>
    </row>
    <row r="201" spans="1:40" hidden="1" x14ac:dyDescent="0.3">
      <c r="A201" s="11">
        <v>45856</v>
      </c>
      <c r="B201" s="6"/>
      <c r="C201" s="6"/>
      <c r="D201" s="7">
        <v>3.0724914231007466E-2</v>
      </c>
      <c r="E201" s="6"/>
      <c r="F201" s="11">
        <v>46220</v>
      </c>
      <c r="G201" s="6">
        <v>4630800.593053869</v>
      </c>
      <c r="H201" s="6">
        <f t="shared" si="30"/>
        <v>2695704.4566314006</v>
      </c>
      <c r="I201" s="6">
        <f t="shared" si="31"/>
        <v>626435.92772106535</v>
      </c>
      <c r="J201" s="6">
        <v>2251369</v>
      </c>
      <c r="K201" s="6"/>
      <c r="L201" s="6">
        <v>44689.655172413783</v>
      </c>
      <c r="M201" s="6"/>
      <c r="N201" s="6">
        <v>10825</v>
      </c>
      <c r="O201" s="6"/>
      <c r="P201" s="6">
        <v>8554</v>
      </c>
      <c r="Q201" s="6"/>
      <c r="R201" s="6">
        <v>102621</v>
      </c>
      <c r="S201" s="6"/>
      <c r="T201" s="6">
        <v>610477</v>
      </c>
      <c r="U201" s="6"/>
      <c r="V201" s="6">
        <v>69555</v>
      </c>
      <c r="W201" s="6"/>
      <c r="X201" s="6">
        <v>31664</v>
      </c>
      <c r="Y201" s="6"/>
      <c r="Z201" s="6">
        <v>19967</v>
      </c>
      <c r="AA201" s="6"/>
      <c r="AB201" s="6">
        <v>0</v>
      </c>
      <c r="AC201" s="6"/>
      <c r="AD201" s="6">
        <v>0</v>
      </c>
      <c r="AE201" s="6"/>
      <c r="AF201" s="8">
        <v>2774.3642336737303</v>
      </c>
      <c r="AG201" s="8">
        <v>10090.568187386023</v>
      </c>
      <c r="AH201" s="9">
        <f t="shared" si="32"/>
        <v>0</v>
      </c>
      <c r="AI201" s="7"/>
      <c r="AJ201" s="9"/>
      <c r="AK201" s="21" t="e">
        <f t="shared" si="33"/>
        <v>#DIV/0!</v>
      </c>
      <c r="AL201" s="21" t="e">
        <f t="shared" si="34"/>
        <v>#DIV/0!</v>
      </c>
      <c r="AM201" s="18" t="e">
        <f t="shared" si="35"/>
        <v>#DIV/0!</v>
      </c>
      <c r="AN201" s="18" t="e">
        <f t="shared" si="36"/>
        <v>#DIV/0!</v>
      </c>
    </row>
    <row r="202" spans="1:40" hidden="1" x14ac:dyDescent="0.3">
      <c r="A202" s="11">
        <v>45857</v>
      </c>
      <c r="B202" s="6"/>
      <c r="C202" s="6"/>
      <c r="D202" s="7">
        <v>2.7028664654144784E-2</v>
      </c>
      <c r="E202" s="6"/>
      <c r="F202" s="11">
        <v>46221</v>
      </c>
      <c r="G202" s="6">
        <v>4073708.8920349996</v>
      </c>
      <c r="H202" s="6">
        <f t="shared" si="30"/>
        <v>2371407.4909098488</v>
      </c>
      <c r="I202" s="6">
        <f t="shared" si="31"/>
        <v>551074.82124696451</v>
      </c>
      <c r="J202" s="6">
        <v>1984365</v>
      </c>
      <c r="K202" s="6"/>
      <c r="L202" s="6">
        <v>43837.068965517232</v>
      </c>
      <c r="M202" s="6"/>
      <c r="N202" s="6">
        <v>7363</v>
      </c>
      <c r="O202" s="6"/>
      <c r="P202" s="6">
        <v>4630</v>
      </c>
      <c r="Q202" s="6"/>
      <c r="R202" s="6">
        <v>162628</v>
      </c>
      <c r="S202" s="6"/>
      <c r="T202" s="6">
        <v>508767</v>
      </c>
      <c r="U202" s="6"/>
      <c r="V202" s="6">
        <v>55690</v>
      </c>
      <c r="W202" s="6"/>
      <c r="X202" s="6">
        <v>34679</v>
      </c>
      <c r="Y202" s="6"/>
      <c r="Z202" s="6">
        <v>11735</v>
      </c>
      <c r="AA202" s="6"/>
      <c r="AB202" s="6">
        <v>0</v>
      </c>
      <c r="AC202" s="6"/>
      <c r="AD202" s="6">
        <v>0</v>
      </c>
      <c r="AE202" s="6"/>
      <c r="AF202" s="8">
        <v>2440.6043882375975</v>
      </c>
      <c r="AG202" s="8">
        <v>8876.6589112686834</v>
      </c>
      <c r="AH202" s="9">
        <f t="shared" si="32"/>
        <v>0</v>
      </c>
      <c r="AI202" s="7"/>
      <c r="AJ202" s="9"/>
      <c r="AK202" s="21" t="e">
        <f t="shared" si="33"/>
        <v>#DIV/0!</v>
      </c>
      <c r="AL202" s="21" t="e">
        <f t="shared" si="34"/>
        <v>#DIV/0!</v>
      </c>
      <c r="AM202" s="18" t="e">
        <f t="shared" si="35"/>
        <v>#DIV/0!</v>
      </c>
      <c r="AN202" s="18" t="e">
        <f t="shared" si="36"/>
        <v>#DIV/0!</v>
      </c>
    </row>
    <row r="203" spans="1:40" hidden="1" x14ac:dyDescent="0.3">
      <c r="A203" s="11">
        <v>45858</v>
      </c>
      <c r="B203" s="6"/>
      <c r="C203" s="6"/>
      <c r="D203" s="7">
        <v>2.3810572231713522E-2</v>
      </c>
      <c r="E203" s="6"/>
      <c r="F203" s="11">
        <v>46222</v>
      </c>
      <c r="G203" s="6">
        <v>3588684.12723818</v>
      </c>
      <c r="H203" s="6">
        <f t="shared" si="30"/>
        <v>2089062.4851670859</v>
      </c>
      <c r="I203" s="6">
        <f t="shared" si="31"/>
        <v>485462.63769517478</v>
      </c>
      <c r="J203" s="6">
        <v>2341728</v>
      </c>
      <c r="K203" s="6"/>
      <c r="L203" s="6">
        <v>48778.448275862058</v>
      </c>
      <c r="M203" s="6"/>
      <c r="N203" s="6">
        <v>7001</v>
      </c>
      <c r="O203" s="6"/>
      <c r="P203" s="6">
        <v>5776</v>
      </c>
      <c r="Q203" s="6"/>
      <c r="R203" s="6">
        <v>121377</v>
      </c>
      <c r="S203" s="6"/>
      <c r="T203" s="6">
        <v>238970</v>
      </c>
      <c r="U203" s="6"/>
      <c r="V203" s="6">
        <v>55955</v>
      </c>
      <c r="W203" s="6"/>
      <c r="X203" s="6">
        <v>41650</v>
      </c>
      <c r="Y203" s="6"/>
      <c r="Z203" s="6">
        <v>15586</v>
      </c>
      <c r="AA203" s="6"/>
      <c r="AB203" s="6">
        <v>0</v>
      </c>
      <c r="AC203" s="6"/>
      <c r="AD203" s="6">
        <v>0</v>
      </c>
      <c r="AE203" s="6"/>
      <c r="AF203" s="8">
        <v>2150.0206472929449</v>
      </c>
      <c r="AG203" s="8">
        <v>7819.7843248107038</v>
      </c>
      <c r="AH203" s="9">
        <f t="shared" si="32"/>
        <v>0</v>
      </c>
      <c r="AI203" s="7"/>
      <c r="AJ203" s="9"/>
      <c r="AK203" s="21" t="e">
        <f t="shared" si="33"/>
        <v>#DIV/0!</v>
      </c>
      <c r="AL203" s="21" t="e">
        <f t="shared" si="34"/>
        <v>#DIV/0!</v>
      </c>
      <c r="AM203" s="18" t="e">
        <f t="shared" si="35"/>
        <v>#DIV/0!</v>
      </c>
      <c r="AN203" s="18" t="e">
        <f t="shared" si="36"/>
        <v>#DIV/0!</v>
      </c>
    </row>
    <row r="204" spans="1:40" hidden="1" x14ac:dyDescent="0.3">
      <c r="A204" s="11">
        <v>45859</v>
      </c>
      <c r="B204" s="6"/>
      <c r="C204" s="6"/>
      <c r="D204" s="7">
        <v>3.0186835437664386E-2</v>
      </c>
      <c r="E204" s="6"/>
      <c r="F204" s="11">
        <v>46223</v>
      </c>
      <c r="G204" s="6">
        <v>4549702.3814660823</v>
      </c>
      <c r="H204" s="6">
        <f t="shared" si="30"/>
        <v>2648495.1661406904</v>
      </c>
      <c r="I204" s="6">
        <f t="shared" si="31"/>
        <v>615465.29048638977</v>
      </c>
      <c r="J204" s="6">
        <v>3558327</v>
      </c>
      <c r="K204" s="6"/>
      <c r="L204" s="6">
        <v>45088.793103448261</v>
      </c>
      <c r="M204" s="6"/>
      <c r="N204" s="6">
        <v>41407</v>
      </c>
      <c r="O204" s="6"/>
      <c r="P204" s="6">
        <v>3984</v>
      </c>
      <c r="Q204" s="6"/>
      <c r="R204" s="6">
        <v>148938</v>
      </c>
      <c r="S204" s="6"/>
      <c r="T204" s="6">
        <v>1077744</v>
      </c>
      <c r="U204" s="6"/>
      <c r="V204" s="6">
        <v>70738</v>
      </c>
      <c r="W204" s="6"/>
      <c r="X204" s="6">
        <v>68483</v>
      </c>
      <c r="Y204" s="6"/>
      <c r="Z204" s="6">
        <v>15176</v>
      </c>
      <c r="AA204" s="6"/>
      <c r="AB204" s="6">
        <v>0</v>
      </c>
      <c r="AC204" s="6"/>
      <c r="AD204" s="6">
        <v>0</v>
      </c>
      <c r="AE204" s="6"/>
      <c r="AF204" s="8">
        <v>2725.7773914802765</v>
      </c>
      <c r="AG204" s="8">
        <v>9913.8542439851572</v>
      </c>
      <c r="AH204" s="9">
        <f t="shared" si="32"/>
        <v>0</v>
      </c>
      <c r="AI204" s="7"/>
      <c r="AJ204" s="9"/>
      <c r="AK204" s="21" t="e">
        <f t="shared" si="33"/>
        <v>#DIV/0!</v>
      </c>
      <c r="AL204" s="21" t="e">
        <f t="shared" si="34"/>
        <v>#DIV/0!</v>
      </c>
      <c r="AM204" s="18" t="e">
        <f t="shared" si="35"/>
        <v>#DIV/0!</v>
      </c>
      <c r="AN204" s="18" t="e">
        <f t="shared" si="36"/>
        <v>#DIV/0!</v>
      </c>
    </row>
    <row r="205" spans="1:40" hidden="1" x14ac:dyDescent="0.3">
      <c r="A205" s="11">
        <v>45860</v>
      </c>
      <c r="B205" s="6"/>
      <c r="C205" s="6"/>
      <c r="D205" s="7">
        <v>3.9724255674135303E-2</v>
      </c>
      <c r="E205" s="6"/>
      <c r="F205" s="11">
        <v>46224</v>
      </c>
      <c r="G205" s="6">
        <v>5987164.2065891428</v>
      </c>
      <c r="H205" s="6">
        <f t="shared" si="30"/>
        <v>3485277.5259845029</v>
      </c>
      <c r="I205" s="6">
        <f t="shared" si="31"/>
        <v>809919.29771254491</v>
      </c>
      <c r="J205" s="6">
        <v>3287363</v>
      </c>
      <c r="K205" s="6"/>
      <c r="L205" s="6">
        <v>43017.241379310326</v>
      </c>
      <c r="M205" s="6"/>
      <c r="N205" s="6">
        <v>45721</v>
      </c>
      <c r="O205" s="6"/>
      <c r="P205" s="6">
        <v>7885</v>
      </c>
      <c r="Q205" s="6"/>
      <c r="R205" s="6">
        <v>127866</v>
      </c>
      <c r="S205" s="6"/>
      <c r="T205" s="6">
        <v>797541</v>
      </c>
      <c r="U205" s="6"/>
      <c r="V205" s="6">
        <v>74451</v>
      </c>
      <c r="W205" s="6"/>
      <c r="X205" s="6">
        <v>41790</v>
      </c>
      <c r="Y205" s="6"/>
      <c r="Z205" s="6">
        <v>17634</v>
      </c>
      <c r="AA205" s="6"/>
      <c r="AB205" s="6">
        <v>0</v>
      </c>
      <c r="AC205" s="6"/>
      <c r="AD205" s="6">
        <v>0</v>
      </c>
      <c r="AE205" s="6"/>
      <c r="AF205" s="8">
        <v>3586.9767877304166</v>
      </c>
      <c r="AG205" s="8">
        <v>13046.100228605095</v>
      </c>
      <c r="AH205" s="9">
        <f t="shared" si="32"/>
        <v>0</v>
      </c>
      <c r="AI205" s="7"/>
      <c r="AJ205" s="9"/>
      <c r="AK205" s="21" t="e">
        <f t="shared" si="33"/>
        <v>#DIV/0!</v>
      </c>
      <c r="AL205" s="21" t="e">
        <f t="shared" si="34"/>
        <v>#DIV/0!</v>
      </c>
      <c r="AM205" s="18" t="e">
        <f t="shared" si="35"/>
        <v>#DIV/0!</v>
      </c>
      <c r="AN205" s="18" t="e">
        <f t="shared" si="36"/>
        <v>#DIV/0!</v>
      </c>
    </row>
    <row r="206" spans="1:40" hidden="1" x14ac:dyDescent="0.3">
      <c r="A206" s="11">
        <v>45861</v>
      </c>
      <c r="B206" s="6"/>
      <c r="C206" s="6"/>
      <c r="D206" s="7">
        <v>3.6838798980452399E-2</v>
      </c>
      <c r="E206" s="6"/>
      <c r="F206" s="11">
        <v>46225</v>
      </c>
      <c r="G206" s="6">
        <v>5552273.6657116292</v>
      </c>
      <c r="H206" s="6">
        <f t="shared" si="30"/>
        <v>3232116.9016749957</v>
      </c>
      <c r="I206" s="6">
        <f t="shared" si="31"/>
        <v>751089.06869332003</v>
      </c>
      <c r="J206" s="6">
        <v>3324693</v>
      </c>
      <c r="K206" s="6"/>
      <c r="L206" s="6">
        <v>47655.172413793087</v>
      </c>
      <c r="M206" s="6"/>
      <c r="N206" s="6">
        <v>29991</v>
      </c>
      <c r="O206" s="6"/>
      <c r="P206" s="6">
        <v>3101</v>
      </c>
      <c r="Q206" s="6"/>
      <c r="R206" s="6">
        <v>106991</v>
      </c>
      <c r="S206" s="6"/>
      <c r="T206" s="6">
        <v>677329</v>
      </c>
      <c r="U206" s="6"/>
      <c r="V206" s="6">
        <v>77441</v>
      </c>
      <c r="W206" s="6"/>
      <c r="X206" s="6">
        <v>28165</v>
      </c>
      <c r="Y206" s="6"/>
      <c r="Z206" s="6">
        <v>13242</v>
      </c>
      <c r="AA206" s="6"/>
      <c r="AB206" s="6">
        <v>0</v>
      </c>
      <c r="AC206" s="6"/>
      <c r="AD206" s="6">
        <v>0</v>
      </c>
      <c r="AE206" s="6"/>
      <c r="AF206" s="8">
        <v>3326.4290189529406</v>
      </c>
      <c r="AG206" s="8">
        <v>12098.468697384313</v>
      </c>
      <c r="AH206" s="9">
        <f t="shared" si="32"/>
        <v>0</v>
      </c>
      <c r="AI206" s="7"/>
      <c r="AJ206" s="9"/>
      <c r="AK206" s="21" t="e">
        <f t="shared" si="33"/>
        <v>#DIV/0!</v>
      </c>
      <c r="AL206" s="21" t="e">
        <f t="shared" si="34"/>
        <v>#DIV/0!</v>
      </c>
      <c r="AM206" s="18" t="e">
        <f t="shared" si="35"/>
        <v>#DIV/0!</v>
      </c>
      <c r="AN206" s="18" t="e">
        <f t="shared" si="36"/>
        <v>#DIV/0!</v>
      </c>
    </row>
    <row r="207" spans="1:40" hidden="1" x14ac:dyDescent="0.3">
      <c r="A207" s="11">
        <v>45862</v>
      </c>
      <c r="B207" s="6"/>
      <c r="C207" s="6"/>
      <c r="D207" s="7">
        <v>3.7487905364366282E-2</v>
      </c>
      <c r="E207" s="6"/>
      <c r="F207" s="11">
        <v>46226</v>
      </c>
      <c r="G207" s="6">
        <v>5650105.7444274081</v>
      </c>
      <c r="H207" s="6">
        <f t="shared" si="30"/>
        <v>3289067.3933440223</v>
      </c>
      <c r="I207" s="6">
        <f t="shared" si="31"/>
        <v>764323.39562225901</v>
      </c>
      <c r="J207" s="6">
        <v>2646867</v>
      </c>
      <c r="K207" s="6"/>
      <c r="L207" s="6">
        <v>44960.344827586188</v>
      </c>
      <c r="M207" s="6"/>
      <c r="N207" s="6">
        <v>35095</v>
      </c>
      <c r="O207" s="6"/>
      <c r="P207" s="6">
        <v>7885</v>
      </c>
      <c r="Q207" s="6"/>
      <c r="R207" s="6">
        <v>163118</v>
      </c>
      <c r="S207" s="6"/>
      <c r="T207" s="6">
        <v>660447</v>
      </c>
      <c r="U207" s="6"/>
      <c r="V207" s="6">
        <v>62295</v>
      </c>
      <c r="W207" s="6"/>
      <c r="X207" s="6">
        <v>26946</v>
      </c>
      <c r="Y207" s="6"/>
      <c r="Z207" s="6">
        <v>13471</v>
      </c>
      <c r="AA207" s="6"/>
      <c r="AB207" s="6">
        <v>0</v>
      </c>
      <c r="AC207" s="6"/>
      <c r="AD207" s="6">
        <v>0</v>
      </c>
      <c r="AE207" s="6"/>
      <c r="AF207" s="8">
        <v>3385.0413073987311</v>
      </c>
      <c r="AG207" s="8">
        <v>12311.645931289837</v>
      </c>
      <c r="AH207" s="9">
        <f t="shared" si="32"/>
        <v>0</v>
      </c>
      <c r="AI207" s="7"/>
      <c r="AJ207" s="9"/>
      <c r="AK207" s="21" t="e">
        <f t="shared" si="33"/>
        <v>#DIV/0!</v>
      </c>
      <c r="AL207" s="21" t="e">
        <f t="shared" si="34"/>
        <v>#DIV/0!</v>
      </c>
      <c r="AM207" s="18" t="e">
        <f t="shared" si="35"/>
        <v>#DIV/0!</v>
      </c>
      <c r="AN207" s="18" t="e">
        <f t="shared" si="36"/>
        <v>#DIV/0!</v>
      </c>
    </row>
    <row r="208" spans="1:40" hidden="1" x14ac:dyDescent="0.3">
      <c r="A208" s="11">
        <v>45863</v>
      </c>
      <c r="B208" s="6"/>
      <c r="C208" s="6"/>
      <c r="D208" s="7">
        <v>2.8121148249880847E-2</v>
      </c>
      <c r="E208" s="6"/>
      <c r="F208" s="11">
        <v>46227</v>
      </c>
      <c r="G208" s="6">
        <v>4238365.9402206894</v>
      </c>
      <c r="H208" s="6">
        <f t="shared" si="30"/>
        <v>2467258.4630453642</v>
      </c>
      <c r="I208" s="6">
        <f t="shared" si="31"/>
        <v>573348.95909058792</v>
      </c>
      <c r="J208" s="6">
        <v>2242610</v>
      </c>
      <c r="K208" s="6"/>
      <c r="L208" s="6">
        <v>44752.586206896522</v>
      </c>
      <c r="M208" s="6"/>
      <c r="N208" s="6">
        <v>-1659</v>
      </c>
      <c r="O208" s="6"/>
      <c r="P208" s="6">
        <v>4160</v>
      </c>
      <c r="Q208" s="6"/>
      <c r="R208" s="6">
        <v>125791</v>
      </c>
      <c r="S208" s="6"/>
      <c r="T208" s="6">
        <v>585838</v>
      </c>
      <c r="U208" s="6"/>
      <c r="V208" s="6">
        <v>65896</v>
      </c>
      <c r="W208" s="6"/>
      <c r="X208" s="6">
        <v>16520</v>
      </c>
      <c r="Y208" s="6"/>
      <c r="Z208" s="6">
        <v>5192</v>
      </c>
      <c r="AA208" s="6"/>
      <c r="AB208" s="6">
        <v>0</v>
      </c>
      <c r="AC208" s="6"/>
      <c r="AD208" s="6">
        <v>0</v>
      </c>
      <c r="AE208" s="6"/>
      <c r="AF208" s="8">
        <v>2539.2522604854098</v>
      </c>
      <c r="AG208" s="8">
        <v>9235.4485284989332</v>
      </c>
      <c r="AH208" s="9">
        <f t="shared" si="32"/>
        <v>0</v>
      </c>
      <c r="AI208" s="7"/>
      <c r="AJ208" s="9"/>
      <c r="AK208" s="21" t="e">
        <f t="shared" si="33"/>
        <v>#DIV/0!</v>
      </c>
      <c r="AL208" s="21" t="e">
        <f t="shared" si="34"/>
        <v>#DIV/0!</v>
      </c>
      <c r="AM208" s="18" t="e">
        <f t="shared" si="35"/>
        <v>#DIV/0!</v>
      </c>
      <c r="AN208" s="18" t="e">
        <f t="shared" si="36"/>
        <v>#DIV/0!</v>
      </c>
    </row>
    <row r="209" spans="1:40" hidden="1" x14ac:dyDescent="0.3">
      <c r="A209" s="11">
        <v>45864</v>
      </c>
      <c r="B209" s="6"/>
      <c r="C209" s="6"/>
      <c r="D209" s="7">
        <v>2.6035236838400252E-2</v>
      </c>
      <c r="E209" s="6"/>
      <c r="F209" s="11">
        <v>46228</v>
      </c>
      <c r="G209" s="6">
        <v>3923981.3424731744</v>
      </c>
      <c r="H209" s="6">
        <f t="shared" si="30"/>
        <v>2284247.3520691185</v>
      </c>
      <c r="I209" s="6">
        <f t="shared" si="31"/>
        <v>530820.28544253926</v>
      </c>
      <c r="J209" s="6">
        <v>1814470</v>
      </c>
      <c r="K209" s="6"/>
      <c r="L209" s="6">
        <v>48636.206896551696</v>
      </c>
      <c r="M209" s="6"/>
      <c r="N209" s="6">
        <v>22502</v>
      </c>
      <c r="O209" s="6"/>
      <c r="P209" s="6">
        <v>8441</v>
      </c>
      <c r="Q209" s="6"/>
      <c r="R209" s="6">
        <v>137101</v>
      </c>
      <c r="S209" s="6"/>
      <c r="T209" s="6">
        <v>418048</v>
      </c>
      <c r="U209" s="6"/>
      <c r="V209" s="6">
        <v>74083</v>
      </c>
      <c r="W209" s="6"/>
      <c r="X209" s="6">
        <v>22565</v>
      </c>
      <c r="Y209" s="6"/>
      <c r="Z209" s="6">
        <v>8030</v>
      </c>
      <c r="AA209" s="6"/>
      <c r="AB209" s="6">
        <v>0</v>
      </c>
      <c r="AC209" s="6"/>
      <c r="AD209" s="6">
        <v>0</v>
      </c>
      <c r="AE209" s="6"/>
      <c r="AF209" s="8">
        <v>2350.9009449662485</v>
      </c>
      <c r="AG209" s="8">
        <v>8550.4008446505613</v>
      </c>
      <c r="AH209" s="9">
        <f t="shared" si="32"/>
        <v>0</v>
      </c>
      <c r="AI209" s="7"/>
      <c r="AJ209" s="9"/>
      <c r="AK209" s="21" t="e">
        <f t="shared" si="33"/>
        <v>#DIV/0!</v>
      </c>
      <c r="AL209" s="21" t="e">
        <f t="shared" si="34"/>
        <v>#DIV/0!</v>
      </c>
      <c r="AM209" s="18" t="e">
        <f t="shared" si="35"/>
        <v>#DIV/0!</v>
      </c>
      <c r="AN209" s="18" t="e">
        <f t="shared" si="36"/>
        <v>#DIV/0!</v>
      </c>
    </row>
    <row r="210" spans="1:40" hidden="1" x14ac:dyDescent="0.3">
      <c r="A210" s="11">
        <v>45865</v>
      </c>
      <c r="B210" s="6"/>
      <c r="C210" s="6"/>
      <c r="D210" s="7">
        <v>2.4880042055656287E-2</v>
      </c>
      <c r="E210" s="6"/>
      <c r="F210" s="11">
        <v>46229</v>
      </c>
      <c r="G210" s="6">
        <v>3749872.5835421304</v>
      </c>
      <c r="H210" s="6">
        <f t="shared" si="30"/>
        <v>2182894.3035070645</v>
      </c>
      <c r="I210" s="6">
        <f t="shared" si="31"/>
        <v>507267.55849313602</v>
      </c>
      <c r="J210" s="6">
        <v>2492742</v>
      </c>
      <c r="K210" s="6"/>
      <c r="L210" s="6">
        <v>46004.310344827565</v>
      </c>
      <c r="M210" s="6"/>
      <c r="N210" s="6">
        <v>188</v>
      </c>
      <c r="O210" s="6"/>
      <c r="P210" s="6">
        <v>5260</v>
      </c>
      <c r="Q210" s="6"/>
      <c r="R210" s="6">
        <v>96913</v>
      </c>
      <c r="S210" s="6"/>
      <c r="T210" s="6">
        <v>456920</v>
      </c>
      <c r="U210" s="6"/>
      <c r="V210" s="6">
        <v>102581</v>
      </c>
      <c r="W210" s="6"/>
      <c r="X210" s="6">
        <v>25564</v>
      </c>
      <c r="Y210" s="6"/>
      <c r="Z210" s="6">
        <v>8824</v>
      </c>
      <c r="AA210" s="6"/>
      <c r="AB210" s="6">
        <v>0</v>
      </c>
      <c r="AC210" s="6"/>
      <c r="AD210" s="6">
        <v>0</v>
      </c>
      <c r="AE210" s="6"/>
      <c r="AF210" s="8">
        <v>2246.590447495862</v>
      </c>
      <c r="AG210" s="8">
        <v>8171.0158401115805</v>
      </c>
      <c r="AH210" s="9">
        <f t="shared" si="32"/>
        <v>0</v>
      </c>
      <c r="AI210" s="7"/>
      <c r="AJ210" s="9"/>
      <c r="AK210" s="21" t="e">
        <f t="shared" si="33"/>
        <v>#DIV/0!</v>
      </c>
      <c r="AL210" s="21" t="e">
        <f t="shared" si="34"/>
        <v>#DIV/0!</v>
      </c>
      <c r="AM210" s="18" t="e">
        <f t="shared" si="35"/>
        <v>#DIV/0!</v>
      </c>
      <c r="AN210" s="18" t="e">
        <f t="shared" si="36"/>
        <v>#DIV/0!</v>
      </c>
    </row>
    <row r="211" spans="1:40" hidden="1" x14ac:dyDescent="0.3">
      <c r="A211" s="11">
        <v>45866</v>
      </c>
      <c r="B211" s="6"/>
      <c r="C211" s="6"/>
      <c r="D211" s="7">
        <v>3.0685699622194137E-2</v>
      </c>
      <c r="E211" s="6"/>
      <c r="F211" s="11">
        <v>46230</v>
      </c>
      <c r="G211" s="6">
        <v>4624890.2418521112</v>
      </c>
      <c r="H211" s="6">
        <f t="shared" si="30"/>
        <v>2692263.8938702373</v>
      </c>
      <c r="I211" s="6">
        <f t="shared" si="31"/>
        <v>625636.3993751927</v>
      </c>
      <c r="J211" s="6">
        <v>3484387</v>
      </c>
      <c r="K211" s="6"/>
      <c r="L211" s="6">
        <v>44995.689655172384</v>
      </c>
      <c r="M211" s="6"/>
      <c r="N211" s="6">
        <v>50334</v>
      </c>
      <c r="O211" s="6"/>
      <c r="P211" s="6">
        <v>7472</v>
      </c>
      <c r="Q211" s="6"/>
      <c r="R211" s="6">
        <v>92406</v>
      </c>
      <c r="S211" s="6"/>
      <c r="T211" s="6">
        <v>769591</v>
      </c>
      <c r="U211" s="6"/>
      <c r="V211" s="6">
        <v>185943</v>
      </c>
      <c r="W211" s="6"/>
      <c r="X211" s="6">
        <v>24718</v>
      </c>
      <c r="Y211" s="6"/>
      <c r="Z211" s="6">
        <v>4083</v>
      </c>
      <c r="AA211" s="6"/>
      <c r="AB211" s="6">
        <v>0</v>
      </c>
      <c r="AC211" s="6"/>
      <c r="AD211" s="6">
        <v>0</v>
      </c>
      <c r="AE211" s="6"/>
      <c r="AF211" s="8">
        <v>2770.823276413078</v>
      </c>
      <c r="AG211" s="8">
        <v>10077.68946358561</v>
      </c>
      <c r="AH211" s="9">
        <f t="shared" si="32"/>
        <v>0</v>
      </c>
      <c r="AI211" s="7"/>
      <c r="AJ211" s="9"/>
      <c r="AK211" s="21" t="e">
        <f t="shared" si="33"/>
        <v>#DIV/0!</v>
      </c>
      <c r="AL211" s="21" t="e">
        <f t="shared" si="34"/>
        <v>#DIV/0!</v>
      </c>
      <c r="AM211" s="18" t="e">
        <f t="shared" si="35"/>
        <v>#DIV/0!</v>
      </c>
      <c r="AN211" s="18" t="e">
        <f t="shared" si="36"/>
        <v>#DIV/0!</v>
      </c>
    </row>
    <row r="212" spans="1:40" hidden="1" x14ac:dyDescent="0.3">
      <c r="A212" s="11">
        <v>45867</v>
      </c>
      <c r="B212" s="6"/>
      <c r="C212" s="6"/>
      <c r="D212" s="7">
        <v>4.0557919275359837E-2</v>
      </c>
      <c r="E212" s="6"/>
      <c r="F212" s="11">
        <v>46231</v>
      </c>
      <c r="G212" s="6">
        <v>6112812.3978235377</v>
      </c>
      <c r="H212" s="6">
        <f t="shared" si="30"/>
        <v>3558420.4701195392</v>
      </c>
      <c r="I212" s="6">
        <f t="shared" si="31"/>
        <v>826916.47555701016</v>
      </c>
      <c r="J212" s="6">
        <v>3757033</v>
      </c>
      <c r="K212" s="6"/>
      <c r="L212" s="6">
        <v>48606.034482758601</v>
      </c>
      <c r="M212" s="6"/>
      <c r="N212" s="6">
        <v>41706</v>
      </c>
      <c r="O212" s="6"/>
      <c r="P212" s="6">
        <v>2828</v>
      </c>
      <c r="Q212" s="6"/>
      <c r="R212" s="6">
        <v>125933</v>
      </c>
      <c r="S212" s="6"/>
      <c r="T212" s="6">
        <v>723558</v>
      </c>
      <c r="U212" s="6"/>
      <c r="V212" s="6">
        <v>178272</v>
      </c>
      <c r="W212" s="6"/>
      <c r="X212" s="6">
        <v>20718</v>
      </c>
      <c r="Y212" s="6"/>
      <c r="Z212" s="6">
        <v>12849</v>
      </c>
      <c r="AA212" s="6"/>
      <c r="AB212" s="6">
        <v>0</v>
      </c>
      <c r="AC212" s="6"/>
      <c r="AD212" s="6">
        <v>0</v>
      </c>
      <c r="AE212" s="6"/>
      <c r="AF212" s="8">
        <v>3662.2540191252183</v>
      </c>
      <c r="AG212" s="8">
        <v>13319.889094222446</v>
      </c>
      <c r="AH212" s="9">
        <f t="shared" si="32"/>
        <v>0</v>
      </c>
      <c r="AI212" s="7"/>
      <c r="AJ212" s="9"/>
      <c r="AK212" s="21" t="e">
        <f t="shared" si="33"/>
        <v>#DIV/0!</v>
      </c>
      <c r="AL212" s="21" t="e">
        <f t="shared" si="34"/>
        <v>#DIV/0!</v>
      </c>
      <c r="AM212" s="18" t="e">
        <f t="shared" si="35"/>
        <v>#DIV/0!</v>
      </c>
      <c r="AN212" s="18" t="e">
        <f t="shared" si="36"/>
        <v>#DIV/0!</v>
      </c>
    </row>
    <row r="213" spans="1:40" hidden="1" x14ac:dyDescent="0.3">
      <c r="A213" s="11">
        <v>45868</v>
      </c>
      <c r="B213" s="6"/>
      <c r="C213" s="6"/>
      <c r="D213" s="7">
        <v>3.9987885850940874E-2</v>
      </c>
      <c r="E213" s="6"/>
      <c r="F213" s="11">
        <v>46232</v>
      </c>
      <c r="G213" s="6">
        <v>6026898.0450604018</v>
      </c>
      <c r="H213" s="6">
        <f t="shared" si="30"/>
        <v>3508407.5837992812</v>
      </c>
      <c r="I213" s="6">
        <f t="shared" si="31"/>
        <v>815294.33027214115</v>
      </c>
      <c r="J213" s="6">
        <v>3422418</v>
      </c>
      <c r="K213" s="6"/>
      <c r="L213" s="6">
        <v>44943.965517241355</v>
      </c>
      <c r="M213" s="6"/>
      <c r="N213" s="6">
        <v>35371</v>
      </c>
      <c r="O213" s="6"/>
      <c r="P213" s="6">
        <v>6861</v>
      </c>
      <c r="Q213" s="6"/>
      <c r="R213" s="6">
        <v>146730</v>
      </c>
      <c r="S213" s="6"/>
      <c r="T213" s="6">
        <v>716501</v>
      </c>
      <c r="U213" s="6"/>
      <c r="V213" s="6">
        <v>157888</v>
      </c>
      <c r="W213" s="6"/>
      <c r="X213" s="6">
        <v>21031</v>
      </c>
      <c r="Y213" s="6"/>
      <c r="Z213" s="6">
        <v>6179</v>
      </c>
      <c r="AA213" s="6"/>
      <c r="AB213" s="6">
        <v>0</v>
      </c>
      <c r="AC213" s="6"/>
      <c r="AD213" s="6">
        <v>0</v>
      </c>
      <c r="AE213" s="6"/>
      <c r="AF213" s="8">
        <v>3610.7817730900933</v>
      </c>
      <c r="AG213" s="8">
        <v>13132.680723356309</v>
      </c>
      <c r="AH213" s="9">
        <f t="shared" si="32"/>
        <v>0</v>
      </c>
      <c r="AI213" s="7"/>
      <c r="AJ213" s="9"/>
      <c r="AK213" s="21" t="e">
        <f t="shared" si="33"/>
        <v>#DIV/0!</v>
      </c>
      <c r="AL213" s="21" t="e">
        <f t="shared" si="34"/>
        <v>#DIV/0!</v>
      </c>
      <c r="AM213" s="18" t="e">
        <f t="shared" si="35"/>
        <v>#DIV/0!</v>
      </c>
      <c r="AN213" s="18" t="e">
        <f t="shared" si="36"/>
        <v>#DIV/0!</v>
      </c>
    </row>
    <row r="214" spans="1:40" hidden="1" x14ac:dyDescent="0.3">
      <c r="A214" s="11">
        <v>45869</v>
      </c>
      <c r="B214" s="6"/>
      <c r="C214" s="6"/>
      <c r="D214" s="7">
        <v>3.9589445397872847E-2</v>
      </c>
      <c r="E214" s="6"/>
      <c r="F214" s="11">
        <v>46233</v>
      </c>
      <c r="G214" s="6">
        <v>5966845.8583401535</v>
      </c>
      <c r="H214" s="6">
        <f t="shared" si="30"/>
        <v>3473449.7089957199</v>
      </c>
      <c r="I214" s="6">
        <f t="shared" si="31"/>
        <v>807170.71394622861</v>
      </c>
      <c r="J214" s="6">
        <v>3229434</v>
      </c>
      <c r="K214" s="6"/>
      <c r="L214" s="6">
        <v>53487.068965517217</v>
      </c>
      <c r="M214" s="6"/>
      <c r="N214" s="6">
        <v>38487</v>
      </c>
      <c r="O214" s="6"/>
      <c r="P214" s="6">
        <v>4745</v>
      </c>
      <c r="Q214" s="6"/>
      <c r="R214" s="6">
        <v>157866</v>
      </c>
      <c r="S214" s="6"/>
      <c r="T214" s="6">
        <v>760045</v>
      </c>
      <c r="U214" s="6"/>
      <c r="V214" s="6">
        <v>130193</v>
      </c>
      <c r="W214" s="6"/>
      <c r="X214" s="6">
        <v>26548</v>
      </c>
      <c r="Y214" s="6"/>
      <c r="Z214" s="6">
        <v>5366</v>
      </c>
      <c r="AA214" s="6"/>
      <c r="AB214" s="6">
        <v>0</v>
      </c>
      <c r="AC214" s="6"/>
      <c r="AD214" s="6">
        <v>0</v>
      </c>
      <c r="AE214" s="6"/>
      <c r="AF214" s="8">
        <v>3574.8038388986574</v>
      </c>
      <c r="AG214" s="8">
        <v>13001.826312174959</v>
      </c>
      <c r="AH214" s="9">
        <f t="shared" si="32"/>
        <v>0</v>
      </c>
      <c r="AI214" s="7"/>
      <c r="AJ214" s="9"/>
      <c r="AK214" s="21" t="e">
        <f t="shared" si="33"/>
        <v>#DIV/0!</v>
      </c>
      <c r="AL214" s="21" t="e">
        <f t="shared" si="34"/>
        <v>#DIV/0!</v>
      </c>
      <c r="AM214" s="18" t="e">
        <f t="shared" si="35"/>
        <v>#DIV/0!</v>
      </c>
      <c r="AN214" s="18" t="e">
        <f t="shared" si="36"/>
        <v>#DIV/0!</v>
      </c>
    </row>
    <row r="215" spans="1:40" hidden="1" x14ac:dyDescent="0.3">
      <c r="A215" s="11">
        <v>45870</v>
      </c>
      <c r="B215" s="6"/>
      <c r="C215" s="6"/>
      <c r="D215" s="7">
        <v>3.6287514537948963E-2</v>
      </c>
      <c r="E215" s="6"/>
      <c r="F215" s="11">
        <v>46234</v>
      </c>
      <c r="G215" s="6">
        <v>5469185.1238171849</v>
      </c>
      <c r="H215" s="6">
        <f t="shared" si="30"/>
        <v>3183748.9903000537</v>
      </c>
      <c r="I215" s="6">
        <f t="shared" si="31"/>
        <v>739849.18764495221</v>
      </c>
      <c r="J215" s="6">
        <v>2745483</v>
      </c>
      <c r="K215" s="6"/>
      <c r="L215" s="6">
        <v>43694.827586206884</v>
      </c>
      <c r="M215" s="6"/>
      <c r="N215" s="6">
        <v>12201</v>
      </c>
      <c r="O215" s="6"/>
      <c r="P215" s="6">
        <v>2825</v>
      </c>
      <c r="Q215" s="6"/>
      <c r="R215" s="6">
        <v>168709</v>
      </c>
      <c r="S215" s="6"/>
      <c r="T215" s="6">
        <v>619607</v>
      </c>
      <c r="U215" s="6"/>
      <c r="V215" s="6">
        <v>90655</v>
      </c>
      <c r="W215" s="6"/>
      <c r="X215" s="6">
        <v>24972</v>
      </c>
      <c r="Y215" s="6"/>
      <c r="Z215" s="6">
        <v>11177</v>
      </c>
      <c r="AA215" s="6"/>
      <c r="AB215" s="6">
        <v>0</v>
      </c>
      <c r="AC215" s="6"/>
      <c r="AD215" s="6">
        <v>0</v>
      </c>
      <c r="AE215" s="6"/>
      <c r="AF215" s="8">
        <v>3276.6497476956506</v>
      </c>
      <c r="AG215" s="8">
        <v>11917.417801166934</v>
      </c>
      <c r="AH215" s="9">
        <f t="shared" si="32"/>
        <v>0</v>
      </c>
      <c r="AI215" s="7"/>
      <c r="AJ215" s="9"/>
      <c r="AK215" s="21" t="e">
        <f t="shared" si="33"/>
        <v>#DIV/0!</v>
      </c>
      <c r="AL215" s="21" t="e">
        <f t="shared" si="34"/>
        <v>#DIV/0!</v>
      </c>
      <c r="AM215" s="18" t="e">
        <f t="shared" si="35"/>
        <v>#DIV/0!</v>
      </c>
      <c r="AN215" s="18" t="e">
        <f t="shared" si="36"/>
        <v>#DIV/0!</v>
      </c>
    </row>
    <row r="216" spans="1:40" hidden="1" x14ac:dyDescent="0.3">
      <c r="A216" s="11">
        <v>45871</v>
      </c>
      <c r="B216" s="6"/>
      <c r="C216" s="6"/>
      <c r="D216" s="7">
        <v>2.3850322834519294E-2</v>
      </c>
      <c r="E216" s="6"/>
      <c r="F216" s="11">
        <v>46235</v>
      </c>
      <c r="G216" s="6">
        <v>4580420.9352939166</v>
      </c>
      <c r="H216" s="6">
        <f t="shared" si="30"/>
        <v>2092550.0743050619</v>
      </c>
      <c r="I216" s="6">
        <f t="shared" si="31"/>
        <v>486273.09417225019</v>
      </c>
      <c r="J216" s="6">
        <v>2144459</v>
      </c>
      <c r="K216" s="6"/>
      <c r="L216" s="6">
        <v>42634.482758620674</v>
      </c>
      <c r="M216" s="6"/>
      <c r="N216" s="6">
        <v>10464</v>
      </c>
      <c r="O216" s="6"/>
      <c r="P216" s="6">
        <v>4246</v>
      </c>
      <c r="Q216" s="6"/>
      <c r="R216" s="6">
        <v>87668</v>
      </c>
      <c r="S216" s="6"/>
      <c r="T216" s="6">
        <v>684341</v>
      </c>
      <c r="U216" s="6"/>
      <c r="V216" s="6">
        <v>63880</v>
      </c>
      <c r="W216" s="6"/>
      <c r="X216" s="6">
        <v>21198</v>
      </c>
      <c r="Y216" s="6"/>
      <c r="Z216" s="6">
        <v>6284</v>
      </c>
      <c r="AA216" s="6"/>
      <c r="AB216" s="6">
        <v>0</v>
      </c>
      <c r="AC216" s="6"/>
      <c r="AD216" s="6">
        <v>0</v>
      </c>
      <c r="AE216" s="6"/>
      <c r="AF216" s="8">
        <v>2503.3638890011539</v>
      </c>
      <c r="AG216" s="8">
        <v>10016.035532089812</v>
      </c>
      <c r="AH216" s="9">
        <f t="shared" si="32"/>
        <v>0</v>
      </c>
      <c r="AI216" s="7"/>
      <c r="AJ216" s="9"/>
      <c r="AK216" s="21" t="e">
        <f t="shared" si="33"/>
        <v>#DIV/0!</v>
      </c>
      <c r="AL216" s="21" t="e">
        <f t="shared" si="34"/>
        <v>#DIV/0!</v>
      </c>
      <c r="AM216" s="18" t="e">
        <f t="shared" si="35"/>
        <v>#DIV/0!</v>
      </c>
      <c r="AN216" s="18" t="e">
        <f t="shared" si="36"/>
        <v>#DIV/0!</v>
      </c>
    </row>
    <row r="217" spans="1:40" hidden="1" x14ac:dyDescent="0.3">
      <c r="A217" s="11">
        <v>45872</v>
      </c>
      <c r="B217" s="6"/>
      <c r="C217" s="6"/>
      <c r="D217" s="7">
        <v>2.1492388799141577E-2</v>
      </c>
      <c r="E217" s="6"/>
      <c r="F217" s="11">
        <v>46236</v>
      </c>
      <c r="G217" s="6">
        <v>4127583.0221712263</v>
      </c>
      <c r="H217" s="6">
        <f t="shared" si="30"/>
        <v>1885672.5793893614</v>
      </c>
      <c r="I217" s="6">
        <f t="shared" si="31"/>
        <v>438198.27828012843</v>
      </c>
      <c r="J217" s="6">
        <v>2587395</v>
      </c>
      <c r="K217" s="6"/>
      <c r="L217" s="6">
        <v>45812.931034482739</v>
      </c>
      <c r="M217" s="6"/>
      <c r="N217" s="6">
        <v>9328</v>
      </c>
      <c r="O217" s="6"/>
      <c r="P217" s="6">
        <v>2300</v>
      </c>
      <c r="Q217" s="6"/>
      <c r="R217" s="6">
        <v>132317</v>
      </c>
      <c r="S217" s="6"/>
      <c r="T217" s="6">
        <v>692254</v>
      </c>
      <c r="U217" s="6"/>
      <c r="V217" s="6">
        <v>69290</v>
      </c>
      <c r="W217" s="6"/>
      <c r="X217" s="6">
        <v>36198</v>
      </c>
      <c r="Y217" s="6"/>
      <c r="Z217" s="6">
        <v>10279</v>
      </c>
      <c r="AA217" s="6"/>
      <c r="AB217" s="6">
        <v>0</v>
      </c>
      <c r="AC217" s="6"/>
      <c r="AD217" s="6">
        <v>0</v>
      </c>
      <c r="AE217" s="6"/>
      <c r="AF217" s="8">
        <v>2255.8717708538852</v>
      </c>
      <c r="AG217" s="8">
        <v>9025.811993208179</v>
      </c>
      <c r="AH217" s="9">
        <f t="shared" si="32"/>
        <v>0</v>
      </c>
      <c r="AI217" s="7"/>
      <c r="AJ217" s="9"/>
      <c r="AK217" s="21" t="e">
        <f t="shared" si="33"/>
        <v>#DIV/0!</v>
      </c>
      <c r="AL217" s="21" t="e">
        <f t="shared" si="34"/>
        <v>#DIV/0!</v>
      </c>
      <c r="AM217" s="18" t="e">
        <f t="shared" si="35"/>
        <v>#DIV/0!</v>
      </c>
      <c r="AN217" s="18" t="e">
        <f t="shared" si="36"/>
        <v>#DIV/0!</v>
      </c>
    </row>
    <row r="218" spans="1:40" hidden="1" x14ac:dyDescent="0.3">
      <c r="A218" s="11">
        <v>45873</v>
      </c>
      <c r="B218" s="6"/>
      <c r="C218" s="6"/>
      <c r="D218" s="7">
        <v>2.6124450181687534E-2</v>
      </c>
      <c r="E218" s="6"/>
      <c r="F218" s="11">
        <v>46237</v>
      </c>
      <c r="G218" s="6">
        <v>5017163.8918889426</v>
      </c>
      <c r="H218" s="6">
        <f t="shared" si="30"/>
        <v>2292074.6418471257</v>
      </c>
      <c r="I218" s="6">
        <f t="shared" si="31"/>
        <v>532639.21463619231</v>
      </c>
      <c r="J218" s="6">
        <v>3838217</v>
      </c>
      <c r="K218" s="6"/>
      <c r="L218" s="6">
        <v>45938.793103448254</v>
      </c>
      <c r="M218" s="6"/>
      <c r="N218" s="6">
        <v>56057</v>
      </c>
      <c r="O218" s="6"/>
      <c r="P218" s="6">
        <v>1839</v>
      </c>
      <c r="Q218" s="6"/>
      <c r="R218" s="6">
        <v>73598</v>
      </c>
      <c r="S218" s="6"/>
      <c r="T218" s="6">
        <v>691486</v>
      </c>
      <c r="U218" s="6"/>
      <c r="V218" s="6">
        <v>97155</v>
      </c>
      <c r="W218" s="6"/>
      <c r="X218" s="6">
        <v>44478</v>
      </c>
      <c r="Y218" s="6"/>
      <c r="Z218" s="6">
        <v>11834</v>
      </c>
      <c r="AA218" s="6"/>
      <c r="AB218" s="6">
        <v>0</v>
      </c>
      <c r="AC218" s="6"/>
      <c r="AD218" s="6">
        <v>0</v>
      </c>
      <c r="AE218" s="6"/>
      <c r="AF218" s="8">
        <v>2742.0595376676515</v>
      </c>
      <c r="AG218" s="8">
        <v>10971.064127374373</v>
      </c>
      <c r="AH218" s="9">
        <f t="shared" si="32"/>
        <v>0</v>
      </c>
      <c r="AI218" s="7"/>
      <c r="AJ218" s="9"/>
      <c r="AK218" s="21" t="e">
        <f t="shared" si="33"/>
        <v>#DIV/0!</v>
      </c>
      <c r="AL218" s="21" t="e">
        <f t="shared" si="34"/>
        <v>#DIV/0!</v>
      </c>
      <c r="AM218" s="18" t="e">
        <f t="shared" si="35"/>
        <v>#DIV/0!</v>
      </c>
      <c r="AN218" s="18" t="e">
        <f t="shared" si="36"/>
        <v>#DIV/0!</v>
      </c>
    </row>
    <row r="219" spans="1:40" hidden="1" x14ac:dyDescent="0.3">
      <c r="A219" s="11">
        <v>45874</v>
      </c>
      <c r="B219" s="6"/>
      <c r="C219" s="6"/>
      <c r="D219" s="7">
        <v>3.3720668937312674E-2</v>
      </c>
      <c r="E219" s="6"/>
      <c r="F219" s="11">
        <v>46238</v>
      </c>
      <c r="G219" s="6">
        <v>6476007.0135836927</v>
      </c>
      <c r="H219" s="6">
        <f t="shared" si="30"/>
        <v>2958542.2713131262</v>
      </c>
      <c r="I219" s="6">
        <f t="shared" si="31"/>
        <v>687514.97141047439</v>
      </c>
      <c r="J219" s="6">
        <v>3763555</v>
      </c>
      <c r="K219" s="6"/>
      <c r="L219" s="6">
        <v>44913.793103448246</v>
      </c>
      <c r="M219" s="6"/>
      <c r="N219" s="6">
        <v>51008</v>
      </c>
      <c r="O219" s="6"/>
      <c r="P219" s="6">
        <v>6626</v>
      </c>
      <c r="Q219" s="6"/>
      <c r="R219" s="6">
        <v>103650</v>
      </c>
      <c r="S219" s="6"/>
      <c r="T219" s="6">
        <v>708997</v>
      </c>
      <c r="U219" s="6"/>
      <c r="V219" s="6">
        <v>83531</v>
      </c>
      <c r="W219" s="6"/>
      <c r="X219" s="6">
        <v>38553</v>
      </c>
      <c r="Y219" s="6"/>
      <c r="Z219" s="6">
        <v>10882</v>
      </c>
      <c r="AA219" s="6"/>
      <c r="AB219" s="6">
        <v>0</v>
      </c>
      <c r="AC219" s="6"/>
      <c r="AD219" s="6">
        <v>0</v>
      </c>
      <c r="AE219" s="6"/>
      <c r="AF219" s="8">
        <v>3539.369488468933</v>
      </c>
      <c r="AG219" s="8">
        <v>14161.125641164443</v>
      </c>
      <c r="AH219" s="9">
        <f t="shared" si="32"/>
        <v>0</v>
      </c>
      <c r="AI219" s="7"/>
      <c r="AJ219" s="9"/>
      <c r="AK219" s="21" t="e">
        <f t="shared" si="33"/>
        <v>#DIV/0!</v>
      </c>
      <c r="AL219" s="21" t="e">
        <f t="shared" si="34"/>
        <v>#DIV/0!</v>
      </c>
      <c r="AM219" s="18" t="e">
        <f t="shared" si="35"/>
        <v>#DIV/0!</v>
      </c>
      <c r="AN219" s="18" t="e">
        <f t="shared" si="36"/>
        <v>#DIV/0!</v>
      </c>
    </row>
    <row r="220" spans="1:40" hidden="1" x14ac:dyDescent="0.3">
      <c r="A220" s="11">
        <v>45875</v>
      </c>
      <c r="B220" s="6"/>
      <c r="C220" s="6"/>
      <c r="D220" s="7">
        <v>3.267571575329848E-2</v>
      </c>
      <c r="E220" s="6"/>
      <c r="F220" s="11">
        <v>46239</v>
      </c>
      <c r="G220" s="6">
        <v>6275325.225178998</v>
      </c>
      <c r="H220" s="6">
        <f t="shared" si="30"/>
        <v>2866861.4635510836</v>
      </c>
      <c r="I220" s="6">
        <f t="shared" si="31"/>
        <v>666209.90893474594</v>
      </c>
      <c r="J220" s="6">
        <v>3783964</v>
      </c>
      <c r="K220" s="6"/>
      <c r="L220" s="6">
        <v>41382.758620689638</v>
      </c>
      <c r="M220" s="6"/>
      <c r="N220" s="6">
        <v>54972</v>
      </c>
      <c r="O220" s="6"/>
      <c r="P220" s="6">
        <v>5869</v>
      </c>
      <c r="Q220" s="6"/>
      <c r="R220" s="6">
        <v>93840</v>
      </c>
      <c r="S220" s="6"/>
      <c r="T220" s="6">
        <v>761176</v>
      </c>
      <c r="U220" s="6"/>
      <c r="V220" s="6">
        <v>70344</v>
      </c>
      <c r="W220" s="6"/>
      <c r="X220" s="6">
        <v>37254</v>
      </c>
      <c r="Y220" s="6"/>
      <c r="Z220" s="6">
        <v>2802</v>
      </c>
      <c r="AA220" s="6"/>
      <c r="AB220" s="6">
        <v>0</v>
      </c>
      <c r="AC220" s="6"/>
      <c r="AD220" s="6">
        <v>0</v>
      </c>
      <c r="AE220" s="6"/>
      <c r="AF220" s="8">
        <v>3429.6897124462853</v>
      </c>
      <c r="AG220" s="8">
        <v>13722.293500690923</v>
      </c>
      <c r="AH220" s="9">
        <f t="shared" si="32"/>
        <v>0</v>
      </c>
      <c r="AI220" s="7"/>
      <c r="AJ220" s="9"/>
      <c r="AK220" s="21" t="e">
        <f t="shared" si="33"/>
        <v>#DIV/0!</v>
      </c>
      <c r="AL220" s="21" t="e">
        <f t="shared" si="34"/>
        <v>#DIV/0!</v>
      </c>
      <c r="AM220" s="18" t="e">
        <f t="shared" si="35"/>
        <v>#DIV/0!</v>
      </c>
      <c r="AN220" s="18" t="e">
        <f t="shared" si="36"/>
        <v>#DIV/0!</v>
      </c>
    </row>
    <row r="221" spans="1:40" hidden="1" x14ac:dyDescent="0.3">
      <c r="A221" s="11">
        <v>45876</v>
      </c>
      <c r="B221" s="6"/>
      <c r="C221" s="6"/>
      <c r="D221" s="7">
        <v>3.3907858833966492E-2</v>
      </c>
      <c r="E221" s="6"/>
      <c r="F221" s="11">
        <v>46240</v>
      </c>
      <c r="G221" s="6">
        <v>6511956.5697996654</v>
      </c>
      <c r="H221" s="6">
        <f t="shared" si="30"/>
        <v>2974965.7065374567</v>
      </c>
      <c r="I221" s="6">
        <f t="shared" si="31"/>
        <v>691331.49879566731</v>
      </c>
      <c r="J221" s="6">
        <v>3146416</v>
      </c>
      <c r="K221" s="6"/>
      <c r="L221" s="6">
        <v>39518.965517241362</v>
      </c>
      <c r="M221" s="6"/>
      <c r="N221" s="6">
        <v>64553</v>
      </c>
      <c r="O221" s="6"/>
      <c r="P221" s="6">
        <v>11511</v>
      </c>
      <c r="Q221" s="6"/>
      <c r="R221" s="6">
        <v>133747</v>
      </c>
      <c r="S221" s="6"/>
      <c r="T221" s="6">
        <v>769223</v>
      </c>
      <c r="U221" s="6"/>
      <c r="V221" s="6">
        <v>62096</v>
      </c>
      <c r="W221" s="6"/>
      <c r="X221" s="6">
        <v>32591</v>
      </c>
      <c r="Y221" s="6"/>
      <c r="Z221" s="6">
        <v>8219</v>
      </c>
      <c r="AA221" s="6"/>
      <c r="AB221" s="6">
        <v>0</v>
      </c>
      <c r="AC221" s="6"/>
      <c r="AD221" s="6">
        <v>0</v>
      </c>
      <c r="AE221" s="6"/>
      <c r="AF221" s="8">
        <v>3559.0172069052974</v>
      </c>
      <c r="AG221" s="8">
        <v>14239.736763921208</v>
      </c>
      <c r="AH221" s="9">
        <f t="shared" si="32"/>
        <v>0</v>
      </c>
      <c r="AI221" s="7"/>
      <c r="AJ221" s="9"/>
      <c r="AK221" s="21" t="e">
        <f t="shared" si="33"/>
        <v>#DIV/0!</v>
      </c>
      <c r="AL221" s="21" t="e">
        <f t="shared" si="34"/>
        <v>#DIV/0!</v>
      </c>
      <c r="AM221" s="18" t="e">
        <f t="shared" si="35"/>
        <v>#DIV/0!</v>
      </c>
      <c r="AN221" s="18" t="e">
        <f t="shared" si="36"/>
        <v>#DIV/0!</v>
      </c>
    </row>
    <row r="222" spans="1:40" hidden="1" x14ac:dyDescent="0.3">
      <c r="A222" s="11">
        <v>45877</v>
      </c>
      <c r="B222" s="6"/>
      <c r="C222" s="6"/>
      <c r="D222" s="7">
        <v>2.7876407701484879E-2</v>
      </c>
      <c r="E222" s="6"/>
      <c r="F222" s="11">
        <v>46241</v>
      </c>
      <c r="G222" s="6">
        <v>5353624.867998288</v>
      </c>
      <c r="H222" s="6">
        <f t="shared" si="30"/>
        <v>2445785.7200437384</v>
      </c>
      <c r="I222" s="6">
        <f t="shared" si="31"/>
        <v>568359.05834317859</v>
      </c>
      <c r="J222" s="6">
        <v>2760929</v>
      </c>
      <c r="K222" s="6"/>
      <c r="L222" s="6">
        <v>36501.724137931014</v>
      </c>
      <c r="M222" s="6"/>
      <c r="N222" s="6">
        <v>22813</v>
      </c>
      <c r="O222" s="6"/>
      <c r="P222" s="6">
        <v>1010</v>
      </c>
      <c r="Q222" s="6"/>
      <c r="R222" s="6">
        <v>84465</v>
      </c>
      <c r="S222" s="6"/>
      <c r="T222" s="6">
        <v>765638</v>
      </c>
      <c r="U222" s="6"/>
      <c r="V222" s="6">
        <v>51057</v>
      </c>
      <c r="W222" s="6"/>
      <c r="X222" s="6">
        <v>38417</v>
      </c>
      <c r="Y222" s="6"/>
      <c r="Z222" s="6">
        <v>5563</v>
      </c>
      <c r="AA222" s="6"/>
      <c r="AB222" s="6">
        <v>0</v>
      </c>
      <c r="AC222" s="6"/>
      <c r="AD222" s="6">
        <v>0</v>
      </c>
      <c r="AE222" s="6"/>
      <c r="AF222" s="8">
        <v>2925.9474967764068</v>
      </c>
      <c r="AG222" s="8">
        <v>11706.805479420345</v>
      </c>
      <c r="AH222" s="9">
        <f t="shared" si="32"/>
        <v>0</v>
      </c>
      <c r="AI222" s="7"/>
      <c r="AJ222" s="9"/>
      <c r="AK222" s="21" t="e">
        <f t="shared" si="33"/>
        <v>#DIV/0!</v>
      </c>
      <c r="AL222" s="21" t="e">
        <f t="shared" si="34"/>
        <v>#DIV/0!</v>
      </c>
      <c r="AM222" s="18" t="e">
        <f t="shared" si="35"/>
        <v>#DIV/0!</v>
      </c>
      <c r="AN222" s="18" t="e">
        <f t="shared" si="36"/>
        <v>#DIV/0!</v>
      </c>
    </row>
    <row r="223" spans="1:40" hidden="1" x14ac:dyDescent="0.3">
      <c r="A223" s="11">
        <v>45878</v>
      </c>
      <c r="B223" s="6"/>
      <c r="C223" s="6"/>
      <c r="D223" s="7">
        <v>2.4148695518644677E-2</v>
      </c>
      <c r="E223" s="6"/>
      <c r="F223" s="11">
        <v>46242</v>
      </c>
      <c r="G223" s="6">
        <v>4637722.9893738599</v>
      </c>
      <c r="H223" s="6">
        <f t="shared" si="30"/>
        <v>2118728.327181099</v>
      </c>
      <c r="I223" s="6">
        <f t="shared" si="31"/>
        <v>492356.47548883909</v>
      </c>
      <c r="J223" s="6">
        <v>2172261</v>
      </c>
      <c r="K223" s="6"/>
      <c r="L223" s="6">
        <v>36326.724137931014</v>
      </c>
      <c r="M223" s="6"/>
      <c r="N223" s="6">
        <v>7009</v>
      </c>
      <c r="O223" s="6"/>
      <c r="P223" s="6">
        <v>11103</v>
      </c>
      <c r="Q223" s="6"/>
      <c r="R223" s="6">
        <v>91684</v>
      </c>
      <c r="S223" s="6"/>
      <c r="T223" s="6">
        <v>517547</v>
      </c>
      <c r="U223" s="6"/>
      <c r="V223" s="6">
        <v>91885</v>
      </c>
      <c r="W223" s="6"/>
      <c r="X223" s="6">
        <v>25396</v>
      </c>
      <c r="Y223" s="6"/>
      <c r="Z223" s="6">
        <v>5307</v>
      </c>
      <c r="AA223" s="6"/>
      <c r="AB223" s="6">
        <v>0</v>
      </c>
      <c r="AC223" s="6"/>
      <c r="AD223" s="6">
        <v>0</v>
      </c>
      <c r="AE223" s="6"/>
      <c r="AF223" s="8">
        <v>2534.6815113279581</v>
      </c>
      <c r="AG223" s="8">
        <v>10141.33829745446</v>
      </c>
      <c r="AH223" s="9">
        <f t="shared" si="32"/>
        <v>0</v>
      </c>
      <c r="AI223" s="7"/>
      <c r="AJ223" s="9"/>
      <c r="AK223" s="21" t="e">
        <f t="shared" si="33"/>
        <v>#DIV/0!</v>
      </c>
      <c r="AL223" s="21" t="e">
        <f t="shared" si="34"/>
        <v>#DIV/0!</v>
      </c>
      <c r="AM223" s="18" t="e">
        <f t="shared" si="35"/>
        <v>#DIV/0!</v>
      </c>
      <c r="AN223" s="18" t="e">
        <f t="shared" si="36"/>
        <v>#DIV/0!</v>
      </c>
    </row>
    <row r="224" spans="1:40" hidden="1" x14ac:dyDescent="0.3">
      <c r="A224" s="11">
        <v>45879</v>
      </c>
      <c r="B224" s="6"/>
      <c r="C224" s="6"/>
      <c r="D224" s="7">
        <v>2.1041762126591153E-2</v>
      </c>
      <c r="E224" s="6"/>
      <c r="F224" s="11">
        <v>46243</v>
      </c>
      <c r="G224" s="6">
        <v>4041040.8038845863</v>
      </c>
      <c r="H224" s="6">
        <f t="shared" si="30"/>
        <v>1846136.0547195796</v>
      </c>
      <c r="I224" s="6">
        <f t="shared" si="31"/>
        <v>429010.66149615392</v>
      </c>
      <c r="J224" s="6">
        <v>2525352</v>
      </c>
      <c r="K224" s="6"/>
      <c r="L224" s="6">
        <v>36340.51724137929</v>
      </c>
      <c r="M224" s="6"/>
      <c r="N224" s="6">
        <v>7272</v>
      </c>
      <c r="O224" s="6"/>
      <c r="P224" s="6">
        <v>5023</v>
      </c>
      <c r="Q224" s="6"/>
      <c r="R224" s="6">
        <v>153753</v>
      </c>
      <c r="S224" s="6"/>
      <c r="T224" s="6">
        <v>597616</v>
      </c>
      <c r="U224" s="6"/>
      <c r="V224" s="6">
        <v>139394</v>
      </c>
      <c r="W224" s="6"/>
      <c r="X224" s="6">
        <v>29128</v>
      </c>
      <c r="Y224" s="6"/>
      <c r="Z224" s="6">
        <v>5659</v>
      </c>
      <c r="AA224" s="6"/>
      <c r="AB224" s="6">
        <v>0</v>
      </c>
      <c r="AC224" s="6"/>
      <c r="AD224" s="6">
        <v>0</v>
      </c>
      <c r="AE224" s="6"/>
      <c r="AF224" s="8">
        <v>2208.5733528278292</v>
      </c>
      <c r="AG224" s="8">
        <v>8836.5695751793573</v>
      </c>
      <c r="AH224" s="9">
        <f t="shared" si="32"/>
        <v>0</v>
      </c>
      <c r="AI224" s="7"/>
      <c r="AJ224" s="9"/>
      <c r="AK224" s="21" t="e">
        <f t="shared" si="33"/>
        <v>#DIV/0!</v>
      </c>
      <c r="AL224" s="21" t="e">
        <f t="shared" si="34"/>
        <v>#DIV/0!</v>
      </c>
      <c r="AM224" s="18" t="e">
        <f t="shared" si="35"/>
        <v>#DIV/0!</v>
      </c>
      <c r="AN224" s="18" t="e">
        <f t="shared" si="36"/>
        <v>#DIV/0!</v>
      </c>
    </row>
    <row r="225" spans="1:40" hidden="1" x14ac:dyDescent="0.3">
      <c r="A225" s="11">
        <v>45880</v>
      </c>
      <c r="B225" s="6"/>
      <c r="C225" s="6"/>
      <c r="D225" s="7">
        <v>2.531586796497455E-2</v>
      </c>
      <c r="E225" s="6"/>
      <c r="F225" s="11">
        <v>46244</v>
      </c>
      <c r="G225" s="6">
        <v>4861876.8151044678</v>
      </c>
      <c r="H225" s="6">
        <f t="shared" si="30"/>
        <v>2221132.2571505285</v>
      </c>
      <c r="I225" s="6">
        <f t="shared" si="31"/>
        <v>516153.40942752647</v>
      </c>
      <c r="J225" s="6">
        <v>3999839</v>
      </c>
      <c r="K225" s="6"/>
      <c r="L225" s="6">
        <v>32970.689655172391</v>
      </c>
      <c r="M225" s="6"/>
      <c r="N225" s="6">
        <v>56378</v>
      </c>
      <c r="O225" s="6"/>
      <c r="P225" s="6">
        <v>5019</v>
      </c>
      <c r="Q225" s="6"/>
      <c r="R225" s="6">
        <v>135073</v>
      </c>
      <c r="S225" s="6"/>
      <c r="T225" s="6">
        <v>700812</v>
      </c>
      <c r="U225" s="6"/>
      <c r="V225" s="6">
        <v>356162</v>
      </c>
      <c r="W225" s="6"/>
      <c r="X225" s="6">
        <v>39654</v>
      </c>
      <c r="Y225" s="6"/>
      <c r="Z225" s="6">
        <v>7370</v>
      </c>
      <c r="AA225" s="6"/>
      <c r="AB225" s="6">
        <v>0</v>
      </c>
      <c r="AC225" s="6"/>
      <c r="AD225" s="6">
        <v>0</v>
      </c>
      <c r="AE225" s="6"/>
      <c r="AF225" s="8">
        <v>2657.1895953757953</v>
      </c>
      <c r="AG225" s="8">
        <v>10631.496890930446</v>
      </c>
      <c r="AH225" s="9">
        <f t="shared" si="32"/>
        <v>0</v>
      </c>
      <c r="AI225" s="7"/>
      <c r="AJ225" s="9"/>
      <c r="AK225" s="21" t="e">
        <f t="shared" si="33"/>
        <v>#DIV/0!</v>
      </c>
      <c r="AL225" s="21" t="e">
        <f t="shared" si="34"/>
        <v>#DIV/0!</v>
      </c>
      <c r="AM225" s="18" t="e">
        <f t="shared" si="35"/>
        <v>#DIV/0!</v>
      </c>
      <c r="AN225" s="18" t="e">
        <f t="shared" si="36"/>
        <v>#DIV/0!</v>
      </c>
    </row>
    <row r="226" spans="1:40" hidden="1" x14ac:dyDescent="0.3">
      <c r="A226" s="11">
        <v>45881</v>
      </c>
      <c r="B226" s="6"/>
      <c r="C226" s="6"/>
      <c r="D226" s="7">
        <v>3.7025356212803714E-2</v>
      </c>
      <c r="E226" s="6"/>
      <c r="F226" s="11">
        <v>46245</v>
      </c>
      <c r="G226" s="6">
        <v>7110667.5540838214</v>
      </c>
      <c r="H226" s="6">
        <f t="shared" si="30"/>
        <v>3248484.8289826247</v>
      </c>
      <c r="I226" s="6">
        <f t="shared" si="31"/>
        <v>754892.69698150351</v>
      </c>
      <c r="J226" s="6">
        <v>4225069</v>
      </c>
      <c r="K226" s="6"/>
      <c r="L226" s="6">
        <v>32825.862068965493</v>
      </c>
      <c r="M226" s="6"/>
      <c r="N226" s="6">
        <v>72043</v>
      </c>
      <c r="O226" s="6"/>
      <c r="P226" s="6">
        <v>15704</v>
      </c>
      <c r="Q226" s="6"/>
      <c r="R226" s="6">
        <v>97751</v>
      </c>
      <c r="S226" s="6"/>
      <c r="T226" s="6">
        <v>651028</v>
      </c>
      <c r="U226" s="6"/>
      <c r="V226" s="6">
        <v>527190</v>
      </c>
      <c r="W226" s="6"/>
      <c r="X226" s="6">
        <v>34217</v>
      </c>
      <c r="Y226" s="6"/>
      <c r="Z226" s="6">
        <v>5546</v>
      </c>
      <c r="AA226" s="6"/>
      <c r="AB226" s="6">
        <v>0</v>
      </c>
      <c r="AC226" s="6"/>
      <c r="AD226" s="6">
        <v>0</v>
      </c>
      <c r="AE226" s="6"/>
      <c r="AF226" s="8">
        <v>3886.2341765197107</v>
      </c>
      <c r="AG226" s="8">
        <v>15548.941873398286</v>
      </c>
      <c r="AH226" s="9">
        <f t="shared" si="32"/>
        <v>0</v>
      </c>
      <c r="AI226" s="7"/>
      <c r="AJ226" s="9"/>
      <c r="AK226" s="21" t="e">
        <f t="shared" si="33"/>
        <v>#DIV/0!</v>
      </c>
      <c r="AL226" s="21" t="e">
        <f t="shared" si="34"/>
        <v>#DIV/0!</v>
      </c>
      <c r="AM226" s="18" t="e">
        <f t="shared" si="35"/>
        <v>#DIV/0!</v>
      </c>
      <c r="AN226" s="18" t="e">
        <f t="shared" si="36"/>
        <v>#DIV/0!</v>
      </c>
    </row>
    <row r="227" spans="1:40" hidden="1" x14ac:dyDescent="0.3">
      <c r="A227" s="11">
        <v>45882</v>
      </c>
      <c r="B227" s="6"/>
      <c r="C227" s="6"/>
      <c r="D227" s="7">
        <v>3.7470164935356431E-2</v>
      </c>
      <c r="E227" s="6"/>
      <c r="F227" s="11">
        <v>46246</v>
      </c>
      <c r="G227" s="6">
        <v>7196092.4432611279</v>
      </c>
      <c r="H227" s="6">
        <f t="shared" si="30"/>
        <v>3287510.9055639477</v>
      </c>
      <c r="I227" s="6">
        <f t="shared" si="31"/>
        <v>763961.69429995748</v>
      </c>
      <c r="J227" s="6">
        <v>4089143</v>
      </c>
      <c r="K227" s="6"/>
      <c r="L227" s="6">
        <v>34528.448275862043</v>
      </c>
      <c r="M227" s="6"/>
      <c r="N227" s="6">
        <v>43939</v>
      </c>
      <c r="O227" s="6"/>
      <c r="P227" s="6">
        <v>4540</v>
      </c>
      <c r="Q227" s="6"/>
      <c r="R227" s="6">
        <v>176005</v>
      </c>
      <c r="S227" s="6"/>
      <c r="T227" s="6">
        <v>668270</v>
      </c>
      <c r="U227" s="6"/>
      <c r="V227" s="6">
        <v>554038</v>
      </c>
      <c r="W227" s="6"/>
      <c r="X227" s="6">
        <v>35960</v>
      </c>
      <c r="Y227" s="6"/>
      <c r="Z227" s="6">
        <v>7429</v>
      </c>
      <c r="AA227" s="6"/>
      <c r="AB227" s="6">
        <v>0</v>
      </c>
      <c r="AC227" s="6"/>
      <c r="AD227" s="6">
        <v>0</v>
      </c>
      <c r="AE227" s="6"/>
      <c r="AF227" s="8">
        <v>3932.92193421914</v>
      </c>
      <c r="AG227" s="8">
        <v>15735.741020771808</v>
      </c>
      <c r="AH227" s="9">
        <f t="shared" si="32"/>
        <v>0</v>
      </c>
      <c r="AI227" s="7"/>
      <c r="AJ227" s="9"/>
      <c r="AK227" s="21" t="e">
        <f t="shared" si="33"/>
        <v>#DIV/0!</v>
      </c>
      <c r="AL227" s="21" t="e">
        <f t="shared" si="34"/>
        <v>#DIV/0!</v>
      </c>
      <c r="AM227" s="18" t="e">
        <f t="shared" si="35"/>
        <v>#DIV/0!</v>
      </c>
      <c r="AN227" s="18" t="e">
        <f t="shared" si="36"/>
        <v>#DIV/0!</v>
      </c>
    </row>
    <row r="228" spans="1:40" hidden="1" x14ac:dyDescent="0.3">
      <c r="A228" s="11">
        <v>45883</v>
      </c>
      <c r="B228" s="6"/>
      <c r="C228" s="6"/>
      <c r="D228" s="7">
        <v>3.6253987719894264E-2</v>
      </c>
      <c r="E228" s="6"/>
      <c r="F228" s="11">
        <v>46247</v>
      </c>
      <c r="G228" s="6">
        <v>6962527.3205841361</v>
      </c>
      <c r="H228" s="6">
        <f t="shared" si="30"/>
        <v>3180807.455877298</v>
      </c>
      <c r="I228" s="6">
        <f t="shared" si="31"/>
        <v>739165.62500865897</v>
      </c>
      <c r="J228" s="6">
        <v>3070125</v>
      </c>
      <c r="K228" s="6"/>
      <c r="L228" s="6">
        <v>38764.655172413768</v>
      </c>
      <c r="M228" s="6"/>
      <c r="N228" s="6">
        <v>46072</v>
      </c>
      <c r="O228" s="6"/>
      <c r="P228" s="6">
        <v>4716</v>
      </c>
      <c r="Q228" s="6"/>
      <c r="R228" s="6">
        <v>195600</v>
      </c>
      <c r="S228" s="6"/>
      <c r="T228" s="6">
        <v>651924</v>
      </c>
      <c r="U228" s="6"/>
      <c r="V228" s="6">
        <v>601203</v>
      </c>
      <c r="W228" s="6"/>
      <c r="X228" s="6">
        <v>40376</v>
      </c>
      <c r="Y228" s="6"/>
      <c r="Z228" s="6">
        <v>3791</v>
      </c>
      <c r="AA228" s="6"/>
      <c r="AB228" s="6">
        <v>0</v>
      </c>
      <c r="AC228" s="6"/>
      <c r="AD228" s="6">
        <v>0</v>
      </c>
      <c r="AE228" s="6"/>
      <c r="AF228" s="8">
        <v>3805.27023973526</v>
      </c>
      <c r="AG228" s="8">
        <v>15225.002684527706</v>
      </c>
      <c r="AH228" s="9">
        <f t="shared" si="32"/>
        <v>0</v>
      </c>
      <c r="AI228" s="7"/>
      <c r="AJ228" s="9"/>
      <c r="AK228" s="21" t="e">
        <f t="shared" si="33"/>
        <v>#DIV/0!</v>
      </c>
      <c r="AL228" s="21" t="e">
        <f t="shared" si="34"/>
        <v>#DIV/0!</v>
      </c>
      <c r="AM228" s="18" t="e">
        <f t="shared" si="35"/>
        <v>#DIV/0!</v>
      </c>
      <c r="AN228" s="18" t="e">
        <f t="shared" si="36"/>
        <v>#DIV/0!</v>
      </c>
    </row>
    <row r="229" spans="1:40" hidden="1" x14ac:dyDescent="0.3">
      <c r="A229" s="11">
        <v>45884</v>
      </c>
      <c r="B229" s="6"/>
      <c r="C229" s="6"/>
      <c r="D229" s="7">
        <v>2.8077243335406021E-2</v>
      </c>
      <c r="E229" s="6"/>
      <c r="F229" s="11">
        <v>46248</v>
      </c>
      <c r="G229" s="6">
        <v>5392195.0688525084</v>
      </c>
      <c r="H229" s="6">
        <f t="shared" si="30"/>
        <v>2463406.3880573609</v>
      </c>
      <c r="I229" s="6">
        <f t="shared" si="31"/>
        <v>572453.80229295569</v>
      </c>
      <c r="J229" s="6">
        <v>2011046</v>
      </c>
      <c r="K229" s="6"/>
      <c r="L229" s="6">
        <v>34462.931034482739</v>
      </c>
      <c r="M229" s="6"/>
      <c r="N229" s="6">
        <v>24847</v>
      </c>
      <c r="O229" s="6"/>
      <c r="P229" s="6">
        <v>5456</v>
      </c>
      <c r="Q229" s="6"/>
      <c r="R229" s="6">
        <v>178158</v>
      </c>
      <c r="S229" s="6"/>
      <c r="T229" s="6">
        <v>507359</v>
      </c>
      <c r="U229" s="6"/>
      <c r="V229" s="6">
        <v>433481</v>
      </c>
      <c r="W229" s="6"/>
      <c r="X229" s="6">
        <v>26228</v>
      </c>
      <c r="Y229" s="6"/>
      <c r="Z229" s="6">
        <v>8191</v>
      </c>
      <c r="AA229" s="6"/>
      <c r="AB229" s="6">
        <v>0</v>
      </c>
      <c r="AC229" s="6"/>
      <c r="AD229" s="6">
        <v>0</v>
      </c>
      <c r="AE229" s="6"/>
      <c r="AF229" s="8">
        <v>2947.0274912515829</v>
      </c>
      <c r="AG229" s="8">
        <v>11791.147182441342</v>
      </c>
      <c r="AH229" s="9">
        <f t="shared" si="32"/>
        <v>0</v>
      </c>
      <c r="AI229" s="7"/>
      <c r="AJ229" s="9"/>
      <c r="AK229" s="21" t="e">
        <f t="shared" si="33"/>
        <v>#DIV/0!</v>
      </c>
      <c r="AL229" s="21" t="e">
        <f t="shared" si="34"/>
        <v>#DIV/0!</v>
      </c>
      <c r="AM229" s="18" t="e">
        <f t="shared" si="35"/>
        <v>#DIV/0!</v>
      </c>
      <c r="AN229" s="18" t="e">
        <f t="shared" si="36"/>
        <v>#DIV/0!</v>
      </c>
    </row>
    <row r="230" spans="1:40" hidden="1" x14ac:dyDescent="0.3">
      <c r="A230" s="11">
        <v>45885</v>
      </c>
      <c r="B230" s="6"/>
      <c r="C230" s="6"/>
      <c r="D230" s="7">
        <v>2.5982132546652419E-2</v>
      </c>
      <c r="E230" s="6"/>
      <c r="F230" s="11">
        <v>46249</v>
      </c>
      <c r="G230" s="6">
        <v>4989831.9903671369</v>
      </c>
      <c r="H230" s="6">
        <f t="shared" si="30"/>
        <v>2279588.1535159647</v>
      </c>
      <c r="I230" s="6">
        <f t="shared" si="31"/>
        <v>529737.56683779694</v>
      </c>
      <c r="J230" s="6">
        <v>3412516</v>
      </c>
      <c r="K230" s="6"/>
      <c r="L230" s="6">
        <v>47499.137931034464</v>
      </c>
      <c r="M230" s="6"/>
      <c r="N230" s="6">
        <v>28829</v>
      </c>
      <c r="O230" s="6"/>
      <c r="P230" s="6">
        <v>2060</v>
      </c>
      <c r="Q230" s="6"/>
      <c r="R230" s="6">
        <v>162266</v>
      </c>
      <c r="S230" s="6"/>
      <c r="T230" s="6">
        <v>782613</v>
      </c>
      <c r="U230" s="6"/>
      <c r="V230" s="6">
        <v>397386</v>
      </c>
      <c r="W230" s="6"/>
      <c r="X230" s="6">
        <v>46230</v>
      </c>
      <c r="Y230" s="6"/>
      <c r="Z230" s="6">
        <v>9471</v>
      </c>
      <c r="AA230" s="6"/>
      <c r="AB230" s="6">
        <v>0</v>
      </c>
      <c r="AC230" s="6"/>
      <c r="AD230" s="6">
        <v>0</v>
      </c>
      <c r="AE230" s="6"/>
      <c r="AF230" s="8">
        <v>2727.1216757868342</v>
      </c>
      <c r="AG230" s="8">
        <v>10911.297284835387</v>
      </c>
      <c r="AH230" s="9">
        <f t="shared" si="32"/>
        <v>0</v>
      </c>
      <c r="AI230" s="7"/>
      <c r="AJ230" s="9"/>
      <c r="AK230" s="21" t="e">
        <f t="shared" si="33"/>
        <v>#DIV/0!</v>
      </c>
      <c r="AL230" s="21" t="e">
        <f t="shared" si="34"/>
        <v>#DIV/0!</v>
      </c>
      <c r="AM230" s="18" t="e">
        <f t="shared" si="35"/>
        <v>#DIV/0!</v>
      </c>
      <c r="AN230" s="18" t="e">
        <f t="shared" si="36"/>
        <v>#DIV/0!</v>
      </c>
    </row>
    <row r="231" spans="1:40" hidden="1" x14ac:dyDescent="0.3">
      <c r="A231" s="11">
        <v>45886</v>
      </c>
      <c r="B231" s="6"/>
      <c r="C231" s="6"/>
      <c r="D231" s="7">
        <v>2.4577707625446008E-2</v>
      </c>
      <c r="E231" s="6"/>
      <c r="F231" s="11">
        <v>46250</v>
      </c>
      <c r="G231" s="6">
        <v>4720114.1607270334</v>
      </c>
      <c r="H231" s="6">
        <f t="shared" si="30"/>
        <v>2156368.4598616338</v>
      </c>
      <c r="I231" s="6">
        <f t="shared" si="31"/>
        <v>501103.40298575757</v>
      </c>
      <c r="J231" s="6">
        <v>2730517</v>
      </c>
      <c r="K231" s="6"/>
      <c r="L231" s="6">
        <v>40964.655172413768</v>
      </c>
      <c r="M231" s="6"/>
      <c r="N231" s="6">
        <v>3525</v>
      </c>
      <c r="O231" s="6"/>
      <c r="P231" s="6">
        <v>11086</v>
      </c>
      <c r="Q231" s="6"/>
      <c r="R231" s="6">
        <v>183162</v>
      </c>
      <c r="S231" s="6"/>
      <c r="T231" s="6">
        <v>524015</v>
      </c>
      <c r="U231" s="6"/>
      <c r="V231" s="6">
        <v>403338</v>
      </c>
      <c r="W231" s="6"/>
      <c r="X231" s="6">
        <v>35960</v>
      </c>
      <c r="Y231" s="6"/>
      <c r="Z231" s="6">
        <v>7429</v>
      </c>
      <c r="AA231" s="6"/>
      <c r="AB231" s="22">
        <v>1928</v>
      </c>
      <c r="AC231" s="6"/>
      <c r="AD231" s="6">
        <v>0</v>
      </c>
      <c r="AE231" s="6"/>
      <c r="AF231" s="8">
        <v>2579.7112337163012</v>
      </c>
      <c r="AG231" s="8">
        <v>10321.503594806312</v>
      </c>
      <c r="AH231" s="9">
        <f t="shared" si="32"/>
        <v>0</v>
      </c>
      <c r="AI231" s="7"/>
      <c r="AJ231" s="9"/>
      <c r="AK231" s="21" t="e">
        <f t="shared" si="33"/>
        <v>#DIV/0!</v>
      </c>
      <c r="AL231" s="21" t="e">
        <f t="shared" si="34"/>
        <v>#DIV/0!</v>
      </c>
      <c r="AM231" s="18" t="e">
        <f t="shared" si="35"/>
        <v>#DIV/0!</v>
      </c>
      <c r="AN231" s="18" t="e">
        <f t="shared" si="36"/>
        <v>#DIV/0!</v>
      </c>
    </row>
    <row r="232" spans="1:40" hidden="1" x14ac:dyDescent="0.3">
      <c r="A232" s="11">
        <v>45887</v>
      </c>
      <c r="B232" s="6"/>
      <c r="C232" s="6"/>
      <c r="D232" s="7">
        <v>2.9226877307015516E-2</v>
      </c>
      <c r="E232" s="6"/>
      <c r="F232" s="11">
        <v>46251</v>
      </c>
      <c r="G232" s="6">
        <v>5612980.6551953424</v>
      </c>
      <c r="H232" s="6">
        <f t="shared" si="30"/>
        <v>2564271.5490619438</v>
      </c>
      <c r="I232" s="6">
        <f t="shared" si="31"/>
        <v>595893.15246103692</v>
      </c>
      <c r="J232" s="6">
        <v>4641789</v>
      </c>
      <c r="K232" s="6"/>
      <c r="L232" s="6">
        <v>35684.482758620681</v>
      </c>
      <c r="M232" s="6"/>
      <c r="N232" s="6">
        <v>59195</v>
      </c>
      <c r="O232" s="6"/>
      <c r="P232" s="6">
        <v>10114</v>
      </c>
      <c r="Q232" s="6"/>
      <c r="R232" s="6">
        <v>136276</v>
      </c>
      <c r="S232" s="6"/>
      <c r="T232" s="6">
        <v>856553</v>
      </c>
      <c r="U232" s="6"/>
      <c r="V232" s="6">
        <v>371767</v>
      </c>
      <c r="W232" s="6"/>
      <c r="X232" s="6">
        <v>47937</v>
      </c>
      <c r="Y232" s="6"/>
      <c r="Z232" s="6">
        <v>4445</v>
      </c>
      <c r="AA232" s="6"/>
      <c r="AB232" s="6">
        <v>704.56896551724162</v>
      </c>
      <c r="AC232" s="6"/>
      <c r="AD232" s="6">
        <v>0</v>
      </c>
      <c r="AE232" s="6"/>
      <c r="AF232" s="8">
        <v>3067.6947119875153</v>
      </c>
      <c r="AG232" s="8">
        <v>12273.940425469171</v>
      </c>
      <c r="AH232" s="9">
        <f t="shared" si="32"/>
        <v>0</v>
      </c>
      <c r="AI232" s="7"/>
      <c r="AJ232" s="9"/>
      <c r="AK232" s="21" t="e">
        <f t="shared" si="33"/>
        <v>#DIV/0!</v>
      </c>
      <c r="AL232" s="21" t="e">
        <f t="shared" si="34"/>
        <v>#DIV/0!</v>
      </c>
      <c r="AM232" s="18" t="e">
        <f t="shared" si="35"/>
        <v>#DIV/0!</v>
      </c>
      <c r="AN232" s="18" t="e">
        <f t="shared" si="36"/>
        <v>#DIV/0!</v>
      </c>
    </row>
    <row r="233" spans="1:40" hidden="1" x14ac:dyDescent="0.3">
      <c r="A233" s="11">
        <v>45888</v>
      </c>
      <c r="B233" s="6"/>
      <c r="C233" s="6"/>
      <c r="D233" s="7">
        <v>4.2603169442857268E-2</v>
      </c>
      <c r="E233" s="6"/>
      <c r="F233" s="11">
        <v>46252</v>
      </c>
      <c r="G233" s="6">
        <v>8181878.7351383278</v>
      </c>
      <c r="H233" s="6">
        <f t="shared" si="30"/>
        <v>3737864.0952504715</v>
      </c>
      <c r="I233" s="6">
        <f t="shared" si="31"/>
        <v>868616.126090287</v>
      </c>
      <c r="J233" s="6">
        <v>4674224</v>
      </c>
      <c r="K233" s="6"/>
      <c r="L233" s="6">
        <v>38029.31034482758</v>
      </c>
      <c r="M233" s="6"/>
      <c r="N233" s="6">
        <v>63390</v>
      </c>
      <c r="O233" s="6"/>
      <c r="P233" s="6">
        <v>4385</v>
      </c>
      <c r="Q233" s="6"/>
      <c r="R233" s="6">
        <v>133373</v>
      </c>
      <c r="S233" s="6"/>
      <c r="T233" s="6">
        <v>669054</v>
      </c>
      <c r="U233" s="6"/>
      <c r="V233" s="6">
        <v>282672</v>
      </c>
      <c r="W233" s="6"/>
      <c r="X233" s="6">
        <v>39386</v>
      </c>
      <c r="Y233" s="6"/>
      <c r="Z233" s="6">
        <v>3720</v>
      </c>
      <c r="AA233" s="6"/>
      <c r="AB233" s="6">
        <v>73.275862068965523</v>
      </c>
      <c r="AC233" s="6"/>
      <c r="AD233" s="22">
        <v>343.96551724137936</v>
      </c>
      <c r="AE233" s="6"/>
      <c r="AF233" s="8">
        <v>4471.6894056413666</v>
      </c>
      <c r="AG233" s="8">
        <v>17891.366162209932</v>
      </c>
      <c r="AH233" s="9">
        <f t="shared" si="32"/>
        <v>0</v>
      </c>
      <c r="AI233" s="7"/>
      <c r="AJ233" s="9"/>
      <c r="AK233" s="21" t="e">
        <f t="shared" si="33"/>
        <v>#DIV/0!</v>
      </c>
      <c r="AL233" s="21" t="e">
        <f t="shared" si="34"/>
        <v>#DIV/0!</v>
      </c>
      <c r="AM233" s="18" t="e">
        <f t="shared" si="35"/>
        <v>#DIV/0!</v>
      </c>
      <c r="AN233" s="18" t="e">
        <f t="shared" si="36"/>
        <v>#DIV/0!</v>
      </c>
    </row>
    <row r="234" spans="1:40" hidden="1" x14ac:dyDescent="0.3">
      <c r="A234" s="11">
        <v>45889</v>
      </c>
      <c r="B234" s="6"/>
      <c r="C234" s="6"/>
      <c r="D234" s="7">
        <v>4.0803081609442397E-2</v>
      </c>
      <c r="E234" s="6"/>
      <c r="F234" s="11">
        <v>46253</v>
      </c>
      <c r="G234" s="6">
        <v>7836174.400033569</v>
      </c>
      <c r="H234" s="6">
        <f t="shared" si="30"/>
        <v>3579930.2192311431</v>
      </c>
      <c r="I234" s="6">
        <f t="shared" si="31"/>
        <v>831914.97589580948</v>
      </c>
      <c r="J234" s="6">
        <v>4567064</v>
      </c>
      <c r="K234" s="6"/>
      <c r="L234" s="6">
        <v>35700.862068965507</v>
      </c>
      <c r="M234" s="6"/>
      <c r="N234" s="6">
        <v>58510</v>
      </c>
      <c r="O234" s="6"/>
      <c r="P234" s="6">
        <v>15761</v>
      </c>
      <c r="Q234" s="6"/>
      <c r="R234" s="6">
        <v>230412</v>
      </c>
      <c r="S234" s="6"/>
      <c r="T234" s="6">
        <v>657997</v>
      </c>
      <c r="U234" s="6"/>
      <c r="V234" s="6">
        <v>205256</v>
      </c>
      <c r="W234" s="6"/>
      <c r="X234" s="6">
        <v>29971</v>
      </c>
      <c r="Y234" s="6"/>
      <c r="Z234" s="6">
        <v>4086</v>
      </c>
      <c r="AA234" s="6"/>
      <c r="AB234" s="6">
        <v>2479.1034482758623</v>
      </c>
      <c r="AC234" s="6"/>
      <c r="AD234" s="6">
        <v>0</v>
      </c>
      <c r="AE234" s="6"/>
      <c r="AF234" s="8">
        <v>4282.7496201941422</v>
      </c>
      <c r="AG234" s="8">
        <v>17135.412298379171</v>
      </c>
      <c r="AH234" s="9">
        <f t="shared" si="32"/>
        <v>0</v>
      </c>
      <c r="AI234" s="7"/>
      <c r="AJ234" s="9"/>
      <c r="AK234" s="21" t="e">
        <f t="shared" si="33"/>
        <v>#DIV/0!</v>
      </c>
      <c r="AL234" s="21" t="e">
        <f t="shared" si="34"/>
        <v>#DIV/0!</v>
      </c>
      <c r="AM234" s="18" t="e">
        <f t="shared" si="35"/>
        <v>#DIV/0!</v>
      </c>
      <c r="AN234" s="18" t="e">
        <f t="shared" si="36"/>
        <v>#DIV/0!</v>
      </c>
    </row>
    <row r="235" spans="1:40" hidden="1" x14ac:dyDescent="0.3">
      <c r="A235" s="11">
        <v>45890</v>
      </c>
      <c r="B235" s="6"/>
      <c r="C235" s="6"/>
      <c r="D235" s="7">
        <v>3.9796830134019093E-2</v>
      </c>
      <c r="E235" s="6"/>
      <c r="F235" s="11">
        <v>46254</v>
      </c>
      <c r="G235" s="6">
        <v>7642925.2202980025</v>
      </c>
      <c r="H235" s="6">
        <f t="shared" si="30"/>
        <v>3491644.9740260313</v>
      </c>
      <c r="I235" s="6">
        <f t="shared" si="31"/>
        <v>811398.98448284273</v>
      </c>
      <c r="J235" s="6">
        <v>3915278</v>
      </c>
      <c r="K235" s="6"/>
      <c r="L235" s="6">
        <v>41030.17241379308</v>
      </c>
      <c r="M235" s="6"/>
      <c r="N235" s="6">
        <v>35238</v>
      </c>
      <c r="O235" s="6"/>
      <c r="P235" s="6">
        <v>9197</v>
      </c>
      <c r="Q235" s="6"/>
      <c r="R235" s="6">
        <v>143792</v>
      </c>
      <c r="S235" s="6"/>
      <c r="T235" s="6">
        <v>605960</v>
      </c>
      <c r="U235" s="6"/>
      <c r="V235" s="6">
        <v>173300</v>
      </c>
      <c r="W235" s="6"/>
      <c r="X235" s="6">
        <v>28936</v>
      </c>
      <c r="Y235" s="6"/>
      <c r="Z235" s="6">
        <v>11397</v>
      </c>
      <c r="AA235" s="6"/>
      <c r="AB235" s="6">
        <v>203.06896551724134</v>
      </c>
      <c r="AC235" s="6"/>
      <c r="AD235" s="6">
        <v>-687.93103448275872</v>
      </c>
      <c r="AE235" s="6"/>
      <c r="AF235" s="8">
        <v>4177.132030683656</v>
      </c>
      <c r="AG235" s="8">
        <v>16712.833090458746</v>
      </c>
      <c r="AH235" s="9">
        <f t="shared" si="32"/>
        <v>0</v>
      </c>
      <c r="AI235" s="7"/>
      <c r="AJ235" s="9"/>
      <c r="AK235" s="21" t="e">
        <f t="shared" si="33"/>
        <v>#DIV/0!</v>
      </c>
      <c r="AL235" s="21" t="e">
        <f t="shared" si="34"/>
        <v>#DIV/0!</v>
      </c>
      <c r="AM235" s="18" t="e">
        <f t="shared" si="35"/>
        <v>#DIV/0!</v>
      </c>
      <c r="AN235" s="18" t="e">
        <f t="shared" si="36"/>
        <v>#DIV/0!</v>
      </c>
    </row>
    <row r="236" spans="1:40" hidden="1" x14ac:dyDescent="0.3">
      <c r="A236" s="11">
        <v>45891</v>
      </c>
      <c r="B236" s="6"/>
      <c r="C236" s="6"/>
      <c r="D236" s="7">
        <v>3.6184828161557755E-2</v>
      </c>
      <c r="E236" s="6"/>
      <c r="F236" s="11">
        <v>46255</v>
      </c>
      <c r="G236" s="6">
        <v>6949245.3247353528</v>
      </c>
      <c r="H236" s="6">
        <f t="shared" si="30"/>
        <v>3174739.6202366622</v>
      </c>
      <c r="I236" s="6">
        <f t="shared" si="31"/>
        <v>737755.56307124963</v>
      </c>
      <c r="J236" s="6">
        <v>3000765</v>
      </c>
      <c r="K236" s="6"/>
      <c r="L236" s="6">
        <v>35025.862068965493</v>
      </c>
      <c r="M236" s="6"/>
      <c r="N236" s="6">
        <v>36025</v>
      </c>
      <c r="O236" s="6"/>
      <c r="P236" s="6">
        <v>6236</v>
      </c>
      <c r="Q236" s="6"/>
      <c r="R236" s="6">
        <v>178245</v>
      </c>
      <c r="S236" s="6"/>
      <c r="T236" s="6">
        <v>579403</v>
      </c>
      <c r="U236" s="6"/>
      <c r="V236" s="6">
        <v>113017</v>
      </c>
      <c r="W236" s="6"/>
      <c r="X236" s="6">
        <v>25208</v>
      </c>
      <c r="Y236" s="6"/>
      <c r="Z236" s="6">
        <v>11132</v>
      </c>
      <c r="AA236" s="6"/>
      <c r="AB236" s="6">
        <v>0</v>
      </c>
      <c r="AC236" s="6"/>
      <c r="AD236" s="6">
        <v>0</v>
      </c>
      <c r="AE236" s="6"/>
      <c r="AF236" s="8">
        <v>3798.0111538889123</v>
      </c>
      <c r="AG236" s="8">
        <v>15195.958859901588</v>
      </c>
      <c r="AH236" s="9">
        <f t="shared" si="32"/>
        <v>0</v>
      </c>
      <c r="AI236" s="7"/>
      <c r="AJ236" s="9"/>
      <c r="AK236" s="21" t="e">
        <f t="shared" si="33"/>
        <v>#DIV/0!</v>
      </c>
      <c r="AL236" s="21" t="e">
        <f t="shared" si="34"/>
        <v>#DIV/0!</v>
      </c>
      <c r="AM236" s="18" t="e">
        <f t="shared" si="35"/>
        <v>#DIV/0!</v>
      </c>
      <c r="AN236" s="18" t="e">
        <f t="shared" si="36"/>
        <v>#DIV/0!</v>
      </c>
    </row>
    <row r="237" spans="1:40" hidden="1" x14ac:dyDescent="0.3">
      <c r="A237" s="11">
        <v>45892</v>
      </c>
      <c r="B237" s="6"/>
      <c r="C237" s="6"/>
      <c r="D237" s="7">
        <v>2.5687109591313682E-2</v>
      </c>
      <c r="E237" s="6"/>
      <c r="F237" s="11">
        <v>46256</v>
      </c>
      <c r="G237" s="6">
        <v>4933173.2469865223</v>
      </c>
      <c r="H237" s="6">
        <f t="shared" si="30"/>
        <v>2253703.794993896</v>
      </c>
      <c r="I237" s="6">
        <f t="shared" si="31"/>
        <v>523722.48157711554</v>
      </c>
      <c r="J237" s="6">
        <v>3117784</v>
      </c>
      <c r="K237" s="6"/>
      <c r="L237" s="6">
        <v>47162.931034482739</v>
      </c>
      <c r="M237" s="6"/>
      <c r="N237" s="6">
        <v>19293</v>
      </c>
      <c r="O237" s="6"/>
      <c r="P237" s="6">
        <v>5273</v>
      </c>
      <c r="Q237" s="6"/>
      <c r="R237" s="6">
        <v>203525</v>
      </c>
      <c r="S237" s="6"/>
      <c r="T237" s="6">
        <v>648055</v>
      </c>
      <c r="U237" s="6"/>
      <c r="V237" s="6">
        <v>76037</v>
      </c>
      <c r="W237" s="6"/>
      <c r="X237" s="6">
        <v>28466</v>
      </c>
      <c r="Y237" s="6"/>
      <c r="Z237" s="6">
        <v>11786</v>
      </c>
      <c r="AA237" s="6"/>
      <c r="AB237" s="6">
        <v>265.07758620689651</v>
      </c>
      <c r="AC237" s="6"/>
      <c r="AD237" s="6">
        <v>0</v>
      </c>
      <c r="AE237" s="6"/>
      <c r="AF237" s="8">
        <v>2696.1556457693086</v>
      </c>
      <c r="AG237" s="8">
        <v>10787.40125106019</v>
      </c>
      <c r="AH237" s="9">
        <f t="shared" si="32"/>
        <v>0</v>
      </c>
      <c r="AI237" s="7"/>
      <c r="AJ237" s="9"/>
      <c r="AK237" s="21" t="e">
        <f t="shared" si="33"/>
        <v>#DIV/0!</v>
      </c>
      <c r="AL237" s="21" t="e">
        <f t="shared" si="34"/>
        <v>#DIV/0!</v>
      </c>
      <c r="AM237" s="18" t="e">
        <f t="shared" si="35"/>
        <v>#DIV/0!</v>
      </c>
      <c r="AN237" s="18" t="e">
        <f t="shared" si="36"/>
        <v>#DIV/0!</v>
      </c>
    </row>
    <row r="238" spans="1:40" hidden="1" x14ac:dyDescent="0.3">
      <c r="A238" s="11">
        <v>45893</v>
      </c>
      <c r="B238" s="6"/>
      <c r="C238" s="6"/>
      <c r="D238" s="7">
        <v>3.0751285987326356E-2</v>
      </c>
      <c r="E238" s="6"/>
      <c r="F238" s="11">
        <v>46257</v>
      </c>
      <c r="G238" s="6">
        <v>5905741.1969157113</v>
      </c>
      <c r="H238" s="6">
        <f t="shared" si="30"/>
        <v>2698018.2291127015</v>
      </c>
      <c r="I238" s="6">
        <f t="shared" si="31"/>
        <v>626973.60914504097</v>
      </c>
      <c r="J238" s="6">
        <v>3423344</v>
      </c>
      <c r="K238" s="6"/>
      <c r="L238" s="6">
        <v>43106.896551724109</v>
      </c>
      <c r="M238" s="6"/>
      <c r="N238" s="6">
        <v>5283</v>
      </c>
      <c r="O238" s="6"/>
      <c r="P238" s="6">
        <v>5236</v>
      </c>
      <c r="Q238" s="6"/>
      <c r="R238" s="6">
        <v>165029</v>
      </c>
      <c r="S238" s="6"/>
      <c r="T238" s="6">
        <v>757892</v>
      </c>
      <c r="U238" s="6"/>
      <c r="V238" s="6">
        <v>97355</v>
      </c>
      <c r="W238" s="6"/>
      <c r="X238" s="6">
        <v>44629</v>
      </c>
      <c r="Y238" s="6"/>
      <c r="Z238" s="6">
        <v>14410</v>
      </c>
      <c r="AA238" s="6"/>
      <c r="AB238" s="6">
        <v>2389.9741379310344</v>
      </c>
      <c r="AC238" s="6"/>
      <c r="AD238" s="6">
        <v>0</v>
      </c>
      <c r="AE238" s="6"/>
      <c r="AF238" s="8">
        <v>3227.6988204789459</v>
      </c>
      <c r="AG238" s="8">
        <v>12914.12176026104</v>
      </c>
      <c r="AH238" s="9">
        <f t="shared" si="32"/>
        <v>0</v>
      </c>
      <c r="AI238" s="7"/>
      <c r="AJ238" s="9"/>
      <c r="AK238" s="21" t="e">
        <f t="shared" si="33"/>
        <v>#DIV/0!</v>
      </c>
      <c r="AL238" s="21" t="e">
        <f t="shared" si="34"/>
        <v>#DIV/0!</v>
      </c>
      <c r="AM238" s="18" t="e">
        <f t="shared" si="35"/>
        <v>#DIV/0!</v>
      </c>
      <c r="AN238" s="18" t="e">
        <f t="shared" si="36"/>
        <v>#DIV/0!</v>
      </c>
    </row>
    <row r="239" spans="1:40" hidden="1" x14ac:dyDescent="0.3">
      <c r="A239" s="11">
        <v>45894</v>
      </c>
      <c r="B239" s="6"/>
      <c r="C239" s="6"/>
      <c r="D239" s="7">
        <v>3.514133475408851E-2</v>
      </c>
      <c r="E239" s="6"/>
      <c r="F239" s="11">
        <v>46258</v>
      </c>
      <c r="G239" s="6">
        <v>6748843.8843617402</v>
      </c>
      <c r="H239" s="6">
        <f t="shared" si="30"/>
        <v>3083186.8885404575</v>
      </c>
      <c r="I239" s="6">
        <f t="shared" si="31"/>
        <v>716480.26329778042</v>
      </c>
      <c r="J239" s="6">
        <v>5203886</v>
      </c>
      <c r="K239" s="6"/>
      <c r="L239" s="6">
        <v>38813.793103448261</v>
      </c>
      <c r="M239" s="6"/>
      <c r="N239" s="6">
        <v>56753</v>
      </c>
      <c r="O239" s="6"/>
      <c r="P239" s="6">
        <v>4215</v>
      </c>
      <c r="Q239" s="6"/>
      <c r="R239" s="6">
        <v>137354</v>
      </c>
      <c r="S239" s="6"/>
      <c r="T239" s="6">
        <v>801333</v>
      </c>
      <c r="U239" s="6"/>
      <c r="V239" s="6">
        <v>95156</v>
      </c>
      <c r="W239" s="6"/>
      <c r="X239" s="6">
        <v>42338</v>
      </c>
      <c r="Y239" s="6"/>
      <c r="Z239" s="6">
        <v>7580</v>
      </c>
      <c r="AA239" s="6"/>
      <c r="AB239" s="6">
        <v>1311.3362068965516</v>
      </c>
      <c r="AC239" s="6"/>
      <c r="AD239" s="6">
        <v>85.344827586206904</v>
      </c>
      <c r="AE239" s="6"/>
      <c r="AF239" s="8">
        <v>3688.4845980936798</v>
      </c>
      <c r="AG239" s="8">
        <v>14757.73975824706</v>
      </c>
      <c r="AH239" s="9">
        <f t="shared" si="32"/>
        <v>0</v>
      </c>
      <c r="AI239" s="7"/>
      <c r="AJ239" s="9"/>
      <c r="AK239" s="21" t="e">
        <f t="shared" si="33"/>
        <v>#DIV/0!</v>
      </c>
      <c r="AL239" s="21" t="e">
        <f t="shared" si="34"/>
        <v>#DIV/0!</v>
      </c>
      <c r="AM239" s="18" t="e">
        <f t="shared" si="35"/>
        <v>#DIV/0!</v>
      </c>
      <c r="AN239" s="18" t="e">
        <f t="shared" si="36"/>
        <v>#DIV/0!</v>
      </c>
    </row>
    <row r="240" spans="1:40" hidden="1" x14ac:dyDescent="0.3">
      <c r="A240" s="11">
        <v>45895</v>
      </c>
      <c r="B240" s="6"/>
      <c r="C240" s="6"/>
      <c r="D240" s="7">
        <v>4.6708131607670601E-2</v>
      </c>
      <c r="E240" s="6"/>
      <c r="F240" s="11">
        <v>46259</v>
      </c>
      <c r="G240" s="6">
        <v>8970230.9418886304</v>
      </c>
      <c r="H240" s="6">
        <f t="shared" si="30"/>
        <v>4098020.1796187414</v>
      </c>
      <c r="I240" s="6">
        <f t="shared" si="31"/>
        <v>952310.28265133512</v>
      </c>
      <c r="J240" s="6">
        <v>5685559</v>
      </c>
      <c r="K240" s="6"/>
      <c r="L240" s="6">
        <v>40163.793103448261</v>
      </c>
      <c r="M240" s="6"/>
      <c r="N240" s="6">
        <v>95169</v>
      </c>
      <c r="O240" s="6"/>
      <c r="P240" s="6">
        <v>522</v>
      </c>
      <c r="Q240" s="6"/>
      <c r="R240" s="6">
        <v>206180</v>
      </c>
      <c r="S240" s="6"/>
      <c r="T240" s="6">
        <v>931011</v>
      </c>
      <c r="U240" s="6"/>
      <c r="V240" s="6">
        <v>80136</v>
      </c>
      <c r="W240" s="6"/>
      <c r="X240" s="6">
        <v>46712</v>
      </c>
      <c r="Y240" s="6"/>
      <c r="Z240" s="6">
        <v>15753</v>
      </c>
      <c r="AA240" s="6"/>
      <c r="AB240" s="6">
        <v>992.37068965517233</v>
      </c>
      <c r="AC240" s="6"/>
      <c r="AD240" s="6">
        <v>-85.344827586206904</v>
      </c>
      <c r="AE240" s="6"/>
      <c r="AF240" s="8">
        <v>4902.5520870570081</v>
      </c>
      <c r="AG240" s="8">
        <v>19615.260936545943</v>
      </c>
      <c r="AH240" s="9">
        <f t="shared" si="32"/>
        <v>0</v>
      </c>
      <c r="AI240" s="7"/>
      <c r="AJ240" s="9"/>
      <c r="AK240" s="21" t="e">
        <f t="shared" si="33"/>
        <v>#DIV/0!</v>
      </c>
      <c r="AL240" s="21" t="e">
        <f t="shared" si="34"/>
        <v>#DIV/0!</v>
      </c>
      <c r="AM240" s="18" t="e">
        <f t="shared" si="35"/>
        <v>#DIV/0!</v>
      </c>
      <c r="AN240" s="18" t="e">
        <f t="shared" si="36"/>
        <v>#DIV/0!</v>
      </c>
    </row>
    <row r="241" spans="1:40" hidden="1" x14ac:dyDescent="0.3">
      <c r="A241" s="11">
        <v>45896</v>
      </c>
      <c r="B241" s="6"/>
      <c r="C241" s="6"/>
      <c r="D241" s="7">
        <v>5.0538352543440287E-2</v>
      </c>
      <c r="E241" s="6"/>
      <c r="F241" s="11">
        <v>46260</v>
      </c>
      <c r="G241" s="6">
        <v>9705819.4822503794</v>
      </c>
      <c r="H241" s="6">
        <f t="shared" si="30"/>
        <v>4434071.3584375624</v>
      </c>
      <c r="I241" s="6">
        <f t="shared" si="31"/>
        <v>1030402.8685975663</v>
      </c>
      <c r="J241" s="6">
        <v>4516794</v>
      </c>
      <c r="K241" s="6"/>
      <c r="L241" s="6">
        <v>37898.275862068956</v>
      </c>
      <c r="M241" s="6"/>
      <c r="N241" s="6">
        <v>51151</v>
      </c>
      <c r="O241" s="6"/>
      <c r="P241" s="6">
        <v>2199</v>
      </c>
      <c r="Q241" s="6"/>
      <c r="R241" s="6">
        <v>144834</v>
      </c>
      <c r="S241" s="6"/>
      <c r="T241" s="6">
        <v>864251</v>
      </c>
      <c r="U241" s="6"/>
      <c r="V241" s="6">
        <v>85695</v>
      </c>
      <c r="W241" s="6"/>
      <c r="X241" s="6">
        <v>46707</v>
      </c>
      <c r="Y241" s="6"/>
      <c r="Z241" s="6">
        <v>16838</v>
      </c>
      <c r="AA241" s="6"/>
      <c r="AB241" s="6">
        <v>1079.4396551724139</v>
      </c>
      <c r="AC241" s="6"/>
      <c r="AD241" s="6">
        <v>602.58620689655174</v>
      </c>
      <c r="AE241" s="6"/>
      <c r="AF241" s="8">
        <v>5304.5775373634679</v>
      </c>
      <c r="AG241" s="8">
        <v>21223.777066688159</v>
      </c>
      <c r="AH241" s="9">
        <f t="shared" si="32"/>
        <v>0</v>
      </c>
      <c r="AI241" s="7"/>
      <c r="AJ241" s="9"/>
      <c r="AK241" s="21" t="e">
        <f t="shared" si="33"/>
        <v>#DIV/0!</v>
      </c>
      <c r="AL241" s="21" t="e">
        <f t="shared" si="34"/>
        <v>#DIV/0!</v>
      </c>
      <c r="AM241" s="18" t="e">
        <f t="shared" si="35"/>
        <v>#DIV/0!</v>
      </c>
      <c r="AN241" s="18" t="e">
        <f t="shared" si="36"/>
        <v>#DIV/0!</v>
      </c>
    </row>
    <row r="242" spans="1:40" hidden="1" x14ac:dyDescent="0.3">
      <c r="A242" s="11">
        <v>45897</v>
      </c>
      <c r="B242" s="6"/>
      <c r="C242" s="6"/>
      <c r="D242" s="7">
        <v>3.7336683532257296E-2</v>
      </c>
      <c r="E242" s="6"/>
      <c r="F242" s="11">
        <v>46261</v>
      </c>
      <c r="G242" s="6">
        <v>7170457.5276472066</v>
      </c>
      <c r="H242" s="6">
        <f t="shared" si="30"/>
        <v>3275799.6796022942</v>
      </c>
      <c r="I242" s="6">
        <f t="shared" si="31"/>
        <v>761240.20430798444</v>
      </c>
      <c r="J242" s="6">
        <v>3868560</v>
      </c>
      <c r="K242" s="6"/>
      <c r="L242" s="6">
        <v>31270.689655172402</v>
      </c>
      <c r="M242" s="6"/>
      <c r="N242" s="6">
        <v>38622</v>
      </c>
      <c r="O242" s="6"/>
      <c r="P242" s="6">
        <v>4537</v>
      </c>
      <c r="Q242" s="6"/>
      <c r="R242" s="6">
        <v>232069</v>
      </c>
      <c r="S242" s="6"/>
      <c r="T242" s="6">
        <v>646678</v>
      </c>
      <c r="U242" s="6"/>
      <c r="V242" s="6">
        <v>183692</v>
      </c>
      <c r="W242" s="6"/>
      <c r="X242" s="6">
        <v>35183</v>
      </c>
      <c r="Y242" s="6"/>
      <c r="Z242" s="6">
        <v>12747</v>
      </c>
      <c r="AA242" s="6"/>
      <c r="AB242" s="6">
        <v>1301.9396551724139</v>
      </c>
      <c r="AC242" s="6"/>
      <c r="AD242" s="6">
        <v>0</v>
      </c>
      <c r="AE242" s="6"/>
      <c r="AF242" s="8">
        <v>3918.911535840467</v>
      </c>
      <c r="AG242" s="8">
        <v>15679.684988088717</v>
      </c>
      <c r="AH242" s="9">
        <f t="shared" si="32"/>
        <v>0</v>
      </c>
      <c r="AI242" s="7"/>
      <c r="AJ242" s="9"/>
      <c r="AK242" s="21" t="e">
        <f t="shared" si="33"/>
        <v>#DIV/0!</v>
      </c>
      <c r="AL242" s="21" t="e">
        <f t="shared" si="34"/>
        <v>#DIV/0!</v>
      </c>
      <c r="AM242" s="18" t="e">
        <f t="shared" si="35"/>
        <v>#DIV/0!</v>
      </c>
      <c r="AN242" s="18" t="e">
        <f t="shared" si="36"/>
        <v>#DIV/0!</v>
      </c>
    </row>
    <row r="243" spans="1:40" hidden="1" x14ac:dyDescent="0.3">
      <c r="A243" s="11">
        <v>45898</v>
      </c>
      <c r="B243" s="6"/>
      <c r="C243" s="6"/>
      <c r="D243" s="7">
        <v>3.7431759413310867E-2</v>
      </c>
      <c r="E243" s="6"/>
      <c r="F243" s="11">
        <v>46262</v>
      </c>
      <c r="G243" s="6">
        <v>7188716.7168012001</v>
      </c>
      <c r="H243" s="6">
        <f t="shared" si="30"/>
        <v>3284141.3294551559</v>
      </c>
      <c r="I243" s="6">
        <f t="shared" si="31"/>
        <v>763178.66204634926</v>
      </c>
      <c r="J243" s="6">
        <v>3565076</v>
      </c>
      <c r="K243" s="6"/>
      <c r="L243" s="6">
        <v>41705.172413793094</v>
      </c>
      <c r="M243" s="6"/>
      <c r="N243" s="6">
        <v>58290</v>
      </c>
      <c r="O243" s="6"/>
      <c r="P243" s="6">
        <v>-1718</v>
      </c>
      <c r="Q243" s="6"/>
      <c r="R243" s="6">
        <v>175197</v>
      </c>
      <c r="S243" s="6"/>
      <c r="T243" s="6">
        <v>594390</v>
      </c>
      <c r="U243" s="6"/>
      <c r="V243" s="6">
        <v>186981</v>
      </c>
      <c r="W243" s="6"/>
      <c r="X243" s="6">
        <v>36599</v>
      </c>
      <c r="Y243" s="6"/>
      <c r="Z243" s="6">
        <v>9709</v>
      </c>
      <c r="AA243" s="6"/>
      <c r="AB243" s="6">
        <v>711.40517241379314</v>
      </c>
      <c r="AC243" s="6"/>
      <c r="AD243" s="6">
        <v>1033.6206896551726</v>
      </c>
      <c r="AE243" s="6"/>
      <c r="AF243" s="8">
        <v>3928.8908358690601</v>
      </c>
      <c r="AG243" s="8">
        <v>15719.612472906616</v>
      </c>
      <c r="AH243" s="9">
        <f t="shared" si="32"/>
        <v>0</v>
      </c>
      <c r="AI243" s="7"/>
      <c r="AJ243" s="9"/>
      <c r="AK243" s="21" t="e">
        <f t="shared" si="33"/>
        <v>#DIV/0!</v>
      </c>
      <c r="AL243" s="21" t="e">
        <f t="shared" si="34"/>
        <v>#DIV/0!</v>
      </c>
      <c r="AM243" s="18" t="e">
        <f t="shared" si="35"/>
        <v>#DIV/0!</v>
      </c>
      <c r="AN243" s="18" t="e">
        <f t="shared" si="36"/>
        <v>#DIV/0!</v>
      </c>
    </row>
    <row r="244" spans="1:40" hidden="1" x14ac:dyDescent="0.3">
      <c r="A244" s="11">
        <v>45899</v>
      </c>
      <c r="B244" s="6"/>
      <c r="C244" s="6"/>
      <c r="D244" s="7">
        <v>3.2696893091290188E-2</v>
      </c>
      <c r="E244" s="6"/>
      <c r="F244" s="11">
        <v>46263</v>
      </c>
      <c r="G244" s="6">
        <v>6279392.3031369792</v>
      </c>
      <c r="H244" s="6">
        <f t="shared" si="30"/>
        <v>2868719.4945930783</v>
      </c>
      <c r="I244" s="6">
        <f t="shared" si="31"/>
        <v>666641.68378924206</v>
      </c>
      <c r="J244" s="6">
        <v>2504987</v>
      </c>
      <c r="K244" s="6"/>
      <c r="L244" s="6">
        <v>48545.689655172391</v>
      </c>
      <c r="M244" s="6"/>
      <c r="N244" s="6">
        <v>23754</v>
      </c>
      <c r="O244" s="6"/>
      <c r="P244" s="6">
        <v>1397</v>
      </c>
      <c r="Q244" s="6"/>
      <c r="R244" s="6">
        <v>164566</v>
      </c>
      <c r="S244" s="6"/>
      <c r="T244" s="6">
        <v>758218</v>
      </c>
      <c r="U244" s="6"/>
      <c r="V244" s="6">
        <v>270836</v>
      </c>
      <c r="W244" s="6"/>
      <c r="X244" s="6">
        <v>35654</v>
      </c>
      <c r="Y244" s="6"/>
      <c r="Z244" s="6">
        <v>13751</v>
      </c>
      <c r="AA244" s="6"/>
      <c r="AB244" s="6">
        <v>257.75862068965517</v>
      </c>
      <c r="AC244" s="6"/>
      <c r="AD244" s="6">
        <v>0</v>
      </c>
      <c r="AE244" s="6"/>
      <c r="AF244" s="8">
        <v>3431.9125160352114</v>
      </c>
      <c r="AG244" s="8">
        <v>13731.187005876231</v>
      </c>
      <c r="AH244" s="9">
        <f t="shared" si="32"/>
        <v>0</v>
      </c>
      <c r="AI244" s="7"/>
      <c r="AJ244" s="9"/>
      <c r="AK244" s="21" t="e">
        <f t="shared" si="33"/>
        <v>#DIV/0!</v>
      </c>
      <c r="AL244" s="21" t="e">
        <f t="shared" si="34"/>
        <v>#DIV/0!</v>
      </c>
      <c r="AM244" s="18" t="e">
        <f t="shared" si="35"/>
        <v>#DIV/0!</v>
      </c>
      <c r="AN244" s="18" t="e">
        <f t="shared" si="36"/>
        <v>#DIV/0!</v>
      </c>
    </row>
    <row r="245" spans="1:40" hidden="1" x14ac:dyDescent="0.3">
      <c r="A245" s="11">
        <v>45900</v>
      </c>
      <c r="B245" s="6"/>
      <c r="C245" s="6"/>
      <c r="D245" s="7">
        <v>2.6132771613199421E-2</v>
      </c>
      <c r="E245" s="6"/>
      <c r="F245" s="11">
        <v>46264</v>
      </c>
      <c r="G245" s="6">
        <v>5018762.0110998703</v>
      </c>
      <c r="H245" s="6">
        <f t="shared" si="30"/>
        <v>2292804.737294862</v>
      </c>
      <c r="I245" s="6">
        <f t="shared" si="31"/>
        <v>532808.87641717959</v>
      </c>
      <c r="J245" s="6">
        <v>2787596</v>
      </c>
      <c r="K245" s="6"/>
      <c r="L245" s="6">
        <v>44080.172413793087</v>
      </c>
      <c r="M245" s="6"/>
      <c r="N245" s="6">
        <v>9613</v>
      </c>
      <c r="O245" s="6"/>
      <c r="P245" s="6">
        <v>3315</v>
      </c>
      <c r="Q245" s="6"/>
      <c r="R245" s="6">
        <v>201703</v>
      </c>
      <c r="S245" s="6"/>
      <c r="T245" s="6">
        <v>650854</v>
      </c>
      <c r="U245" s="6"/>
      <c r="V245" s="6">
        <v>373478</v>
      </c>
      <c r="W245" s="6"/>
      <c r="X245" s="6">
        <v>47088</v>
      </c>
      <c r="Y245" s="6"/>
      <c r="Z245" s="6">
        <v>16121</v>
      </c>
      <c r="AA245" s="6"/>
      <c r="AB245" s="6">
        <v>820.81896551724139</v>
      </c>
      <c r="AC245" s="6"/>
      <c r="AD245" s="6">
        <v>0</v>
      </c>
      <c r="AE245" s="6"/>
      <c r="AF245" s="8">
        <v>2742.9329669833128</v>
      </c>
      <c r="AG245" s="8">
        <v>10974.558744796503</v>
      </c>
      <c r="AH245" s="9">
        <f t="shared" si="32"/>
        <v>0</v>
      </c>
      <c r="AI245" s="7"/>
      <c r="AJ245" s="9"/>
      <c r="AK245" s="21" t="e">
        <f t="shared" si="33"/>
        <v>#DIV/0!</v>
      </c>
      <c r="AL245" s="21" t="e">
        <f t="shared" si="34"/>
        <v>#DIV/0!</v>
      </c>
      <c r="AM245" s="18" t="e">
        <f t="shared" si="35"/>
        <v>#DIV/0!</v>
      </c>
      <c r="AN245" s="18" t="e">
        <f t="shared" si="36"/>
        <v>#DIV/0!</v>
      </c>
    </row>
    <row r="246" spans="1:40" hidden="1" x14ac:dyDescent="0.3">
      <c r="A246" s="11">
        <v>45901</v>
      </c>
      <c r="B246" s="6"/>
      <c r="C246" s="6"/>
      <c r="D246" s="7">
        <v>2.9420160184030604E-2</v>
      </c>
      <c r="E246" s="6"/>
      <c r="F246" s="11">
        <v>46265</v>
      </c>
      <c r="G246" s="6">
        <v>5650100.3597149141</v>
      </c>
      <c r="H246" s="6">
        <f t="shared" si="30"/>
        <v>2581229.562648009</v>
      </c>
      <c r="I246" s="6">
        <f t="shared" si="31"/>
        <v>599833.906777394</v>
      </c>
      <c r="J246" s="6">
        <v>3909270</v>
      </c>
      <c r="K246" s="6"/>
      <c r="L246" s="6">
        <v>26356.89655172413</v>
      </c>
      <c r="M246" s="6"/>
      <c r="N246" s="6">
        <v>17828</v>
      </c>
      <c r="O246" s="6"/>
      <c r="P246" s="6">
        <v>10082</v>
      </c>
      <c r="Q246" s="6"/>
      <c r="R246" s="6">
        <v>117359</v>
      </c>
      <c r="S246" s="6"/>
      <c r="T246" s="6">
        <v>480576</v>
      </c>
      <c r="U246" s="6"/>
      <c r="V246" s="6">
        <v>371920</v>
      </c>
      <c r="W246" s="6"/>
      <c r="X246" s="6">
        <v>38723</v>
      </c>
      <c r="Y246" s="6"/>
      <c r="Z246" s="6">
        <v>18027</v>
      </c>
      <c r="AA246" s="6"/>
      <c r="AB246" s="6">
        <v>387.15517241379314</v>
      </c>
      <c r="AC246" s="6"/>
      <c r="AD246" s="6">
        <v>0</v>
      </c>
      <c r="AE246" s="6"/>
      <c r="AF246" s="8"/>
      <c r="AG246" s="8"/>
      <c r="AH246" s="9"/>
      <c r="AI246" s="7"/>
      <c r="AJ246" s="9"/>
      <c r="AK246" s="21" t="e">
        <f t="shared" si="33"/>
        <v>#DIV/0!</v>
      </c>
      <c r="AL246" s="21" t="e">
        <f t="shared" si="34"/>
        <v>#DIV/0!</v>
      </c>
      <c r="AM246" s="18" t="e">
        <f t="shared" si="35"/>
        <v>#DIV/0!</v>
      </c>
      <c r="AN246" s="18" t="e">
        <f t="shared" si="36"/>
        <v>#DIV/0!</v>
      </c>
    </row>
    <row r="247" spans="1:40" hidden="1" x14ac:dyDescent="0.3">
      <c r="A247" s="11">
        <v>45902</v>
      </c>
      <c r="B247" s="6"/>
      <c r="C247" s="6"/>
      <c r="D247" s="7">
        <v>4.2272480421814966E-2</v>
      </c>
      <c r="E247" s="6"/>
      <c r="F247" s="11">
        <v>46266</v>
      </c>
      <c r="G247" s="6">
        <v>6449071.742491385</v>
      </c>
      <c r="H247" s="6">
        <f t="shared" si="30"/>
        <v>3708850.5116459588</v>
      </c>
      <c r="I247" s="6">
        <f t="shared" si="31"/>
        <v>861873.86207202834</v>
      </c>
      <c r="J247" s="6">
        <v>3732813</v>
      </c>
      <c r="K247" s="6"/>
      <c r="L247" s="6">
        <v>28554.31034482758</v>
      </c>
      <c r="M247" s="6"/>
      <c r="N247" s="6">
        <v>44084</v>
      </c>
      <c r="O247" s="6"/>
      <c r="P247" s="6">
        <v>7771</v>
      </c>
      <c r="Q247" s="6"/>
      <c r="R247" s="6">
        <v>118806</v>
      </c>
      <c r="S247" s="6"/>
      <c r="T247" s="6">
        <v>643534</v>
      </c>
      <c r="U247" s="6"/>
      <c r="V247" s="6">
        <v>90021</v>
      </c>
      <c r="W247" s="6"/>
      <c r="X247" s="6">
        <v>39947</v>
      </c>
      <c r="Y247" s="6"/>
      <c r="Z247" s="6">
        <v>2996</v>
      </c>
      <c r="AA247" s="6"/>
      <c r="AB247" s="6">
        <v>568.06034482758628</v>
      </c>
      <c r="AC247" s="6"/>
      <c r="AD247" s="6">
        <v>0</v>
      </c>
      <c r="AE247" s="6"/>
      <c r="AF247" s="8">
        <v>3532.4708852618737</v>
      </c>
      <c r="AG247" s="8">
        <v>12551.211400109676</v>
      </c>
      <c r="AH247" s="9" t="e">
        <f>+SUM([1]!Tabla2[[#This Row],[Web + APP 2026]:[Shein]])</f>
        <v>#REF!</v>
      </c>
      <c r="AI247" s="7"/>
      <c r="AJ247" s="9"/>
      <c r="AK247" s="21" t="e">
        <f t="shared" si="33"/>
        <v>#REF!</v>
      </c>
      <c r="AL247" s="21" t="e">
        <f t="shared" si="34"/>
        <v>#DIV/0!</v>
      </c>
      <c r="AM247" s="18" t="e">
        <f t="shared" si="35"/>
        <v>#REF!</v>
      </c>
      <c r="AN247" s="18" t="e">
        <f t="shared" si="36"/>
        <v>#DIV/0!</v>
      </c>
    </row>
    <row r="248" spans="1:40" hidden="1" x14ac:dyDescent="0.3">
      <c r="A248" s="11">
        <v>45903</v>
      </c>
      <c r="B248" s="6"/>
      <c r="C248" s="6"/>
      <c r="D248" s="7">
        <v>4.2061178742054263E-2</v>
      </c>
      <c r="E248" s="6"/>
      <c r="F248" s="11">
        <v>46267</v>
      </c>
      <c r="G248" s="6">
        <v>6416835.6475547254</v>
      </c>
      <c r="H248" s="6">
        <f t="shared" si="30"/>
        <v>3690311.5866698953</v>
      </c>
      <c r="I248" s="6">
        <f t="shared" si="31"/>
        <v>857565.73080127186</v>
      </c>
      <c r="J248" s="6">
        <v>3629418</v>
      </c>
      <c r="K248" s="6"/>
      <c r="L248" s="6">
        <v>23437.93103448275</v>
      </c>
      <c r="M248" s="6"/>
      <c r="N248" s="6">
        <v>67723</v>
      </c>
      <c r="O248" s="6"/>
      <c r="P248" s="6">
        <v>4425</v>
      </c>
      <c r="Q248" s="6"/>
      <c r="R248" s="6">
        <v>116334</v>
      </c>
      <c r="S248" s="6"/>
      <c r="T248" s="6">
        <v>10115</v>
      </c>
      <c r="U248" s="6"/>
      <c r="V248" s="6">
        <v>447014</v>
      </c>
      <c r="W248" s="6"/>
      <c r="X248" s="6">
        <v>12385</v>
      </c>
      <c r="Y248" s="6"/>
      <c r="Z248" s="6">
        <v>15496</v>
      </c>
      <c r="AA248" s="6"/>
      <c r="AB248" s="6">
        <v>0</v>
      </c>
      <c r="AC248" s="6"/>
      <c r="AD248" s="6">
        <v>0</v>
      </c>
      <c r="AE248" s="6"/>
      <c r="AF248" s="8">
        <v>3514.8136050570338</v>
      </c>
      <c r="AG248" s="8">
        <v>12488.473372309771</v>
      </c>
      <c r="AH248" s="9" t="e">
        <f>+SUM([1]!Tabla2[[#This Row],[Web + APP 2026]:[Shein]])</f>
        <v>#REF!</v>
      </c>
      <c r="AI248" s="7"/>
      <c r="AJ248" s="9"/>
      <c r="AK248" s="21" t="e">
        <f t="shared" si="33"/>
        <v>#REF!</v>
      </c>
      <c r="AL248" s="21" t="e">
        <f t="shared" si="34"/>
        <v>#DIV/0!</v>
      </c>
      <c r="AM248" s="18" t="e">
        <f t="shared" si="35"/>
        <v>#REF!</v>
      </c>
      <c r="AN248" s="18" t="e">
        <f t="shared" si="36"/>
        <v>#DIV/0!</v>
      </c>
    </row>
    <row r="249" spans="1:40" hidden="1" x14ac:dyDescent="0.3">
      <c r="A249" s="11">
        <v>45904</v>
      </c>
      <c r="B249" s="6"/>
      <c r="C249" s="6"/>
      <c r="D249" s="7">
        <v>3.9952126604178878E-2</v>
      </c>
      <c r="E249" s="6"/>
      <c r="F249" s="11">
        <v>46268</v>
      </c>
      <c r="G249" s="6">
        <v>6095079.545000731</v>
      </c>
      <c r="H249" s="6">
        <f t="shared" si="30"/>
        <v>3505270.1833125837</v>
      </c>
      <c r="I249" s="6">
        <f t="shared" si="31"/>
        <v>814565.25168947899</v>
      </c>
      <c r="J249" s="6">
        <v>3079282</v>
      </c>
      <c r="K249" s="6"/>
      <c r="L249" s="6">
        <v>38493.965517241362</v>
      </c>
      <c r="M249" s="6"/>
      <c r="N249" s="6">
        <v>37107</v>
      </c>
      <c r="O249" s="6"/>
      <c r="P249" s="6">
        <v>8353</v>
      </c>
      <c r="Q249" s="6"/>
      <c r="R249" s="6">
        <v>163184</v>
      </c>
      <c r="S249" s="6"/>
      <c r="T249" s="6">
        <v>1235813</v>
      </c>
      <c r="U249" s="6"/>
      <c r="V249" s="6">
        <v>273796</v>
      </c>
      <c r="W249" s="6"/>
      <c r="X249" s="6">
        <v>18920</v>
      </c>
      <c r="Y249" s="6"/>
      <c r="Z249" s="6">
        <v>8328</v>
      </c>
      <c r="AA249" s="6"/>
      <c r="AB249" s="6">
        <v>903.53448275862081</v>
      </c>
      <c r="AC249" s="6"/>
      <c r="AD249" s="6">
        <v>0</v>
      </c>
      <c r="AE249" s="6"/>
      <c r="AF249" s="8">
        <v>3338.5721070847635</v>
      </c>
      <c r="AG249" s="8">
        <v>11862.270249801097</v>
      </c>
      <c r="AH249" s="9" t="e">
        <f>+SUM([1]!Tabla2[[#This Row],[Web + APP 2026]:[Shein]])</f>
        <v>#REF!</v>
      </c>
      <c r="AI249" s="7"/>
      <c r="AJ249" s="9"/>
      <c r="AK249" s="21" t="e">
        <f t="shared" si="33"/>
        <v>#REF!</v>
      </c>
      <c r="AL249" s="21" t="e">
        <f t="shared" si="34"/>
        <v>#DIV/0!</v>
      </c>
      <c r="AM249" s="18" t="e">
        <f t="shared" si="35"/>
        <v>#REF!</v>
      </c>
      <c r="AN249" s="18" t="e">
        <f t="shared" si="36"/>
        <v>#DIV/0!</v>
      </c>
    </row>
    <row r="250" spans="1:40" hidden="1" x14ac:dyDescent="0.3">
      <c r="A250" s="11">
        <v>45905</v>
      </c>
      <c r="B250" s="6"/>
      <c r="C250" s="6"/>
      <c r="D250" s="7">
        <v>3.4204682909235555E-2</v>
      </c>
      <c r="E250" s="6"/>
      <c r="F250" s="11">
        <v>46269</v>
      </c>
      <c r="G250" s="6">
        <v>5218251.9646278676</v>
      </c>
      <c r="H250" s="6">
        <f t="shared" si="30"/>
        <v>3001008.0894883848</v>
      </c>
      <c r="I250" s="6">
        <f t="shared" si="31"/>
        <v>697383.30624948512</v>
      </c>
      <c r="J250" s="6">
        <v>2474103</v>
      </c>
      <c r="K250" s="6"/>
      <c r="L250" s="6">
        <v>30516.379310344815</v>
      </c>
      <c r="M250" s="6"/>
      <c r="N250" s="6">
        <v>25936</v>
      </c>
      <c r="O250" s="6"/>
      <c r="P250" s="6">
        <v>835</v>
      </c>
      <c r="Q250" s="6"/>
      <c r="R250" s="6">
        <v>99472</v>
      </c>
      <c r="S250" s="6"/>
      <c r="T250" s="6">
        <v>184786</v>
      </c>
      <c r="U250" s="6"/>
      <c r="V250" s="6">
        <v>246588</v>
      </c>
      <c r="W250" s="6"/>
      <c r="X250" s="6">
        <v>23810</v>
      </c>
      <c r="Y250" s="6"/>
      <c r="Z250" s="6">
        <v>7925</v>
      </c>
      <c r="AA250" s="6"/>
      <c r="AB250" s="6">
        <v>791.37931034482767</v>
      </c>
      <c r="AC250" s="6"/>
      <c r="AD250" s="6">
        <v>0</v>
      </c>
      <c r="AE250" s="6"/>
      <c r="AF250" s="8">
        <v>2858.2909096135149</v>
      </c>
      <c r="AG250" s="8">
        <v>10155.784609364579</v>
      </c>
      <c r="AH250" s="9" t="e">
        <f>+SUM([1]!Tabla2[[#This Row],[Web + APP 2026]:[Shein]])</f>
        <v>#REF!</v>
      </c>
      <c r="AI250" s="7"/>
      <c r="AJ250" s="9"/>
      <c r="AK250" s="21" t="e">
        <f t="shared" si="33"/>
        <v>#REF!</v>
      </c>
      <c r="AL250" s="21" t="e">
        <f t="shared" si="34"/>
        <v>#DIV/0!</v>
      </c>
      <c r="AM250" s="18" t="e">
        <f t="shared" si="35"/>
        <v>#REF!</v>
      </c>
      <c r="AN250" s="18" t="e">
        <f t="shared" si="36"/>
        <v>#DIV/0!</v>
      </c>
    </row>
    <row r="251" spans="1:40" hidden="1" x14ac:dyDescent="0.3">
      <c r="A251" s="11">
        <v>45906</v>
      </c>
      <c r="B251" s="6"/>
      <c r="C251" s="6"/>
      <c r="D251" s="7">
        <v>2.9094694308366465E-2</v>
      </c>
      <c r="E251" s="6"/>
      <c r="F251" s="11">
        <v>46270</v>
      </c>
      <c r="G251" s="6">
        <v>4438674.2639232865</v>
      </c>
      <c r="H251" s="6">
        <f t="shared" si="30"/>
        <v>2552674.2409012089</v>
      </c>
      <c r="I251" s="6">
        <f t="shared" si="31"/>
        <v>593198.13503104181</v>
      </c>
      <c r="J251" s="6">
        <v>2230610</v>
      </c>
      <c r="K251" s="6"/>
      <c r="L251" s="6">
        <v>36679.310344827565</v>
      </c>
      <c r="M251" s="6"/>
      <c r="N251" s="6">
        <v>4751</v>
      </c>
      <c r="O251" s="6"/>
      <c r="P251" s="6">
        <v>697</v>
      </c>
      <c r="Q251" s="6"/>
      <c r="R251" s="6">
        <v>100445</v>
      </c>
      <c r="S251" s="6"/>
      <c r="T251" s="6">
        <v>869801</v>
      </c>
      <c r="U251" s="6"/>
      <c r="V251" s="6">
        <v>263561</v>
      </c>
      <c r="W251" s="6"/>
      <c r="X251" s="6">
        <v>29692</v>
      </c>
      <c r="Y251" s="6"/>
      <c r="Z251" s="6">
        <v>3281</v>
      </c>
      <c r="AA251" s="6"/>
      <c r="AB251" s="6">
        <v>1880.6637931034484</v>
      </c>
      <c r="AC251" s="6"/>
      <c r="AD251" s="6">
        <v>1722.4137931034484</v>
      </c>
      <c r="AE251" s="6"/>
      <c r="AF251" s="8">
        <v>2431.2782106550017</v>
      </c>
      <c r="AG251" s="8">
        <v>8638.567106590348</v>
      </c>
      <c r="AH251" s="9" t="e">
        <f>+SUM([1]!Tabla2[[#This Row],[Web + APP 2026]:[Shein]])</f>
        <v>#REF!</v>
      </c>
      <c r="AI251" s="7"/>
      <c r="AJ251" s="9"/>
      <c r="AK251" s="21" t="e">
        <f t="shared" si="33"/>
        <v>#REF!</v>
      </c>
      <c r="AL251" s="21" t="e">
        <f t="shared" si="34"/>
        <v>#DIV/0!</v>
      </c>
      <c r="AM251" s="18" t="e">
        <f t="shared" si="35"/>
        <v>#REF!</v>
      </c>
      <c r="AN251" s="18" t="e">
        <f t="shared" si="36"/>
        <v>#DIV/0!</v>
      </c>
    </row>
    <row r="252" spans="1:40" hidden="1" x14ac:dyDescent="0.3">
      <c r="A252" s="11">
        <v>45907</v>
      </c>
      <c r="B252" s="6"/>
      <c r="C252" s="6"/>
      <c r="D252" s="7">
        <v>2.8016211847783551E-2</v>
      </c>
      <c r="E252" s="6"/>
      <c r="F252" s="11">
        <v>46271</v>
      </c>
      <c r="G252" s="6">
        <v>4274141.4356644424</v>
      </c>
      <c r="H252" s="6">
        <f t="shared" si="30"/>
        <v>2458051.6830143537</v>
      </c>
      <c r="I252" s="6">
        <f t="shared" si="31"/>
        <v>571209.45979352586</v>
      </c>
      <c r="J252" s="6">
        <v>2674804</v>
      </c>
      <c r="K252" s="6"/>
      <c r="L252" s="6">
        <v>33514.655172413783</v>
      </c>
      <c r="M252" s="6"/>
      <c r="N252" s="6">
        <v>11139</v>
      </c>
      <c r="O252" s="6"/>
      <c r="P252" s="6">
        <v>1207</v>
      </c>
      <c r="Q252" s="6"/>
      <c r="R252" s="6">
        <v>80736</v>
      </c>
      <c r="S252" s="6"/>
      <c r="T252" s="6">
        <v>589007</v>
      </c>
      <c r="U252" s="6"/>
      <c r="V252" s="6">
        <v>264958</v>
      </c>
      <c r="W252" s="6"/>
      <c r="X252" s="6">
        <v>38489</v>
      </c>
      <c r="Y252" s="6"/>
      <c r="Z252" s="6">
        <v>5467</v>
      </c>
      <c r="AA252" s="6"/>
      <c r="AB252" s="6">
        <v>915.83620689655186</v>
      </c>
      <c r="AC252" s="6"/>
      <c r="AD252" s="6">
        <v>0</v>
      </c>
      <c r="AE252" s="6"/>
      <c r="AF252" s="8">
        <v>2341.1555622023998</v>
      </c>
      <c r="AG252" s="8">
        <v>8318.3526025201991</v>
      </c>
      <c r="AH252" s="9" t="e">
        <f>+SUM([1]!Tabla2[[#This Row],[Web + APP 2026]:[Shein]])</f>
        <v>#REF!</v>
      </c>
      <c r="AI252" s="7"/>
      <c r="AJ252" s="9"/>
      <c r="AK252" s="21" t="e">
        <f t="shared" si="33"/>
        <v>#REF!</v>
      </c>
      <c r="AL252" s="21" t="e">
        <f t="shared" si="34"/>
        <v>#DIV/0!</v>
      </c>
      <c r="AM252" s="18" t="e">
        <f t="shared" si="35"/>
        <v>#REF!</v>
      </c>
      <c r="AN252" s="18" t="e">
        <f t="shared" si="36"/>
        <v>#DIV/0!</v>
      </c>
    </row>
    <row r="253" spans="1:40" hidden="1" x14ac:dyDescent="0.3">
      <c r="A253" s="11">
        <v>45908</v>
      </c>
      <c r="B253" s="6"/>
      <c r="C253" s="6"/>
      <c r="D253" s="7">
        <v>3.3649561446011132E-2</v>
      </c>
      <c r="E253" s="6"/>
      <c r="F253" s="11">
        <v>46272</v>
      </c>
      <c r="G253" s="6">
        <v>5133562.8688755492</v>
      </c>
      <c r="H253" s="6">
        <f t="shared" si="30"/>
        <v>2952303.530343493</v>
      </c>
      <c r="I253" s="6">
        <f t="shared" si="31"/>
        <v>686065.19397752569</v>
      </c>
      <c r="J253" s="6">
        <v>3525502</v>
      </c>
      <c r="K253" s="6"/>
      <c r="L253" s="6">
        <v>25892.241379310333</v>
      </c>
      <c r="M253" s="6"/>
      <c r="N253" s="6">
        <v>45000</v>
      </c>
      <c r="O253" s="6"/>
      <c r="P253" s="6">
        <v>10415</v>
      </c>
      <c r="Q253" s="6"/>
      <c r="R253" s="6">
        <v>159923</v>
      </c>
      <c r="S253" s="6"/>
      <c r="T253" s="6">
        <v>610021</v>
      </c>
      <c r="U253" s="6"/>
      <c r="V253" s="6">
        <v>212908</v>
      </c>
      <c r="W253" s="6"/>
      <c r="X253" s="6">
        <v>37056</v>
      </c>
      <c r="Y253" s="6"/>
      <c r="Z253" s="6">
        <v>6203</v>
      </c>
      <c r="AA253" s="6"/>
      <c r="AB253" s="6">
        <v>343.96551724137936</v>
      </c>
      <c r="AC253" s="6"/>
      <c r="AD253" s="6">
        <v>0</v>
      </c>
      <c r="AE253" s="6"/>
      <c r="AF253" s="8">
        <v>2811.9025645943216</v>
      </c>
      <c r="AG253" s="8">
        <v>9990.9623238458807</v>
      </c>
      <c r="AH253" s="9" t="e">
        <f>+SUM([1]!Tabla2[[#This Row],[Web + APP 2026]:[Shein]])</f>
        <v>#REF!</v>
      </c>
      <c r="AI253" s="7"/>
      <c r="AJ253" s="9"/>
      <c r="AK253" s="21" t="e">
        <f t="shared" si="33"/>
        <v>#REF!</v>
      </c>
      <c r="AL253" s="21" t="e">
        <f t="shared" si="34"/>
        <v>#DIV/0!</v>
      </c>
      <c r="AM253" s="18" t="e">
        <f t="shared" si="35"/>
        <v>#REF!</v>
      </c>
      <c r="AN253" s="18" t="e">
        <f t="shared" si="36"/>
        <v>#DIV/0!</v>
      </c>
    </row>
    <row r="254" spans="1:40" hidden="1" x14ac:dyDescent="0.3">
      <c r="A254" s="11">
        <v>45909</v>
      </c>
      <c r="B254" s="6"/>
      <c r="C254" s="6"/>
      <c r="D254" s="7">
        <v>3.9120049041545236E-2</v>
      </c>
      <c r="E254" s="6"/>
      <c r="F254" s="11">
        <v>46273</v>
      </c>
      <c r="G254" s="6">
        <v>5968138.1438055346</v>
      </c>
      <c r="H254" s="6">
        <f t="shared" si="30"/>
        <v>3432266.3930663336</v>
      </c>
      <c r="I254" s="6">
        <f t="shared" si="31"/>
        <v>797600.41084516339</v>
      </c>
      <c r="J254" s="6">
        <v>3709022</v>
      </c>
      <c r="K254" s="6"/>
      <c r="L254" s="6">
        <v>28638.793103448261</v>
      </c>
      <c r="M254" s="6"/>
      <c r="N254" s="6">
        <v>39009</v>
      </c>
      <c r="O254" s="6"/>
      <c r="P254" s="6">
        <v>6468</v>
      </c>
      <c r="Q254" s="6"/>
      <c r="R254" s="6">
        <v>126437</v>
      </c>
      <c r="S254" s="6"/>
      <c r="T254" s="6">
        <v>512439</v>
      </c>
      <c r="U254" s="6"/>
      <c r="V254" s="6">
        <v>272574</v>
      </c>
      <c r="W254" s="6"/>
      <c r="X254" s="6">
        <v>41801</v>
      </c>
      <c r="Y254" s="6"/>
      <c r="Z254" s="6">
        <v>6981</v>
      </c>
      <c r="AA254" s="6"/>
      <c r="AB254" s="6">
        <v>809.48275862068976</v>
      </c>
      <c r="AC254" s="6"/>
      <c r="AD254" s="6">
        <v>0</v>
      </c>
      <c r="AE254" s="6"/>
      <c r="AF254" s="8">
        <v>3269.0401152320651</v>
      </c>
      <c r="AG254" s="8">
        <v>11615.216344146833</v>
      </c>
      <c r="AH254" s="9" t="e">
        <f>+SUM([1]!Tabla2[[#This Row],[Web + APP 2026]:[Shein]])</f>
        <v>#REF!</v>
      </c>
      <c r="AI254" s="7"/>
      <c r="AJ254" s="9"/>
      <c r="AK254" s="21" t="e">
        <f t="shared" si="33"/>
        <v>#REF!</v>
      </c>
      <c r="AL254" s="21" t="e">
        <f t="shared" si="34"/>
        <v>#DIV/0!</v>
      </c>
      <c r="AM254" s="18" t="e">
        <f t="shared" si="35"/>
        <v>#REF!</v>
      </c>
      <c r="AN254" s="18" t="e">
        <f t="shared" si="36"/>
        <v>#DIV/0!</v>
      </c>
    </row>
    <row r="255" spans="1:40" hidden="1" x14ac:dyDescent="0.3">
      <c r="A255" s="11">
        <v>45910</v>
      </c>
      <c r="B255" s="6"/>
      <c r="C255" s="6"/>
      <c r="D255" s="7">
        <v>3.9377009090239182E-2</v>
      </c>
      <c r="E255" s="6"/>
      <c r="F255" s="11">
        <v>46274</v>
      </c>
      <c r="G255" s="6">
        <v>6007339.8602046072</v>
      </c>
      <c r="H255" s="6">
        <f t="shared" si="30"/>
        <v>3454811.2354451427</v>
      </c>
      <c r="I255" s="6">
        <f t="shared" si="31"/>
        <v>802839.44927764148</v>
      </c>
      <c r="J255" s="6">
        <v>2984548</v>
      </c>
      <c r="K255" s="6"/>
      <c r="L255" s="6">
        <v>24654.31034482758</v>
      </c>
      <c r="M255" s="6"/>
      <c r="N255" s="6">
        <v>17827</v>
      </c>
      <c r="O255" s="6"/>
      <c r="P255" s="6">
        <v>2299</v>
      </c>
      <c r="Q255" s="6"/>
      <c r="R255" s="6">
        <v>109725</v>
      </c>
      <c r="S255" s="6"/>
      <c r="T255" s="6">
        <v>666967</v>
      </c>
      <c r="U255" s="6"/>
      <c r="V255" s="6">
        <v>299912</v>
      </c>
      <c r="W255" s="6"/>
      <c r="X255" s="6">
        <v>40233</v>
      </c>
      <c r="Y255" s="6"/>
      <c r="Z255" s="6">
        <v>7382</v>
      </c>
      <c r="AA255" s="6"/>
      <c r="AB255" s="6">
        <v>920.68965517241395</v>
      </c>
      <c r="AC255" s="6"/>
      <c r="AD255" s="6">
        <v>0</v>
      </c>
      <c r="AE255" s="6"/>
      <c r="AF255" s="8">
        <v>3290.5128057775296</v>
      </c>
      <c r="AG255" s="8">
        <v>11691.510894652458</v>
      </c>
      <c r="AH255" s="9" t="e">
        <f>+SUM([1]!Tabla2[[#This Row],[Web + APP 2026]:[Shein]])</f>
        <v>#REF!</v>
      </c>
      <c r="AI255" s="7"/>
      <c r="AJ255" s="9"/>
      <c r="AK255" s="21" t="e">
        <f t="shared" si="33"/>
        <v>#REF!</v>
      </c>
      <c r="AL255" s="21" t="e">
        <f t="shared" si="34"/>
        <v>#DIV/0!</v>
      </c>
      <c r="AM255" s="18" t="e">
        <f t="shared" si="35"/>
        <v>#REF!</v>
      </c>
      <c r="AN255" s="18" t="e">
        <f t="shared" si="36"/>
        <v>#DIV/0!</v>
      </c>
    </row>
    <row r="256" spans="1:40" hidden="1" x14ac:dyDescent="0.3">
      <c r="A256" s="11">
        <v>45911</v>
      </c>
      <c r="B256" s="6"/>
      <c r="C256" s="6"/>
      <c r="D256" s="7">
        <v>3.504588178053232E-2</v>
      </c>
      <c r="E256" s="6"/>
      <c r="F256" s="11">
        <v>46275</v>
      </c>
      <c r="G256" s="6">
        <v>5346584.908816684</v>
      </c>
      <c r="H256" s="6">
        <f t="shared" si="30"/>
        <v>3074812.1538128187</v>
      </c>
      <c r="I256" s="6">
        <f t="shared" si="31"/>
        <v>714534.11719648202</v>
      </c>
      <c r="J256" s="6">
        <v>2427761</v>
      </c>
      <c r="K256" s="6"/>
      <c r="L256" s="6">
        <v>25539.655172413783</v>
      </c>
      <c r="M256" s="6"/>
      <c r="N256" s="6">
        <v>22302</v>
      </c>
      <c r="O256" s="6"/>
      <c r="P256" s="6">
        <v>3261</v>
      </c>
      <c r="Q256" s="6"/>
      <c r="R256" s="6">
        <v>48694</v>
      </c>
      <c r="S256" s="6"/>
      <c r="T256" s="6">
        <v>356119</v>
      </c>
      <c r="U256" s="6"/>
      <c r="V256" s="6">
        <v>246603</v>
      </c>
      <c r="W256" s="6"/>
      <c r="X256" s="6">
        <v>27305</v>
      </c>
      <c r="Y256" s="6"/>
      <c r="Z256" s="6">
        <v>3241</v>
      </c>
      <c r="AA256" s="6"/>
      <c r="AB256" s="6">
        <v>257.75862068965517</v>
      </c>
      <c r="AC256" s="6"/>
      <c r="AD256" s="6">
        <v>0</v>
      </c>
      <c r="AE256" s="6"/>
      <c r="AF256" s="8">
        <v>2928.5851173798874</v>
      </c>
      <c r="AG256" s="8">
        <v>10405.546742029281</v>
      </c>
      <c r="AH256" s="9" t="e">
        <f>+SUM([1]!Tabla2[[#This Row],[Web + APP 2026]:[Shein]])</f>
        <v>#REF!</v>
      </c>
      <c r="AI256" s="7"/>
      <c r="AJ256" s="9"/>
      <c r="AK256" s="21" t="e">
        <f t="shared" si="33"/>
        <v>#REF!</v>
      </c>
      <c r="AL256" s="21" t="e">
        <f t="shared" si="34"/>
        <v>#DIV/0!</v>
      </c>
      <c r="AM256" s="18" t="e">
        <f t="shared" si="35"/>
        <v>#REF!</v>
      </c>
      <c r="AN256" s="18" t="e">
        <f t="shared" si="36"/>
        <v>#DIV/0!</v>
      </c>
    </row>
    <row r="257" spans="1:40" hidden="1" x14ac:dyDescent="0.3">
      <c r="A257" s="11">
        <v>45912</v>
      </c>
      <c r="B257" s="6"/>
      <c r="C257" s="6"/>
      <c r="D257" s="7">
        <v>2.8324591546545635E-2</v>
      </c>
      <c r="E257" s="6"/>
      <c r="F257" s="11">
        <v>46276</v>
      </c>
      <c r="G257" s="6">
        <v>4321187.7121402901</v>
      </c>
      <c r="H257" s="6">
        <f t="shared" si="30"/>
        <v>2485107.9189418945</v>
      </c>
      <c r="I257" s="6">
        <f t="shared" si="31"/>
        <v>577496.86945826677</v>
      </c>
      <c r="J257" s="6">
        <v>2178584</v>
      </c>
      <c r="K257" s="6"/>
      <c r="L257" s="6">
        <v>26887.068965517232</v>
      </c>
      <c r="M257" s="6"/>
      <c r="N257" s="6">
        <v>27326</v>
      </c>
      <c r="O257" s="6"/>
      <c r="P257" s="6">
        <v>1339</v>
      </c>
      <c r="Q257" s="6"/>
      <c r="R257" s="6">
        <v>88295</v>
      </c>
      <c r="S257" s="6"/>
      <c r="T257" s="6">
        <v>120118</v>
      </c>
      <c r="U257" s="6"/>
      <c r="V257" s="6">
        <v>219269</v>
      </c>
      <c r="W257" s="6"/>
      <c r="X257" s="6">
        <v>32816</v>
      </c>
      <c r="Y257" s="6"/>
      <c r="Z257" s="6">
        <v>2209</v>
      </c>
      <c r="AA257" s="6"/>
      <c r="AB257" s="6">
        <v>1031.8965517241379</v>
      </c>
      <c r="AC257" s="6"/>
      <c r="AD257" s="6">
        <v>0</v>
      </c>
      <c r="AE257" s="6"/>
      <c r="AF257" s="8">
        <v>2366.9251006021559</v>
      </c>
      <c r="AG257" s="8">
        <v>8409.9142698754858</v>
      </c>
      <c r="AH257" s="9" t="e">
        <f>+SUM([1]!Tabla2[[#This Row],[Web + APP 2026]:[Shein]])</f>
        <v>#REF!</v>
      </c>
      <c r="AI257" s="7"/>
      <c r="AJ257" s="9"/>
      <c r="AK257" s="21" t="e">
        <f t="shared" si="33"/>
        <v>#REF!</v>
      </c>
      <c r="AL257" s="21" t="e">
        <f t="shared" si="34"/>
        <v>#DIV/0!</v>
      </c>
      <c r="AM257" s="18" t="e">
        <f t="shared" si="35"/>
        <v>#REF!</v>
      </c>
      <c r="AN257" s="18" t="e">
        <f t="shared" si="36"/>
        <v>#DIV/0!</v>
      </c>
    </row>
    <row r="258" spans="1:40" hidden="1" x14ac:dyDescent="0.3">
      <c r="A258" s="11">
        <v>45913</v>
      </c>
      <c r="B258" s="6"/>
      <c r="C258" s="6"/>
      <c r="D258" s="7">
        <v>2.5332724566597666E-2</v>
      </c>
      <c r="E258" s="6"/>
      <c r="F258" s="11">
        <v>46277</v>
      </c>
      <c r="G258" s="6">
        <v>3864749.7504890421</v>
      </c>
      <c r="H258" s="6">
        <f t="shared" si="30"/>
        <v>2222611.200778408</v>
      </c>
      <c r="I258" s="6">
        <f t="shared" si="31"/>
        <v>516497.09080598719</v>
      </c>
      <c r="J258" s="6">
        <v>1799983</v>
      </c>
      <c r="K258" s="6"/>
      <c r="L258" s="6">
        <v>29600.862068965504</v>
      </c>
      <c r="M258" s="6"/>
      <c r="N258" s="6">
        <v>7912</v>
      </c>
      <c r="O258" s="6"/>
      <c r="P258" s="6">
        <v>4922</v>
      </c>
      <c r="Q258" s="6"/>
      <c r="R258" s="6">
        <v>64472</v>
      </c>
      <c r="S258" s="6"/>
      <c r="T258" s="6">
        <v>592754</v>
      </c>
      <c r="U258" s="6"/>
      <c r="V258" s="6">
        <v>169324</v>
      </c>
      <c r="W258" s="6"/>
      <c r="X258" s="6">
        <v>37170</v>
      </c>
      <c r="Y258" s="6"/>
      <c r="Z258" s="6">
        <v>3458</v>
      </c>
      <c r="AA258" s="6"/>
      <c r="AB258" s="6">
        <v>576.72413793103453</v>
      </c>
      <c r="AC258" s="6"/>
      <c r="AD258" s="6">
        <v>1033.6206896551726</v>
      </c>
      <c r="AE258" s="6"/>
      <c r="AF258" s="8">
        <v>2116.9117847573502</v>
      </c>
      <c r="AG258" s="8">
        <v>7521.5927289668989</v>
      </c>
      <c r="AH258" s="9" t="e">
        <f>+SUM([1]!Tabla2[[#This Row],[Web + APP 2026]:[Shein]])</f>
        <v>#REF!</v>
      </c>
      <c r="AI258" s="7"/>
      <c r="AJ258" s="9"/>
      <c r="AK258" s="21" t="e">
        <f t="shared" si="33"/>
        <v>#REF!</v>
      </c>
      <c r="AL258" s="21" t="e">
        <f t="shared" si="34"/>
        <v>#DIV/0!</v>
      </c>
      <c r="AM258" s="18" t="e">
        <f t="shared" si="35"/>
        <v>#REF!</v>
      </c>
      <c r="AN258" s="18" t="e">
        <f t="shared" si="36"/>
        <v>#DIV/0!</v>
      </c>
    </row>
    <row r="259" spans="1:40" hidden="1" x14ac:dyDescent="0.3">
      <c r="A259" s="11">
        <v>45914</v>
      </c>
      <c r="B259" s="6"/>
      <c r="C259" s="6"/>
      <c r="D259" s="7">
        <v>2.2563388150181427E-2</v>
      </c>
      <c r="E259" s="6"/>
      <c r="F259" s="11">
        <v>46278</v>
      </c>
      <c r="G259" s="6">
        <v>3442260.9575355598</v>
      </c>
      <c r="H259" s="6">
        <f t="shared" si="30"/>
        <v>1979638.5934826999</v>
      </c>
      <c r="I259" s="6">
        <f t="shared" si="31"/>
        <v>460034.38389178296</v>
      </c>
      <c r="J259" s="6">
        <v>1780921</v>
      </c>
      <c r="K259" s="6"/>
      <c r="L259" s="6">
        <v>27704.310344827583</v>
      </c>
      <c r="M259" s="6"/>
      <c r="N259" s="6">
        <v>12528</v>
      </c>
      <c r="O259" s="6"/>
      <c r="P259" s="6">
        <v>4369</v>
      </c>
      <c r="Q259" s="6"/>
      <c r="R259" s="6">
        <v>50344</v>
      </c>
      <c r="S259" s="6"/>
      <c r="T259" s="6">
        <v>241106</v>
      </c>
      <c r="U259" s="6"/>
      <c r="V259" s="6">
        <v>174010</v>
      </c>
      <c r="W259" s="6"/>
      <c r="X259" s="6">
        <v>37039</v>
      </c>
      <c r="Y259" s="6"/>
      <c r="Z259" s="6">
        <v>6282</v>
      </c>
      <c r="AA259" s="6"/>
      <c r="AB259" s="6">
        <v>773.70689655172418</v>
      </c>
      <c r="AC259" s="6"/>
      <c r="AD259" s="6">
        <v>1033.6206896551726</v>
      </c>
      <c r="AE259" s="6"/>
      <c r="AF259" s="8">
        <v>1885.4940831020331</v>
      </c>
      <c r="AG259" s="8">
        <v>6699.3432074430802</v>
      </c>
      <c r="AH259" s="9" t="e">
        <f>+SUM([1]!Tabla2[[#This Row],[Web + APP 2026]:[Shein]])</f>
        <v>#REF!</v>
      </c>
      <c r="AI259" s="7"/>
      <c r="AJ259" s="9"/>
      <c r="AK259" s="21" t="e">
        <f t="shared" si="33"/>
        <v>#REF!</v>
      </c>
      <c r="AL259" s="21" t="e">
        <f t="shared" si="34"/>
        <v>#DIV/0!</v>
      </c>
      <c r="AM259" s="18" t="e">
        <f t="shared" si="35"/>
        <v>#REF!</v>
      </c>
      <c r="AN259" s="18" t="e">
        <f t="shared" si="36"/>
        <v>#DIV/0!</v>
      </c>
    </row>
    <row r="260" spans="1:40" hidden="1" x14ac:dyDescent="0.3">
      <c r="A260" s="11">
        <v>45915</v>
      </c>
      <c r="B260" s="6"/>
      <c r="C260" s="6"/>
      <c r="D260" s="7">
        <v>2.4075080946647794E-2</v>
      </c>
      <c r="E260" s="6"/>
      <c r="F260" s="11">
        <v>46279</v>
      </c>
      <c r="G260" s="6">
        <v>3672884.171497426</v>
      </c>
      <c r="H260" s="6">
        <f t="shared" ref="H260:H323" si="37">87736761*D260</f>
        <v>2112269.623071691</v>
      </c>
      <c r="I260" s="6">
        <f t="shared" ref="I260:I323" si="38">20388533*D260</f>
        <v>490855.58235839976</v>
      </c>
      <c r="J260" s="6">
        <v>2148281</v>
      </c>
      <c r="K260" s="6"/>
      <c r="L260" s="6">
        <v>18573.27586206896</v>
      </c>
      <c r="M260" s="6"/>
      <c r="N260" s="6">
        <v>21024</v>
      </c>
      <c r="O260" s="6"/>
      <c r="P260" s="6">
        <v>2539</v>
      </c>
      <c r="Q260" s="6"/>
      <c r="R260" s="6">
        <v>119375</v>
      </c>
      <c r="S260" s="6"/>
      <c r="T260" s="6">
        <v>616987</v>
      </c>
      <c r="U260" s="6"/>
      <c r="V260" s="6">
        <v>121950</v>
      </c>
      <c r="W260" s="6"/>
      <c r="X260" s="6">
        <v>30964</v>
      </c>
      <c r="Y260" s="6"/>
      <c r="Z260" s="6">
        <v>6423</v>
      </c>
      <c r="AA260" s="6"/>
      <c r="AB260" s="6">
        <v>0</v>
      </c>
      <c r="AC260" s="6"/>
      <c r="AD260" s="6">
        <v>0</v>
      </c>
      <c r="AE260" s="6"/>
      <c r="AF260" s="8">
        <v>2011.817656682111</v>
      </c>
      <c r="AG260" s="8">
        <v>7148.1831068562433</v>
      </c>
      <c r="AH260" s="9" t="e">
        <f>+SUM([1]!Tabla2[[#This Row],[Web + APP 2026]:[Shein]])</f>
        <v>#REF!</v>
      </c>
      <c r="AI260" s="7"/>
      <c r="AJ260" s="9"/>
      <c r="AK260" s="21" t="e">
        <f t="shared" ref="AK260:AK323" si="39">+AH260/C260-1</f>
        <v>#REF!</v>
      </c>
      <c r="AL260" s="21" t="e">
        <f t="shared" ref="AL260:AL323" si="40">+C260/B260</f>
        <v>#DIV/0!</v>
      </c>
      <c r="AM260" s="18" t="e">
        <f t="shared" ref="AM260:AM323" si="41">+AH260/E260</f>
        <v>#REF!</v>
      </c>
      <c r="AN260" s="18" t="e">
        <f t="shared" ref="AN260:AN323" si="42">+E260/B260-1</f>
        <v>#DIV/0!</v>
      </c>
    </row>
    <row r="261" spans="1:40" hidden="1" x14ac:dyDescent="0.3">
      <c r="A261" s="11">
        <v>45916</v>
      </c>
      <c r="B261" s="6"/>
      <c r="C261" s="6"/>
      <c r="D261" s="7">
        <v>2.6005697483799745E-2</v>
      </c>
      <c r="E261" s="6"/>
      <c r="F261" s="11">
        <v>46280</v>
      </c>
      <c r="G261" s="6">
        <v>3967418.2142385747</v>
      </c>
      <c r="H261" s="6">
        <f t="shared" si="37"/>
        <v>2281655.6647744398</v>
      </c>
      <c r="I261" s="6">
        <f t="shared" si="38"/>
        <v>530218.02133646805</v>
      </c>
      <c r="J261" s="6">
        <v>2565352</v>
      </c>
      <c r="K261" s="6"/>
      <c r="L261" s="6">
        <v>27786.206896551717</v>
      </c>
      <c r="M261" s="6"/>
      <c r="N261" s="6">
        <v>61867</v>
      </c>
      <c r="O261" s="6"/>
      <c r="P261" s="6">
        <v>895</v>
      </c>
      <c r="Q261" s="6"/>
      <c r="R261" s="6">
        <v>42777</v>
      </c>
      <c r="S261" s="6"/>
      <c r="T261" s="6">
        <v>318804</v>
      </c>
      <c r="U261" s="6"/>
      <c r="V261" s="6">
        <v>152090</v>
      </c>
      <c r="W261" s="6"/>
      <c r="X261" s="6">
        <v>39436</v>
      </c>
      <c r="Y261" s="6"/>
      <c r="Z261" s="6">
        <v>2132</v>
      </c>
      <c r="AA261" s="6"/>
      <c r="AB261" s="6">
        <v>1771.637931034483</v>
      </c>
      <c r="AC261" s="6"/>
      <c r="AD261" s="6">
        <v>0</v>
      </c>
      <c r="AE261" s="6"/>
      <c r="AF261" s="8">
        <v>2173.1483058430472</v>
      </c>
      <c r="AG261" s="8">
        <v>7721.4065384729274</v>
      </c>
      <c r="AH261" s="9" t="e">
        <f>+SUM([1]!Tabla2[[#This Row],[Web + APP 2026]:[Shein]])</f>
        <v>#REF!</v>
      </c>
      <c r="AI261" s="7"/>
      <c r="AJ261" s="9"/>
      <c r="AK261" s="21" t="e">
        <f t="shared" si="39"/>
        <v>#REF!</v>
      </c>
      <c r="AL261" s="21" t="e">
        <f t="shared" si="40"/>
        <v>#DIV/0!</v>
      </c>
      <c r="AM261" s="18" t="e">
        <f t="shared" si="41"/>
        <v>#REF!</v>
      </c>
      <c r="AN261" s="18" t="e">
        <f t="shared" si="42"/>
        <v>#DIV/0!</v>
      </c>
    </row>
    <row r="262" spans="1:40" hidden="1" x14ac:dyDescent="0.3">
      <c r="A262" s="11">
        <v>45917</v>
      </c>
      <c r="B262" s="6"/>
      <c r="C262" s="6"/>
      <c r="D262" s="7">
        <v>2.5600783935019057E-2</v>
      </c>
      <c r="E262" s="6"/>
      <c r="F262" s="11">
        <v>46281</v>
      </c>
      <c r="G262" s="6">
        <v>3905644.7744135046</v>
      </c>
      <c r="H262" s="6">
        <f t="shared" si="37"/>
        <v>2246129.8615194065</v>
      </c>
      <c r="I262" s="6">
        <f t="shared" si="38"/>
        <v>521962.4280850059</v>
      </c>
      <c r="J262" s="6">
        <v>2881595</v>
      </c>
      <c r="K262" s="6"/>
      <c r="L262" s="6">
        <v>29182.758620689649</v>
      </c>
      <c r="M262" s="6"/>
      <c r="N262" s="6">
        <v>37711</v>
      </c>
      <c r="O262" s="6"/>
      <c r="P262" s="6">
        <v>8906</v>
      </c>
      <c r="Q262" s="6"/>
      <c r="R262" s="6">
        <v>89671</v>
      </c>
      <c r="S262" s="6"/>
      <c r="T262" s="6">
        <v>560772</v>
      </c>
      <c r="U262" s="6"/>
      <c r="V262" s="6">
        <v>112089</v>
      </c>
      <c r="W262" s="6"/>
      <c r="X262" s="6">
        <v>30343</v>
      </c>
      <c r="Y262" s="6"/>
      <c r="Z262" s="6">
        <v>5195</v>
      </c>
      <c r="AA262" s="6"/>
      <c r="AB262" s="6">
        <v>885.51724137931035</v>
      </c>
      <c r="AC262" s="6"/>
      <c r="AD262" s="6">
        <v>-343.96551724137936</v>
      </c>
      <c r="AE262" s="6"/>
      <c r="AF262" s="8">
        <v>2139.3119823568645</v>
      </c>
      <c r="AG262" s="8">
        <v>7601.18280192369</v>
      </c>
      <c r="AH262" s="9" t="e">
        <f>+SUM([1]!Tabla2[[#This Row],[Web + APP 2026]:[Shein]])</f>
        <v>#REF!</v>
      </c>
      <c r="AI262" s="7"/>
      <c r="AJ262" s="9"/>
      <c r="AK262" s="21" t="e">
        <f t="shared" si="39"/>
        <v>#REF!</v>
      </c>
      <c r="AL262" s="21" t="e">
        <f t="shared" si="40"/>
        <v>#DIV/0!</v>
      </c>
      <c r="AM262" s="18" t="e">
        <f t="shared" si="41"/>
        <v>#REF!</v>
      </c>
      <c r="AN262" s="18" t="e">
        <f t="shared" si="42"/>
        <v>#DIV/0!</v>
      </c>
    </row>
    <row r="263" spans="1:40" hidden="1" x14ac:dyDescent="0.3">
      <c r="A263" s="11">
        <v>45918</v>
      </c>
      <c r="B263" s="6"/>
      <c r="C263" s="6"/>
      <c r="D263" s="7">
        <v>3.2588345553626802E-2</v>
      </c>
      <c r="E263" s="6"/>
      <c r="F263" s="11">
        <v>46282</v>
      </c>
      <c r="G263" s="6">
        <v>4971664.2209616518</v>
      </c>
      <c r="H263" s="6">
        <f t="shared" si="37"/>
        <v>2859195.8852239675</v>
      </c>
      <c r="I263" s="6">
        <f t="shared" si="38"/>
        <v>664428.55873552337</v>
      </c>
      <c r="J263" s="6">
        <v>3137096</v>
      </c>
      <c r="K263" s="6"/>
      <c r="L263" s="6">
        <v>30499.999999999993</v>
      </c>
      <c r="M263" s="6"/>
      <c r="N263" s="6">
        <v>48555</v>
      </c>
      <c r="O263" s="6"/>
      <c r="P263" s="6">
        <v>554</v>
      </c>
      <c r="Q263" s="6"/>
      <c r="R263" s="6">
        <v>53223</v>
      </c>
      <c r="S263" s="6"/>
      <c r="T263" s="6">
        <v>582614</v>
      </c>
      <c r="U263" s="6"/>
      <c r="V263" s="6">
        <v>109550</v>
      </c>
      <c r="W263" s="6"/>
      <c r="X263" s="6">
        <v>24701</v>
      </c>
      <c r="Y263" s="6"/>
      <c r="Z263" s="6">
        <v>9358</v>
      </c>
      <c r="AA263" s="6"/>
      <c r="AB263" s="6">
        <v>0</v>
      </c>
      <c r="AC263" s="6"/>
      <c r="AD263" s="6">
        <v>0</v>
      </c>
      <c r="AE263" s="6"/>
      <c r="AF263" s="8">
        <v>2723.2227850919508</v>
      </c>
      <c r="AG263" s="8">
        <v>9675.8744729896498</v>
      </c>
      <c r="AH263" s="9" t="e">
        <f>+SUM([1]!Tabla2[[#This Row],[Web + APP 2026]:[Shein]])</f>
        <v>#REF!</v>
      </c>
      <c r="AI263" s="7"/>
      <c r="AJ263" s="9"/>
      <c r="AK263" s="21" t="e">
        <f t="shared" si="39"/>
        <v>#REF!</v>
      </c>
      <c r="AL263" s="21" t="e">
        <f t="shared" si="40"/>
        <v>#DIV/0!</v>
      </c>
      <c r="AM263" s="18" t="e">
        <f t="shared" si="41"/>
        <v>#REF!</v>
      </c>
      <c r="AN263" s="18" t="e">
        <f t="shared" si="42"/>
        <v>#DIV/0!</v>
      </c>
    </row>
    <row r="264" spans="1:40" hidden="1" x14ac:dyDescent="0.3">
      <c r="A264" s="11">
        <v>45919</v>
      </c>
      <c r="B264" s="6"/>
      <c r="C264" s="6"/>
      <c r="D264" s="7">
        <v>3.5013162540744325E-2</v>
      </c>
      <c r="E264" s="6"/>
      <c r="F264" s="11">
        <v>46283</v>
      </c>
      <c r="G264" s="6">
        <v>5341593.2754266625</v>
      </c>
      <c r="H264" s="6">
        <f t="shared" si="37"/>
        <v>3071941.4736914374</v>
      </c>
      <c r="I264" s="6">
        <f t="shared" si="38"/>
        <v>713867.0198963295</v>
      </c>
      <c r="J264" s="6">
        <v>2528021</v>
      </c>
      <c r="K264" s="6"/>
      <c r="L264" s="6">
        <v>32440.517241379297</v>
      </c>
      <c r="M264" s="6"/>
      <c r="N264" s="6">
        <v>31205</v>
      </c>
      <c r="O264" s="6"/>
      <c r="P264" s="6">
        <v>6171</v>
      </c>
      <c r="Q264" s="6"/>
      <c r="R264" s="6">
        <v>94328</v>
      </c>
      <c r="S264" s="6"/>
      <c r="T264" s="6">
        <v>458250</v>
      </c>
      <c r="U264" s="6"/>
      <c r="V264" s="6">
        <v>104253</v>
      </c>
      <c r="W264" s="6"/>
      <c r="X264" s="6">
        <v>32064</v>
      </c>
      <c r="Y264" s="6"/>
      <c r="Z264" s="6">
        <v>11786</v>
      </c>
      <c r="AA264" s="6"/>
      <c r="AB264" s="6">
        <v>162.97413793103451</v>
      </c>
      <c r="AC264" s="6"/>
      <c r="AD264" s="6">
        <v>0</v>
      </c>
      <c r="AE264" s="6"/>
      <c r="AF264" s="8">
        <v>2925.8509565077152</v>
      </c>
      <c r="AG264" s="8">
        <v>10395.832003472844</v>
      </c>
      <c r="AH264" s="9" t="e">
        <f>+SUM([1]!Tabla2[[#This Row],[Web + APP 2026]:[Shein]])</f>
        <v>#REF!</v>
      </c>
      <c r="AI264" s="7"/>
      <c r="AJ264" s="9"/>
      <c r="AK264" s="21" t="e">
        <f t="shared" si="39"/>
        <v>#REF!</v>
      </c>
      <c r="AL264" s="21" t="e">
        <f t="shared" si="40"/>
        <v>#DIV/0!</v>
      </c>
      <c r="AM264" s="18" t="e">
        <f t="shared" si="41"/>
        <v>#REF!</v>
      </c>
      <c r="AN264" s="18" t="e">
        <f t="shared" si="42"/>
        <v>#DIV/0!</v>
      </c>
    </row>
    <row r="265" spans="1:40" hidden="1" x14ac:dyDescent="0.3">
      <c r="A265" s="11">
        <v>45920</v>
      </c>
      <c r="B265" s="6"/>
      <c r="C265" s="6"/>
      <c r="D265" s="7">
        <v>3.0398151774101902E-2</v>
      </c>
      <c r="E265" s="6"/>
      <c r="F265" s="11">
        <v>46284</v>
      </c>
      <c r="G265" s="6">
        <v>4637529.1838601781</v>
      </c>
      <c r="H265" s="6">
        <f t="shared" si="37"/>
        <v>2667035.3770461045</v>
      </c>
      <c r="I265" s="6">
        <f t="shared" si="38"/>
        <v>619773.72058528522</v>
      </c>
      <c r="J265" s="6">
        <v>2508912</v>
      </c>
      <c r="K265" s="6"/>
      <c r="L265" s="6">
        <v>33902.586206896536</v>
      </c>
      <c r="M265" s="6"/>
      <c r="N265" s="6">
        <v>41569</v>
      </c>
      <c r="O265" s="6"/>
      <c r="P265" s="6">
        <v>834</v>
      </c>
      <c r="Q265" s="6"/>
      <c r="R265" s="6">
        <v>73408</v>
      </c>
      <c r="S265" s="6"/>
      <c r="T265" s="6">
        <v>439924</v>
      </c>
      <c r="U265" s="6"/>
      <c r="V265" s="6">
        <v>75203</v>
      </c>
      <c r="W265" s="6"/>
      <c r="X265" s="6">
        <v>28962</v>
      </c>
      <c r="Y265" s="6"/>
      <c r="Z265" s="6">
        <v>9571</v>
      </c>
      <c r="AA265" s="6"/>
      <c r="AB265" s="6">
        <v>714.39655172413802</v>
      </c>
      <c r="AC265" s="6"/>
      <c r="AD265" s="6">
        <v>1291.3793103448277</v>
      </c>
      <c r="AE265" s="6"/>
      <c r="AF265" s="8">
        <v>2540.2007413875845</v>
      </c>
      <c r="AG265" s="8">
        <v>9025.5794143671592</v>
      </c>
      <c r="AH265" s="9" t="e">
        <f>+SUM([1]!Tabla2[[#This Row],[Web + APP 2026]:[Shein]])</f>
        <v>#REF!</v>
      </c>
      <c r="AI265" s="7"/>
      <c r="AJ265" s="9"/>
      <c r="AK265" s="21" t="e">
        <f t="shared" si="39"/>
        <v>#REF!</v>
      </c>
      <c r="AL265" s="21" t="e">
        <f t="shared" si="40"/>
        <v>#DIV/0!</v>
      </c>
      <c r="AM265" s="18" t="e">
        <f t="shared" si="41"/>
        <v>#REF!</v>
      </c>
      <c r="AN265" s="18" t="e">
        <f t="shared" si="42"/>
        <v>#DIV/0!</v>
      </c>
    </row>
    <row r="266" spans="1:40" hidden="1" x14ac:dyDescent="0.3">
      <c r="A266" s="11">
        <v>45921</v>
      </c>
      <c r="B266" s="6"/>
      <c r="C266" s="6"/>
      <c r="D266" s="7">
        <v>2.8562255190359286E-2</v>
      </c>
      <c r="E266" s="6"/>
      <c r="F266" s="11">
        <v>46285</v>
      </c>
      <c r="G266" s="6">
        <v>4357445.5771683659</v>
      </c>
      <c r="H266" s="6">
        <f t="shared" si="37"/>
        <v>2505959.7572575621</v>
      </c>
      <c r="I266" s="6">
        <f t="shared" si="38"/>
        <v>582342.48250306153</v>
      </c>
      <c r="J266" s="6">
        <v>3005335</v>
      </c>
      <c r="K266" s="6"/>
      <c r="L266" s="6">
        <v>40560.344827586188</v>
      </c>
      <c r="M266" s="6"/>
      <c r="N266" s="6">
        <v>7591</v>
      </c>
      <c r="O266" s="6"/>
      <c r="P266" s="6">
        <v>8870</v>
      </c>
      <c r="Q266" s="6"/>
      <c r="R266" s="6">
        <v>114424</v>
      </c>
      <c r="S266" s="6"/>
      <c r="T266" s="6">
        <v>457192</v>
      </c>
      <c r="U266" s="6"/>
      <c r="V266" s="6">
        <v>90772</v>
      </c>
      <c r="W266" s="6"/>
      <c r="X266" s="6">
        <v>35716</v>
      </c>
      <c r="Y266" s="6"/>
      <c r="Z266" s="6">
        <v>7889</v>
      </c>
      <c r="AA266" s="6"/>
      <c r="AB266" s="6">
        <v>171.55172413793105</v>
      </c>
      <c r="AC266" s="6"/>
      <c r="AD266" s="6">
        <v>0</v>
      </c>
      <c r="AE266" s="6"/>
      <c r="AF266" s="8">
        <v>2386.7853002847778</v>
      </c>
      <c r="AG266" s="8">
        <v>8480.4794840729974</v>
      </c>
      <c r="AH266" s="9" t="e">
        <f>+SUM([1]!Tabla2[[#This Row],[Web + APP 2026]:[Shein]])</f>
        <v>#REF!</v>
      </c>
      <c r="AI266" s="7"/>
      <c r="AJ266" s="9"/>
      <c r="AK266" s="21" t="e">
        <f t="shared" si="39"/>
        <v>#REF!</v>
      </c>
      <c r="AL266" s="21" t="e">
        <f t="shared" si="40"/>
        <v>#DIV/0!</v>
      </c>
      <c r="AM266" s="18" t="e">
        <f t="shared" si="41"/>
        <v>#REF!</v>
      </c>
      <c r="AN266" s="18" t="e">
        <f t="shared" si="42"/>
        <v>#DIV/0!</v>
      </c>
    </row>
    <row r="267" spans="1:40" hidden="1" x14ac:dyDescent="0.3">
      <c r="A267" s="11">
        <v>45922</v>
      </c>
      <c r="B267" s="6"/>
      <c r="C267" s="6"/>
      <c r="D267" s="7">
        <v>3.6541845502116407E-2</v>
      </c>
      <c r="E267" s="6"/>
      <c r="F267" s="11">
        <v>46286</v>
      </c>
      <c r="G267" s="6">
        <v>5574808.501763965</v>
      </c>
      <c r="H267" s="6">
        <f t="shared" si="37"/>
        <v>3206063.1653181124</v>
      </c>
      <c r="I267" s="6">
        <f t="shared" si="38"/>
        <v>745034.62290080194</v>
      </c>
      <c r="J267" s="6">
        <v>4228644</v>
      </c>
      <c r="K267" s="6"/>
      <c r="L267" s="6">
        <v>30948.275862068956</v>
      </c>
      <c r="M267" s="6"/>
      <c r="N267" s="6">
        <v>30977</v>
      </c>
      <c r="O267" s="6"/>
      <c r="P267" s="6">
        <v>3889</v>
      </c>
      <c r="Q267" s="6"/>
      <c r="R267" s="6">
        <v>117805</v>
      </c>
      <c r="S267" s="6"/>
      <c r="T267" s="6">
        <v>708970</v>
      </c>
      <c r="U267" s="6"/>
      <c r="V267" s="6">
        <v>87697</v>
      </c>
      <c r="W267" s="6"/>
      <c r="X267" s="6">
        <v>40001</v>
      </c>
      <c r="Y267" s="6"/>
      <c r="Z267" s="6">
        <v>9770</v>
      </c>
      <c r="AA267" s="6"/>
      <c r="AB267" s="6">
        <v>1103.4482758620691</v>
      </c>
      <c r="AC267" s="6"/>
      <c r="AD267" s="6">
        <v>947.41379310344837</v>
      </c>
      <c r="AE267" s="6"/>
      <c r="AF267" s="8">
        <v>3053.5943015860908</v>
      </c>
      <c r="AG267" s="8">
        <v>10849.716488614748</v>
      </c>
      <c r="AH267" s="9" t="e">
        <f>+SUM([1]!Tabla2[[#This Row],[Web + APP 2026]:[Shein]])</f>
        <v>#REF!</v>
      </c>
      <c r="AI267" s="7"/>
      <c r="AJ267" s="9"/>
      <c r="AK267" s="21" t="e">
        <f t="shared" si="39"/>
        <v>#REF!</v>
      </c>
      <c r="AL267" s="21" t="e">
        <f t="shared" si="40"/>
        <v>#DIV/0!</v>
      </c>
      <c r="AM267" s="18" t="e">
        <f t="shared" si="41"/>
        <v>#REF!</v>
      </c>
      <c r="AN267" s="18" t="e">
        <f t="shared" si="42"/>
        <v>#DIV/0!</v>
      </c>
    </row>
    <row r="268" spans="1:40" hidden="1" x14ac:dyDescent="0.3">
      <c r="A268" s="11">
        <v>45923</v>
      </c>
      <c r="B268" s="6"/>
      <c r="C268" s="6"/>
      <c r="D268" s="7">
        <v>4.6305981848371175E-2</v>
      </c>
      <c r="E268" s="6"/>
      <c r="F268" s="11">
        <v>46287</v>
      </c>
      <c r="G268" s="6">
        <v>7064421.0149669722</v>
      </c>
      <c r="H268" s="6">
        <f t="shared" si="37"/>
        <v>4062736.8623008798</v>
      </c>
      <c r="I268" s="6">
        <f t="shared" si="38"/>
        <v>944111.03901291674</v>
      </c>
      <c r="J268" s="6">
        <v>3819612</v>
      </c>
      <c r="K268" s="6"/>
      <c r="L268" s="6">
        <v>28138.793103448268</v>
      </c>
      <c r="M268" s="6"/>
      <c r="N268" s="6">
        <v>70945</v>
      </c>
      <c r="O268" s="6"/>
      <c r="P268" s="6">
        <v>2241</v>
      </c>
      <c r="Q268" s="6"/>
      <c r="R268" s="6">
        <v>108115</v>
      </c>
      <c r="S268" s="6"/>
      <c r="T268" s="6">
        <v>130750</v>
      </c>
      <c r="U268" s="6"/>
      <c r="V268" s="6">
        <v>23990</v>
      </c>
      <c r="W268" s="6"/>
      <c r="X268" s="6">
        <v>26470</v>
      </c>
      <c r="Y268" s="6"/>
      <c r="Z268" s="6">
        <v>9026</v>
      </c>
      <c r="AA268" s="6"/>
      <c r="AB268" s="6">
        <v>240.0086206896552</v>
      </c>
      <c r="AC268" s="6"/>
      <c r="AD268" s="6">
        <v>0</v>
      </c>
      <c r="AE268" s="6"/>
      <c r="AF268" s="8">
        <v>3869.5276704988992</v>
      </c>
      <c r="AG268" s="8">
        <v>13748.806823472281</v>
      </c>
      <c r="AH268" s="9" t="e">
        <f>+SUM([1]!Tabla2[[#This Row],[Web + APP 2026]:[Shein]])</f>
        <v>#REF!</v>
      </c>
      <c r="AI268" s="7"/>
      <c r="AJ268" s="9"/>
      <c r="AK268" s="21" t="e">
        <f t="shared" si="39"/>
        <v>#REF!</v>
      </c>
      <c r="AL268" s="21" t="e">
        <f t="shared" si="40"/>
        <v>#DIV/0!</v>
      </c>
      <c r="AM268" s="18" t="e">
        <f t="shared" si="41"/>
        <v>#REF!</v>
      </c>
      <c r="AN268" s="18" t="e">
        <f t="shared" si="42"/>
        <v>#DIV/0!</v>
      </c>
    </row>
    <row r="269" spans="1:40" hidden="1" x14ac:dyDescent="0.3">
      <c r="A269" s="11">
        <v>45924</v>
      </c>
      <c r="B269" s="6"/>
      <c r="C269" s="6"/>
      <c r="D269" s="7">
        <v>4.1062948250022074E-2</v>
      </c>
      <c r="E269" s="6"/>
      <c r="F269" s="11">
        <v>46288</v>
      </c>
      <c r="G269" s="6">
        <v>6264546.0256915176</v>
      </c>
      <c r="H269" s="6">
        <f t="shared" si="37"/>
        <v>3602730.0765675548</v>
      </c>
      <c r="I269" s="6">
        <f t="shared" si="38"/>
        <v>837213.2754728673</v>
      </c>
      <c r="J269" s="6">
        <v>3568039</v>
      </c>
      <c r="K269" s="6"/>
      <c r="L269" s="6">
        <v>27351.724137931025</v>
      </c>
      <c r="M269" s="6"/>
      <c r="N269" s="6">
        <v>49010</v>
      </c>
      <c r="O269" s="6"/>
      <c r="P269" s="6">
        <v>1023</v>
      </c>
      <c r="Q269" s="6"/>
      <c r="R269" s="6">
        <v>128430</v>
      </c>
      <c r="S269" s="6"/>
      <c r="T269" s="6">
        <v>1012262</v>
      </c>
      <c r="U269" s="6"/>
      <c r="V269" s="6">
        <v>207202</v>
      </c>
      <c r="W269" s="6"/>
      <c r="X269" s="6">
        <v>31837</v>
      </c>
      <c r="Y269" s="6"/>
      <c r="Z269" s="6">
        <v>7832</v>
      </c>
      <c r="AA269" s="6"/>
      <c r="AB269" s="6">
        <v>0</v>
      </c>
      <c r="AC269" s="6"/>
      <c r="AD269" s="6">
        <v>0</v>
      </c>
      <c r="AE269" s="6"/>
      <c r="AF269" s="8">
        <v>3431.3971574131283</v>
      </c>
      <c r="AG269" s="8">
        <v>12192.086649635557</v>
      </c>
      <c r="AH269" s="9" t="e">
        <f>+SUM([1]!Tabla2[[#This Row],[Web + APP 2026]:[Shein]])</f>
        <v>#REF!</v>
      </c>
      <c r="AI269" s="7"/>
      <c r="AJ269" s="9"/>
      <c r="AK269" s="21" t="e">
        <f t="shared" si="39"/>
        <v>#REF!</v>
      </c>
      <c r="AL269" s="21" t="e">
        <f t="shared" si="40"/>
        <v>#DIV/0!</v>
      </c>
      <c r="AM269" s="18" t="e">
        <f t="shared" si="41"/>
        <v>#REF!</v>
      </c>
      <c r="AN269" s="18" t="e">
        <f t="shared" si="42"/>
        <v>#DIV/0!</v>
      </c>
    </row>
    <row r="270" spans="1:40" hidden="1" x14ac:dyDescent="0.3">
      <c r="A270" s="11">
        <v>45925</v>
      </c>
      <c r="B270" s="6"/>
      <c r="C270" s="6"/>
      <c r="D270" s="7">
        <v>3.9067627429540716E-2</v>
      </c>
      <c r="E270" s="6"/>
      <c r="F270" s="11">
        <v>46289</v>
      </c>
      <c r="G270" s="6">
        <v>5960140.7248393232</v>
      </c>
      <c r="H270" s="6">
        <f t="shared" si="37"/>
        <v>3427667.0906226584</v>
      </c>
      <c r="I270" s="6">
        <f t="shared" si="38"/>
        <v>796531.61107889609</v>
      </c>
      <c r="J270" s="6">
        <v>3032045</v>
      </c>
      <c r="K270" s="6"/>
      <c r="L270" s="6">
        <v>32489.655172413783</v>
      </c>
      <c r="M270" s="6"/>
      <c r="N270" s="6">
        <v>32271</v>
      </c>
      <c r="O270" s="6"/>
      <c r="P270" s="6">
        <v>854</v>
      </c>
      <c r="Q270" s="6"/>
      <c r="R270" s="6">
        <v>141184</v>
      </c>
      <c r="S270" s="6"/>
      <c r="T270" s="6">
        <v>537518</v>
      </c>
      <c r="U270" s="6"/>
      <c r="V270" s="6">
        <v>147100</v>
      </c>
      <c r="W270" s="6"/>
      <c r="X270" s="6">
        <v>28015</v>
      </c>
      <c r="Y270" s="6"/>
      <c r="Z270" s="6">
        <v>5570</v>
      </c>
      <c r="AA270" s="6"/>
      <c r="AB270" s="6">
        <v>8514.6551724137935</v>
      </c>
      <c r="AC270" s="6"/>
      <c r="AD270" s="6">
        <v>0</v>
      </c>
      <c r="AE270" s="6"/>
      <c r="AF270" s="8">
        <v>3264.6595391145374</v>
      </c>
      <c r="AG270" s="8">
        <v>11599.651732663478</v>
      </c>
      <c r="AH270" s="9" t="e">
        <f>+SUM([1]!Tabla2[[#This Row],[Web + APP 2026]:[Shein]])</f>
        <v>#REF!</v>
      </c>
      <c r="AI270" s="7"/>
      <c r="AJ270" s="9"/>
      <c r="AK270" s="21" t="e">
        <f t="shared" si="39"/>
        <v>#REF!</v>
      </c>
      <c r="AL270" s="21" t="e">
        <f t="shared" si="40"/>
        <v>#DIV/0!</v>
      </c>
      <c r="AM270" s="18" t="e">
        <f t="shared" si="41"/>
        <v>#REF!</v>
      </c>
      <c r="AN270" s="18" t="e">
        <f t="shared" si="42"/>
        <v>#DIV/0!</v>
      </c>
    </row>
    <row r="271" spans="1:40" hidden="1" x14ac:dyDescent="0.3">
      <c r="A271" s="11">
        <v>45926</v>
      </c>
      <c r="B271" s="6"/>
      <c r="C271" s="6"/>
      <c r="D271" s="7">
        <v>3.2331463243358866E-2</v>
      </c>
      <c r="E271" s="6"/>
      <c r="F271" s="11">
        <v>46290</v>
      </c>
      <c r="G271" s="6">
        <v>4932474.3643039875</v>
      </c>
      <c r="H271" s="6">
        <f t="shared" si="37"/>
        <v>2836657.8633628618</v>
      </c>
      <c r="I271" s="6">
        <f t="shared" si="38"/>
        <v>659191.1052755093</v>
      </c>
      <c r="J271" s="6">
        <v>2325415</v>
      </c>
      <c r="K271" s="6"/>
      <c r="L271" s="6">
        <v>32150.862068965511</v>
      </c>
      <c r="M271" s="6"/>
      <c r="N271" s="6">
        <v>53906</v>
      </c>
      <c r="O271" s="6"/>
      <c r="P271" s="6">
        <v>1765</v>
      </c>
      <c r="Q271" s="6"/>
      <c r="R271" s="6">
        <v>83502</v>
      </c>
      <c r="S271" s="6"/>
      <c r="T271" s="6">
        <v>491681</v>
      </c>
      <c r="U271" s="6"/>
      <c r="V271" s="6">
        <v>151968</v>
      </c>
      <c r="W271" s="6"/>
      <c r="X271" s="6">
        <v>22504</v>
      </c>
      <c r="Y271" s="6"/>
      <c r="Z271" s="6">
        <v>4607</v>
      </c>
      <c r="AA271" s="6"/>
      <c r="AB271" s="6">
        <v>756.89655172413802</v>
      </c>
      <c r="AC271" s="6"/>
      <c r="AD271" s="6">
        <v>0</v>
      </c>
      <c r="AE271" s="6"/>
      <c r="AF271" s="8">
        <v>2701.7565907048338</v>
      </c>
      <c r="AG271" s="8">
        <v>9599.603003964201</v>
      </c>
      <c r="AH271" s="9" t="e">
        <f>+SUM([1]!Tabla2[[#This Row],[Web + APP 2026]:[Shein]])</f>
        <v>#REF!</v>
      </c>
      <c r="AI271" s="7"/>
      <c r="AJ271" s="9"/>
      <c r="AK271" s="21" t="e">
        <f t="shared" si="39"/>
        <v>#REF!</v>
      </c>
      <c r="AL271" s="21" t="e">
        <f t="shared" si="40"/>
        <v>#DIV/0!</v>
      </c>
      <c r="AM271" s="18" t="e">
        <f t="shared" si="41"/>
        <v>#REF!</v>
      </c>
      <c r="AN271" s="18" t="e">
        <f t="shared" si="42"/>
        <v>#DIV/0!</v>
      </c>
    </row>
    <row r="272" spans="1:40" hidden="1" x14ac:dyDescent="0.3">
      <c r="A272" s="11">
        <v>45927</v>
      </c>
      <c r="B272" s="6"/>
      <c r="C272" s="6"/>
      <c r="D272" s="7">
        <v>2.6376311111461603E-2</v>
      </c>
      <c r="E272" s="6"/>
      <c r="F272" s="11">
        <v>46291</v>
      </c>
      <c r="G272" s="6">
        <v>4023958.8725980232</v>
      </c>
      <c r="H272" s="6">
        <f t="shared" si="37"/>
        <v>2314172.1040479508</v>
      </c>
      <c r="I272" s="6">
        <f t="shared" si="38"/>
        <v>537774.28951430158</v>
      </c>
      <c r="J272" s="6">
        <v>1949302</v>
      </c>
      <c r="K272" s="6"/>
      <c r="L272" s="6">
        <v>33178.448275862058</v>
      </c>
      <c r="M272" s="6"/>
      <c r="N272" s="6">
        <v>11242</v>
      </c>
      <c r="O272" s="6"/>
      <c r="P272" s="6">
        <v>4281</v>
      </c>
      <c r="Q272" s="6"/>
      <c r="R272" s="6">
        <v>94716</v>
      </c>
      <c r="S272" s="6"/>
      <c r="T272" s="6">
        <v>515813</v>
      </c>
      <c r="U272" s="6"/>
      <c r="V272" s="6">
        <v>133564</v>
      </c>
      <c r="W272" s="6"/>
      <c r="X272" s="6">
        <v>17092</v>
      </c>
      <c r="Y272" s="6"/>
      <c r="Z272" s="6">
        <v>8878</v>
      </c>
      <c r="AA272" s="6"/>
      <c r="AB272" s="6">
        <v>6458.0862068965525</v>
      </c>
      <c r="AC272" s="6"/>
      <c r="AD272" s="6">
        <v>0</v>
      </c>
      <c r="AE272" s="6"/>
      <c r="AF272" s="8">
        <v>2204.1183799038345</v>
      </c>
      <c r="AG272" s="8">
        <v>7831.4462130349384</v>
      </c>
      <c r="AH272" s="9" t="e">
        <f>+SUM([1]!Tabla2[[#This Row],[Web + APP 2026]:[Shein]])</f>
        <v>#REF!</v>
      </c>
      <c r="AI272" s="7"/>
      <c r="AJ272" s="9"/>
      <c r="AK272" s="21" t="e">
        <f t="shared" si="39"/>
        <v>#REF!</v>
      </c>
      <c r="AL272" s="21" t="e">
        <f t="shared" si="40"/>
        <v>#DIV/0!</v>
      </c>
      <c r="AM272" s="18" t="e">
        <f t="shared" si="41"/>
        <v>#REF!</v>
      </c>
      <c r="AN272" s="18" t="e">
        <f t="shared" si="42"/>
        <v>#DIV/0!</v>
      </c>
    </row>
    <row r="273" spans="1:40" hidden="1" x14ac:dyDescent="0.3">
      <c r="A273" s="11">
        <v>45928</v>
      </c>
      <c r="B273" s="6"/>
      <c r="C273" s="6"/>
      <c r="D273" s="7">
        <v>2.5158417740060807E-2</v>
      </c>
      <c r="E273" s="6"/>
      <c r="F273" s="11">
        <v>46292</v>
      </c>
      <c r="G273" s="6">
        <v>3838157.5747206649</v>
      </c>
      <c r="H273" s="6">
        <f t="shared" si="37"/>
        <v>2207318.0843978752</v>
      </c>
      <c r="I273" s="6">
        <f t="shared" si="38"/>
        <v>512943.23032101517</v>
      </c>
      <c r="J273" s="6">
        <v>2625801</v>
      </c>
      <c r="K273" s="6"/>
      <c r="L273" s="6">
        <v>32585.344827586199</v>
      </c>
      <c r="M273" s="6"/>
      <c r="N273" s="6">
        <v>-5250</v>
      </c>
      <c r="O273" s="6"/>
      <c r="P273" s="6">
        <v>868</v>
      </c>
      <c r="Q273" s="6"/>
      <c r="R273" s="6">
        <v>97488</v>
      </c>
      <c r="S273" s="6"/>
      <c r="T273" s="6">
        <v>448438</v>
      </c>
      <c r="U273" s="6"/>
      <c r="V273" s="6">
        <v>152669</v>
      </c>
      <c r="W273" s="6"/>
      <c r="X273" s="6">
        <v>32751</v>
      </c>
      <c r="Y273" s="6"/>
      <c r="Z273" s="6">
        <v>8303</v>
      </c>
      <c r="AA273" s="6"/>
      <c r="AB273" s="6">
        <v>516.37931034482767</v>
      </c>
      <c r="AC273" s="6"/>
      <c r="AD273" s="6">
        <v>0</v>
      </c>
      <c r="AE273" s="6"/>
      <c r="AF273" s="8">
        <v>2102.3459541342177</v>
      </c>
      <c r="AG273" s="8">
        <v>7469.8389211345739</v>
      </c>
      <c r="AH273" s="9" t="e">
        <f>+SUM([1]!Tabla2[[#This Row],[Web + APP 2026]:[Shein]])</f>
        <v>#REF!</v>
      </c>
      <c r="AI273" s="7"/>
      <c r="AJ273" s="9"/>
      <c r="AK273" s="21" t="e">
        <f t="shared" si="39"/>
        <v>#REF!</v>
      </c>
      <c r="AL273" s="21" t="e">
        <f t="shared" si="40"/>
        <v>#DIV/0!</v>
      </c>
      <c r="AM273" s="18" t="e">
        <f t="shared" si="41"/>
        <v>#REF!</v>
      </c>
      <c r="AN273" s="18" t="e">
        <f t="shared" si="42"/>
        <v>#DIV/0!</v>
      </c>
    </row>
    <row r="274" spans="1:40" hidden="1" x14ac:dyDescent="0.3">
      <c r="A274" s="11">
        <v>45929</v>
      </c>
      <c r="B274" s="6"/>
      <c r="C274" s="6"/>
      <c r="D274" s="7">
        <v>3.2328906512900282E-2</v>
      </c>
      <c r="E274" s="6"/>
      <c r="F274" s="11">
        <v>46293</v>
      </c>
      <c r="G274" s="6">
        <v>4932084.3105860818</v>
      </c>
      <c r="H274" s="6">
        <f t="shared" si="37"/>
        <v>2836433.5441136756</v>
      </c>
      <c r="I274" s="6">
        <f t="shared" si="38"/>
        <v>659138.97729218227</v>
      </c>
      <c r="J274" s="6">
        <v>3385820</v>
      </c>
      <c r="K274" s="6"/>
      <c r="L274" s="6">
        <v>30803.448275862058</v>
      </c>
      <c r="M274" s="6"/>
      <c r="N274" s="6">
        <v>62947</v>
      </c>
      <c r="O274" s="6"/>
      <c r="P274" s="6">
        <v>3822</v>
      </c>
      <c r="Q274" s="6"/>
      <c r="R274" s="6">
        <v>93490</v>
      </c>
      <c r="S274" s="6"/>
      <c r="T274" s="6">
        <v>662792</v>
      </c>
      <c r="U274" s="6"/>
      <c r="V274" s="6">
        <v>132803</v>
      </c>
      <c r="W274" s="6"/>
      <c r="X274" s="6">
        <v>35780</v>
      </c>
      <c r="Y274" s="6"/>
      <c r="Z274" s="6">
        <v>6759</v>
      </c>
      <c r="AA274" s="6"/>
      <c r="AB274" s="6">
        <v>5581.5517241379321</v>
      </c>
      <c r="AC274" s="6"/>
      <c r="AD274" s="6">
        <v>0</v>
      </c>
      <c r="AE274" s="6"/>
      <c r="AF274" s="8">
        <v>2701.5429392744873</v>
      </c>
      <c r="AG274" s="8">
        <v>9598.8438797264316</v>
      </c>
      <c r="AH274" s="9" t="e">
        <f>+SUM([1]!Tabla2[[#This Row],[Web + APP 2026]:[Shein]])</f>
        <v>#REF!</v>
      </c>
      <c r="AI274" s="7"/>
      <c r="AJ274" s="9"/>
      <c r="AK274" s="21" t="e">
        <f t="shared" si="39"/>
        <v>#REF!</v>
      </c>
      <c r="AL274" s="21" t="e">
        <f t="shared" si="40"/>
        <v>#DIV/0!</v>
      </c>
      <c r="AM274" s="18" t="e">
        <f t="shared" si="41"/>
        <v>#REF!</v>
      </c>
      <c r="AN274" s="18" t="e">
        <f t="shared" si="42"/>
        <v>#DIV/0!</v>
      </c>
    </row>
    <row r="275" spans="1:40" hidden="1" x14ac:dyDescent="0.3">
      <c r="A275" s="11">
        <v>45930</v>
      </c>
      <c r="B275" s="6"/>
      <c r="C275" s="6"/>
      <c r="D275" s="7">
        <v>3.7417102441650821E-2</v>
      </c>
      <c r="E275" s="6"/>
      <c r="F275" s="11">
        <v>46294</v>
      </c>
      <c r="G275" s="6">
        <v>5708337.3304450931</v>
      </c>
      <c r="H275" s="6">
        <f t="shared" si="37"/>
        <v>3282855.3742356347</v>
      </c>
      <c r="I275" s="6">
        <f t="shared" si="38"/>
        <v>762879.82789597835</v>
      </c>
      <c r="J275" s="6">
        <v>4032670</v>
      </c>
      <c r="K275" s="6"/>
      <c r="L275" s="6">
        <v>36310.344827586196</v>
      </c>
      <c r="M275" s="6"/>
      <c r="N275" s="6">
        <v>32319</v>
      </c>
      <c r="O275" s="6"/>
      <c r="P275" s="6">
        <v>5531</v>
      </c>
      <c r="Q275" s="6"/>
      <c r="R275" s="6">
        <v>92689</v>
      </c>
      <c r="S275" s="6"/>
      <c r="T275" s="6">
        <v>711212</v>
      </c>
      <c r="U275" s="6"/>
      <c r="V275" s="6">
        <v>102182</v>
      </c>
      <c r="W275" s="6"/>
      <c r="X275" s="6">
        <v>36207</v>
      </c>
      <c r="Y275" s="6"/>
      <c r="Z275" s="6">
        <v>5283</v>
      </c>
      <c r="AA275" s="6"/>
      <c r="AB275" s="6">
        <v>1067.8879310344828</v>
      </c>
      <c r="AC275" s="6"/>
      <c r="AD275" s="6">
        <v>0</v>
      </c>
      <c r="AE275" s="6"/>
      <c r="AF275" s="8">
        <v>3126.7345485074229</v>
      </c>
      <c r="AG275" s="8">
        <v>11109.590874217167</v>
      </c>
      <c r="AH275" s="9" t="e">
        <f>+SUM([1]!Tabla2[[#This Row],[Web + APP 2026]:[Shein]])</f>
        <v>#REF!</v>
      </c>
      <c r="AI275" s="7"/>
      <c r="AJ275" s="9"/>
      <c r="AK275" s="21" t="e">
        <f t="shared" si="39"/>
        <v>#REF!</v>
      </c>
      <c r="AL275" s="21" t="e">
        <f t="shared" si="40"/>
        <v>#DIV/0!</v>
      </c>
      <c r="AM275" s="18" t="e">
        <f t="shared" si="41"/>
        <v>#REF!</v>
      </c>
      <c r="AN275" s="18" t="e">
        <f t="shared" si="42"/>
        <v>#DIV/0!</v>
      </c>
    </row>
    <row r="276" spans="1:40" hidden="1" x14ac:dyDescent="0.3">
      <c r="A276" s="11">
        <v>45931</v>
      </c>
      <c r="B276" s="6"/>
      <c r="C276" s="6"/>
      <c r="D276" s="7">
        <v>4.215133804113215E-2</v>
      </c>
      <c r="E276" s="6"/>
      <c r="F276" s="11">
        <v>46295</v>
      </c>
      <c r="G276" s="6">
        <v>6430590.3121072687</v>
      </c>
      <c r="H276" s="6">
        <f t="shared" si="37"/>
        <v>3698221.8715450196</v>
      </c>
      <c r="I276" s="6">
        <f t="shared" si="38"/>
        <v>859403.94664577814</v>
      </c>
      <c r="J276" s="6">
        <v>3666861</v>
      </c>
      <c r="K276" s="6"/>
      <c r="L276" s="6">
        <v>32699.999999999978</v>
      </c>
      <c r="M276" s="6"/>
      <c r="N276" s="6">
        <v>61161</v>
      </c>
      <c r="O276" s="6"/>
      <c r="P276" s="6">
        <v>4101</v>
      </c>
      <c r="Q276" s="6"/>
      <c r="R276" s="6">
        <v>118698</v>
      </c>
      <c r="S276" s="6"/>
      <c r="T276" s="6">
        <v>660285</v>
      </c>
      <c r="U276" s="6"/>
      <c r="V276" s="6">
        <v>134226</v>
      </c>
      <c r="W276" s="6"/>
      <c r="X276" s="6">
        <v>33430</v>
      </c>
      <c r="Y276" s="6"/>
      <c r="Z276" s="6">
        <v>4950</v>
      </c>
      <c r="AA276" s="6"/>
      <c r="AB276" s="6">
        <v>7668.060344827587</v>
      </c>
      <c r="AC276" s="6"/>
      <c r="AD276" s="6">
        <v>602.58620689655174</v>
      </c>
      <c r="AE276" s="6"/>
      <c r="AF276" s="8">
        <v>3522.3477051583345</v>
      </c>
      <c r="AG276" s="8">
        <v>12515.242760127103</v>
      </c>
      <c r="AH276" s="9" t="e">
        <f>+SUM([1]!Tabla2[[#This Row],[Web + APP 2026]:[Shein]])</f>
        <v>#REF!</v>
      </c>
      <c r="AI276" s="7"/>
      <c r="AJ276" s="9"/>
      <c r="AK276" s="21" t="e">
        <f t="shared" si="39"/>
        <v>#REF!</v>
      </c>
      <c r="AL276" s="21" t="e">
        <f t="shared" si="40"/>
        <v>#DIV/0!</v>
      </c>
      <c r="AM276" s="18" t="e">
        <f t="shared" si="41"/>
        <v>#REF!</v>
      </c>
      <c r="AN276" s="18" t="e">
        <f t="shared" si="42"/>
        <v>#DIV/0!</v>
      </c>
    </row>
    <row r="277" spans="1:40" hidden="1" x14ac:dyDescent="0.3">
      <c r="A277" s="11">
        <v>45932</v>
      </c>
      <c r="B277" s="6"/>
      <c r="C277" s="6"/>
      <c r="D277" s="7">
        <v>3.4162360678005356E-2</v>
      </c>
      <c r="E277" s="6"/>
      <c r="F277" s="11">
        <v>46296</v>
      </c>
      <c r="G277" s="6">
        <v>6077993.3183519002</v>
      </c>
      <c r="H277" s="6">
        <f t="shared" si="37"/>
        <v>2997294.8740019538</v>
      </c>
      <c r="I277" s="6">
        <f t="shared" si="38"/>
        <v>696520.41804141458</v>
      </c>
      <c r="J277" s="6">
        <v>3300421</v>
      </c>
      <c r="K277" s="6"/>
      <c r="L277" s="6">
        <v>32825.862068965493</v>
      </c>
      <c r="M277" s="6"/>
      <c r="N277" s="6">
        <v>37692</v>
      </c>
      <c r="O277" s="6"/>
      <c r="P277" s="6">
        <v>7757</v>
      </c>
      <c r="Q277" s="6"/>
      <c r="R277" s="6">
        <v>138994</v>
      </c>
      <c r="S277" s="6"/>
      <c r="T277" s="6">
        <v>486606</v>
      </c>
      <c r="U277" s="6"/>
      <c r="V277" s="6">
        <v>138868</v>
      </c>
      <c r="W277" s="6"/>
      <c r="X277" s="6">
        <v>29586</v>
      </c>
      <c r="Y277" s="6"/>
      <c r="Z277" s="6">
        <v>6542</v>
      </c>
      <c r="AA277" s="6"/>
      <c r="AB277" s="6">
        <v>7145.75</v>
      </c>
      <c r="AC277" s="6"/>
      <c r="AD277" s="6">
        <v>1636.2068965517242</v>
      </c>
      <c r="AE277" s="6"/>
      <c r="AF277" s="8">
        <v>3233.3884025948814</v>
      </c>
      <c r="AG277" s="8">
        <v>12075.094532217237</v>
      </c>
      <c r="AH277" s="9" t="e">
        <f>+SUM([1]!Tabla2[[#This Row],[Web + APP 2026]:[Shein]])</f>
        <v>#REF!</v>
      </c>
      <c r="AI277" s="7"/>
      <c r="AJ277" s="9"/>
      <c r="AK277" s="21" t="e">
        <f t="shared" si="39"/>
        <v>#REF!</v>
      </c>
      <c r="AL277" s="21" t="e">
        <f t="shared" si="40"/>
        <v>#DIV/0!</v>
      </c>
      <c r="AM277" s="18" t="e">
        <f t="shared" si="41"/>
        <v>#REF!</v>
      </c>
      <c r="AN277" s="18" t="e">
        <f t="shared" si="42"/>
        <v>#DIV/0!</v>
      </c>
    </row>
    <row r="278" spans="1:40" hidden="1" x14ac:dyDescent="0.3">
      <c r="A278" s="11">
        <v>45933</v>
      </c>
      <c r="B278" s="6"/>
      <c r="C278" s="6"/>
      <c r="D278" s="7">
        <v>3.1855888278856673E-2</v>
      </c>
      <c r="E278" s="6"/>
      <c r="F278" s="11">
        <v>46297</v>
      </c>
      <c r="G278" s="6">
        <v>5667637.4895167341</v>
      </c>
      <c r="H278" s="6">
        <f t="shared" si="37"/>
        <v>2794932.4563647495</v>
      </c>
      <c r="I278" s="6">
        <f t="shared" si="38"/>
        <v>649494.82941778249</v>
      </c>
      <c r="J278" s="6">
        <v>2511111</v>
      </c>
      <c r="K278" s="6"/>
      <c r="L278" s="6">
        <v>29472.413793103427</v>
      </c>
      <c r="M278" s="6"/>
      <c r="N278" s="6">
        <v>35787</v>
      </c>
      <c r="O278" s="6"/>
      <c r="P278" s="6">
        <v>2591</v>
      </c>
      <c r="Q278" s="6"/>
      <c r="R278" s="6">
        <v>127358</v>
      </c>
      <c r="S278" s="6"/>
      <c r="T278" s="6">
        <v>439292</v>
      </c>
      <c r="U278" s="6"/>
      <c r="V278" s="6">
        <v>130492</v>
      </c>
      <c r="W278" s="6"/>
      <c r="X278" s="6">
        <v>25977</v>
      </c>
      <c r="Y278" s="6"/>
      <c r="Z278" s="6">
        <v>5364</v>
      </c>
      <c r="AA278" s="6"/>
      <c r="AB278" s="6">
        <v>469.00862068965517</v>
      </c>
      <c r="AC278" s="6"/>
      <c r="AD278" s="6">
        <v>0</v>
      </c>
      <c r="AE278" s="6"/>
      <c r="AF278" s="8">
        <v>3015.086126103959</v>
      </c>
      <c r="AG278" s="8">
        <v>11259.844306444596</v>
      </c>
      <c r="AH278" s="9" t="e">
        <f>+SUM([1]!Tabla2[[#This Row],[Web + APP 2026]:[Shein]])</f>
        <v>#REF!</v>
      </c>
      <c r="AI278" s="7"/>
      <c r="AJ278" s="9"/>
      <c r="AK278" s="21" t="e">
        <f t="shared" si="39"/>
        <v>#REF!</v>
      </c>
      <c r="AL278" s="21" t="e">
        <f t="shared" si="40"/>
        <v>#DIV/0!</v>
      </c>
      <c r="AM278" s="18" t="e">
        <f t="shared" si="41"/>
        <v>#REF!</v>
      </c>
      <c r="AN278" s="18" t="e">
        <f t="shared" si="42"/>
        <v>#DIV/0!</v>
      </c>
    </row>
    <row r="279" spans="1:40" hidden="1" x14ac:dyDescent="0.3">
      <c r="A279" s="11">
        <v>45934</v>
      </c>
      <c r="B279" s="6"/>
      <c r="C279" s="6"/>
      <c r="D279" s="7">
        <v>2.4640566689821494E-2</v>
      </c>
      <c r="E279" s="6"/>
      <c r="F279" s="11">
        <v>46298</v>
      </c>
      <c r="G279" s="6">
        <v>4383924.1998742288</v>
      </c>
      <c r="H279" s="6">
        <f t="shared" si="37"/>
        <v>2161883.5105694295</v>
      </c>
      <c r="I279" s="6">
        <f t="shared" si="38"/>
        <v>502385.00709412631</v>
      </c>
      <c r="J279" s="6">
        <v>2157345</v>
      </c>
      <c r="K279" s="6"/>
      <c r="L279" s="6">
        <v>34722.413793103435</v>
      </c>
      <c r="M279" s="6"/>
      <c r="N279" s="6">
        <v>15783</v>
      </c>
      <c r="O279" s="6"/>
      <c r="P279" s="6">
        <v>-491</v>
      </c>
      <c r="Q279" s="6"/>
      <c r="R279" s="6">
        <v>105426</v>
      </c>
      <c r="S279" s="6"/>
      <c r="T279" s="6">
        <v>459901</v>
      </c>
      <c r="U279" s="6"/>
      <c r="V279" s="6">
        <v>150843</v>
      </c>
      <c r="W279" s="6"/>
      <c r="X279" s="6">
        <v>25838</v>
      </c>
      <c r="Y279" s="6"/>
      <c r="Z279" s="6">
        <v>5526</v>
      </c>
      <c r="AA279" s="6"/>
      <c r="AB279" s="6">
        <v>1745.1034482758623</v>
      </c>
      <c r="AC279" s="6"/>
      <c r="AD279" s="6">
        <v>0</v>
      </c>
      <c r="AE279" s="6"/>
      <c r="AF279" s="8">
        <v>2332.1726305503785</v>
      </c>
      <c r="AG279" s="8">
        <v>8709.5026866383996</v>
      </c>
      <c r="AH279" s="9" t="e">
        <f>+SUM([1]!Tabla2[[#This Row],[Web + APP 2026]:[Shein]])</f>
        <v>#REF!</v>
      </c>
      <c r="AI279" s="7"/>
      <c r="AJ279" s="9"/>
      <c r="AK279" s="21" t="e">
        <f t="shared" si="39"/>
        <v>#REF!</v>
      </c>
      <c r="AL279" s="21" t="e">
        <f t="shared" si="40"/>
        <v>#DIV/0!</v>
      </c>
      <c r="AM279" s="18" t="e">
        <f t="shared" si="41"/>
        <v>#REF!</v>
      </c>
      <c r="AN279" s="18" t="e">
        <f t="shared" si="42"/>
        <v>#DIV/0!</v>
      </c>
    </row>
    <row r="280" spans="1:40" hidden="1" x14ac:dyDescent="0.3">
      <c r="A280" s="11">
        <v>45935</v>
      </c>
      <c r="B280" s="6"/>
      <c r="C280" s="6"/>
      <c r="D280" s="7">
        <v>2.2421103826238666E-2</v>
      </c>
      <c r="E280" s="6"/>
      <c r="F280" s="11">
        <v>46299</v>
      </c>
      <c r="G280" s="6">
        <v>3989048.6647104146</v>
      </c>
      <c r="H280" s="6">
        <f t="shared" si="37"/>
        <v>1967155.0277588873</v>
      </c>
      <c r="I280" s="6">
        <f t="shared" si="38"/>
        <v>457133.41525769333</v>
      </c>
      <c r="J280" s="6">
        <v>2589139</v>
      </c>
      <c r="K280" s="6"/>
      <c r="L280" s="6">
        <v>24383.620689655159</v>
      </c>
      <c r="M280" s="6"/>
      <c r="N280" s="6">
        <v>18991</v>
      </c>
      <c r="O280" s="6"/>
      <c r="P280" s="6">
        <v>-1894</v>
      </c>
      <c r="Q280" s="6"/>
      <c r="R280" s="6">
        <v>106909</v>
      </c>
      <c r="S280" s="6"/>
      <c r="T280" s="6">
        <v>323111</v>
      </c>
      <c r="U280" s="6"/>
      <c r="V280" s="6">
        <v>170727</v>
      </c>
      <c r="W280" s="6"/>
      <c r="X280" s="6">
        <v>38180</v>
      </c>
      <c r="Y280" s="6"/>
      <c r="Z280" s="6">
        <v>8511</v>
      </c>
      <c r="AA280" s="6"/>
      <c r="AB280" s="6">
        <v>1032.7586206896553</v>
      </c>
      <c r="AC280" s="6"/>
      <c r="AD280" s="6">
        <v>1550</v>
      </c>
      <c r="AE280" s="6"/>
      <c r="AF280" s="8">
        <v>2122.1056053017664</v>
      </c>
      <c r="AG280" s="8">
        <v>7925.007020747169</v>
      </c>
      <c r="AH280" s="9" t="e">
        <f>+SUM([1]!Tabla2[[#This Row],[Web + APP 2026]:[Shein]])</f>
        <v>#REF!</v>
      </c>
      <c r="AI280" s="7"/>
      <c r="AJ280" s="9"/>
      <c r="AK280" s="21" t="e">
        <f t="shared" si="39"/>
        <v>#REF!</v>
      </c>
      <c r="AL280" s="21" t="e">
        <f t="shared" si="40"/>
        <v>#DIV/0!</v>
      </c>
      <c r="AM280" s="18" t="e">
        <f t="shared" si="41"/>
        <v>#REF!</v>
      </c>
      <c r="AN280" s="18" t="e">
        <f t="shared" si="42"/>
        <v>#DIV/0!</v>
      </c>
    </row>
    <row r="281" spans="1:40" hidden="1" x14ac:dyDescent="0.3">
      <c r="A281" s="11">
        <v>45936</v>
      </c>
      <c r="B281" s="6"/>
      <c r="C281" s="6"/>
      <c r="D281" s="7">
        <v>2.5528864626244787E-2</v>
      </c>
      <c r="E281" s="6"/>
      <c r="F281" s="11">
        <v>46300</v>
      </c>
      <c r="G281" s="6">
        <v>4541965.6471025115</v>
      </c>
      <c r="H281" s="6">
        <f t="shared" si="37"/>
        <v>2239819.8943141932</v>
      </c>
      <c r="I281" s="6">
        <f t="shared" si="38"/>
        <v>520496.09888472449</v>
      </c>
      <c r="J281" s="6">
        <v>3206472</v>
      </c>
      <c r="K281" s="6"/>
      <c r="L281" s="6">
        <v>24687.068965517228</v>
      </c>
      <c r="M281" s="6"/>
      <c r="N281" s="6">
        <v>60560</v>
      </c>
      <c r="O281" s="6"/>
      <c r="P281" s="6">
        <v>-2415</v>
      </c>
      <c r="Q281" s="6"/>
      <c r="R281" s="6">
        <v>85355</v>
      </c>
      <c r="S281" s="6"/>
      <c r="T281" s="6">
        <v>749807</v>
      </c>
      <c r="U281" s="6"/>
      <c r="V281" s="6">
        <v>180881</v>
      </c>
      <c r="W281" s="6"/>
      <c r="X281" s="6">
        <v>39968</v>
      </c>
      <c r="Y281" s="6"/>
      <c r="Z281" s="6">
        <v>4257</v>
      </c>
      <c r="AA281" s="6"/>
      <c r="AB281" s="6">
        <v>1075.8620689655172</v>
      </c>
      <c r="AC281" s="6"/>
      <c r="AD281" s="6">
        <v>0</v>
      </c>
      <c r="AE281" s="6"/>
      <c r="AF281" s="8">
        <v>2416.247975130686</v>
      </c>
      <c r="AG281" s="8">
        <v>9023.4822050968723</v>
      </c>
      <c r="AH281" s="9" t="e">
        <f>+SUM([1]!Tabla2[[#This Row],[Web + APP 2026]:[Shein]])</f>
        <v>#REF!</v>
      </c>
      <c r="AI281" s="7"/>
      <c r="AJ281" s="9"/>
      <c r="AK281" s="21" t="e">
        <f t="shared" si="39"/>
        <v>#REF!</v>
      </c>
      <c r="AL281" s="21" t="e">
        <f t="shared" si="40"/>
        <v>#DIV/0!</v>
      </c>
      <c r="AM281" s="18" t="e">
        <f t="shared" si="41"/>
        <v>#REF!</v>
      </c>
      <c r="AN281" s="18" t="e">
        <f t="shared" si="42"/>
        <v>#DIV/0!</v>
      </c>
    </row>
    <row r="282" spans="1:40" hidden="1" x14ac:dyDescent="0.3">
      <c r="A282" s="11">
        <v>45937</v>
      </c>
      <c r="B282" s="6"/>
      <c r="C282" s="6"/>
      <c r="D282" s="7">
        <v>3.2234191585266296E-2</v>
      </c>
      <c r="E282" s="6"/>
      <c r="F282" s="11">
        <v>46301</v>
      </c>
      <c r="G282" s="6">
        <v>5734943.2881510919</v>
      </c>
      <c r="H282" s="6">
        <f t="shared" si="37"/>
        <v>2828123.5631447202</v>
      </c>
      <c r="I282" s="6">
        <f t="shared" si="38"/>
        <v>657207.87886452419</v>
      </c>
      <c r="J282" s="6">
        <v>3626258</v>
      </c>
      <c r="K282" s="6"/>
      <c r="L282" s="6">
        <v>33481.89655172413</v>
      </c>
      <c r="M282" s="6"/>
      <c r="N282" s="6">
        <v>54703</v>
      </c>
      <c r="O282" s="6"/>
      <c r="P282" s="6">
        <v>2927</v>
      </c>
      <c r="Q282" s="6"/>
      <c r="R282" s="6">
        <v>113348</v>
      </c>
      <c r="S282" s="6"/>
      <c r="T282" s="6">
        <v>522052</v>
      </c>
      <c r="U282" s="6"/>
      <c r="V282" s="6">
        <v>144499</v>
      </c>
      <c r="W282" s="6"/>
      <c r="X282" s="6">
        <v>55307</v>
      </c>
      <c r="Y282" s="6"/>
      <c r="Z282" s="6">
        <v>7575</v>
      </c>
      <c r="AA282" s="6"/>
      <c r="AB282" s="6">
        <v>1506.0344827586207</v>
      </c>
      <c r="AC282" s="6"/>
      <c r="AD282" s="6">
        <v>688.79310344827593</v>
      </c>
      <c r="AE282" s="6"/>
      <c r="AF282" s="8">
        <v>3050.891658840334</v>
      </c>
      <c r="AG282" s="8">
        <v>11393.560129827012</v>
      </c>
      <c r="AH282" s="9" t="e">
        <f>+SUM([1]!Tabla2[[#This Row],[Web + APP 2026]:[Shein]])</f>
        <v>#REF!</v>
      </c>
      <c r="AI282" s="7"/>
      <c r="AJ282" s="9"/>
      <c r="AK282" s="21" t="e">
        <f t="shared" si="39"/>
        <v>#REF!</v>
      </c>
      <c r="AL282" s="21" t="e">
        <f t="shared" si="40"/>
        <v>#DIV/0!</v>
      </c>
      <c r="AM282" s="18" t="e">
        <f t="shared" si="41"/>
        <v>#REF!</v>
      </c>
      <c r="AN282" s="18" t="e">
        <f t="shared" si="42"/>
        <v>#DIV/0!</v>
      </c>
    </row>
    <row r="283" spans="1:40" hidden="1" x14ac:dyDescent="0.3">
      <c r="A283" s="11">
        <v>45938</v>
      </c>
      <c r="B283" s="6"/>
      <c r="C283" s="6"/>
      <c r="D283" s="7">
        <v>3.8231619578596936E-2</v>
      </c>
      <c r="E283" s="6"/>
      <c r="F283" s="11">
        <v>46302</v>
      </c>
      <c r="G283" s="6">
        <v>6801975.1485760435</v>
      </c>
      <c r="H283" s="6">
        <f t="shared" si="37"/>
        <v>3354318.4696102799</v>
      </c>
      <c r="I283" s="6">
        <f t="shared" si="38"/>
        <v>779486.63742166967</v>
      </c>
      <c r="J283" s="6">
        <v>4043316</v>
      </c>
      <c r="K283" s="6"/>
      <c r="L283" s="6">
        <v>36340.51724137929</v>
      </c>
      <c r="M283" s="6"/>
      <c r="N283" s="6">
        <v>109501</v>
      </c>
      <c r="O283" s="6"/>
      <c r="P283" s="6">
        <v>1656</v>
      </c>
      <c r="Q283" s="6"/>
      <c r="R283" s="6">
        <v>105227</v>
      </c>
      <c r="S283" s="6"/>
      <c r="T283" s="6">
        <v>614752</v>
      </c>
      <c r="U283" s="6"/>
      <c r="V283" s="6">
        <v>153038</v>
      </c>
      <c r="W283" s="6"/>
      <c r="X283" s="6">
        <v>62307</v>
      </c>
      <c r="Y283" s="6"/>
      <c r="Z283" s="6">
        <v>10011</v>
      </c>
      <c r="AA283" s="6"/>
      <c r="AB283" s="6">
        <v>1463.7931034482758</v>
      </c>
      <c r="AC283" s="6"/>
      <c r="AD283" s="6">
        <v>688.79310344827593</v>
      </c>
      <c r="AE283" s="6"/>
      <c r="AF283" s="8">
        <v>3618.5343431914271</v>
      </c>
      <c r="AG283" s="8">
        <v>13513.422707598433</v>
      </c>
      <c r="AH283" s="9" t="e">
        <f>+SUM([1]!Tabla2[[#This Row],[Web + APP 2026]:[Shein]])</f>
        <v>#REF!</v>
      </c>
      <c r="AI283" s="7"/>
      <c r="AJ283" s="9"/>
      <c r="AK283" s="21" t="e">
        <f t="shared" si="39"/>
        <v>#REF!</v>
      </c>
      <c r="AL283" s="21" t="e">
        <f t="shared" si="40"/>
        <v>#DIV/0!</v>
      </c>
      <c r="AM283" s="18" t="e">
        <f t="shared" si="41"/>
        <v>#REF!</v>
      </c>
      <c r="AN283" s="18" t="e">
        <f t="shared" si="42"/>
        <v>#DIV/0!</v>
      </c>
    </row>
    <row r="284" spans="1:40" hidden="1" x14ac:dyDescent="0.3">
      <c r="A284" s="11">
        <v>45939</v>
      </c>
      <c r="B284" s="6"/>
      <c r="C284" s="6"/>
      <c r="D284" s="7">
        <v>3.3051763349147154E-2</v>
      </c>
      <c r="E284" s="6"/>
      <c r="F284" s="11">
        <v>46303</v>
      </c>
      <c r="G284" s="6">
        <v>5880401.4947714657</v>
      </c>
      <c r="H284" s="6">
        <f t="shared" si="37"/>
        <v>2899854.6615926833</v>
      </c>
      <c r="I284" s="6">
        <f t="shared" si="38"/>
        <v>673876.96775227727</v>
      </c>
      <c r="J284" s="6">
        <v>2935762</v>
      </c>
      <c r="K284" s="6"/>
      <c r="L284" s="6">
        <v>36452.586206896536</v>
      </c>
      <c r="M284" s="6"/>
      <c r="N284" s="6">
        <v>11636</v>
      </c>
      <c r="O284" s="6"/>
      <c r="P284" s="6">
        <v>6503</v>
      </c>
      <c r="Q284" s="6"/>
      <c r="R284" s="6">
        <v>141860</v>
      </c>
      <c r="S284" s="6"/>
      <c r="T284" s="6">
        <v>640869</v>
      </c>
      <c r="U284" s="6"/>
      <c r="V284" s="6">
        <v>128902</v>
      </c>
      <c r="W284" s="6"/>
      <c r="X284" s="6">
        <v>53273</v>
      </c>
      <c r="Y284" s="6"/>
      <c r="Z284" s="6">
        <v>14605</v>
      </c>
      <c r="AA284" s="6"/>
      <c r="AB284" s="6">
        <v>843.96551724137942</v>
      </c>
      <c r="AC284" s="6"/>
      <c r="AD284" s="6">
        <v>0</v>
      </c>
      <c r="AE284" s="6"/>
      <c r="AF284" s="8">
        <v>3128.2729348164812</v>
      </c>
      <c r="AG284" s="8">
        <v>11682.540637608168</v>
      </c>
      <c r="AH284" s="9" t="e">
        <f>+SUM([1]!Tabla2[[#This Row],[Web + APP 2026]:[Shein]])</f>
        <v>#REF!</v>
      </c>
      <c r="AI284" s="7"/>
      <c r="AJ284" s="9"/>
      <c r="AK284" s="21" t="e">
        <f t="shared" si="39"/>
        <v>#REF!</v>
      </c>
      <c r="AL284" s="21" t="e">
        <f t="shared" si="40"/>
        <v>#DIV/0!</v>
      </c>
      <c r="AM284" s="18" t="e">
        <f t="shared" si="41"/>
        <v>#REF!</v>
      </c>
      <c r="AN284" s="18" t="e">
        <f t="shared" si="42"/>
        <v>#DIV/0!</v>
      </c>
    </row>
    <row r="285" spans="1:40" hidden="1" x14ac:dyDescent="0.3">
      <c r="A285" s="11">
        <v>45940</v>
      </c>
      <c r="B285" s="6"/>
      <c r="C285" s="6"/>
      <c r="D285" s="7">
        <v>2.8033983558556394E-2</v>
      </c>
      <c r="E285" s="6"/>
      <c r="F285" s="11">
        <v>46304</v>
      </c>
      <c r="G285" s="6">
        <v>4987663.6559661021</v>
      </c>
      <c r="H285" s="6">
        <f t="shared" si="37"/>
        <v>2459610.9153549918</v>
      </c>
      <c r="I285" s="6">
        <f t="shared" si="38"/>
        <v>571571.79890508449</v>
      </c>
      <c r="J285" s="6">
        <v>3483391</v>
      </c>
      <c r="K285" s="6"/>
      <c r="L285" s="6">
        <v>38299.999999999978</v>
      </c>
      <c r="M285" s="6"/>
      <c r="N285" s="6">
        <v>25004</v>
      </c>
      <c r="O285" s="6"/>
      <c r="P285" s="6">
        <v>0</v>
      </c>
      <c r="Q285" s="6"/>
      <c r="R285" s="6">
        <v>186430</v>
      </c>
      <c r="S285" s="6"/>
      <c r="T285" s="6">
        <v>732700</v>
      </c>
      <c r="U285" s="6"/>
      <c r="V285" s="6">
        <v>129327</v>
      </c>
      <c r="W285" s="6"/>
      <c r="X285" s="6">
        <v>38381</v>
      </c>
      <c r="Y285" s="6"/>
      <c r="Z285" s="6">
        <v>15134</v>
      </c>
      <c r="AA285" s="6"/>
      <c r="AB285" s="6">
        <v>14030.603448275864</v>
      </c>
      <c r="AC285" s="6"/>
      <c r="AD285" s="6">
        <v>861.20689655172418</v>
      </c>
      <c r="AE285" s="6"/>
      <c r="AF285" s="8">
        <v>2653.3516864111607</v>
      </c>
      <c r="AG285" s="8">
        <v>9908.9464213208194</v>
      </c>
      <c r="AH285" s="9" t="e">
        <f>+SUM([1]!Tabla2[[#This Row],[Web + APP 2026]:[Shein]])</f>
        <v>#REF!</v>
      </c>
      <c r="AI285" s="7"/>
      <c r="AJ285" s="9"/>
      <c r="AK285" s="21" t="e">
        <f t="shared" si="39"/>
        <v>#REF!</v>
      </c>
      <c r="AL285" s="21" t="e">
        <f t="shared" si="40"/>
        <v>#DIV/0!</v>
      </c>
      <c r="AM285" s="18" t="e">
        <f t="shared" si="41"/>
        <v>#REF!</v>
      </c>
      <c r="AN285" s="18" t="e">
        <f t="shared" si="42"/>
        <v>#DIV/0!</v>
      </c>
    </row>
    <row r="286" spans="1:40" hidden="1" x14ac:dyDescent="0.3">
      <c r="A286" s="11">
        <v>45941</v>
      </c>
      <c r="B286" s="6"/>
      <c r="C286" s="6"/>
      <c r="D286" s="7">
        <v>3.5546716424985539E-2</v>
      </c>
      <c r="E286" s="6"/>
      <c r="F286" s="11">
        <v>46305</v>
      </c>
      <c r="G286" s="6">
        <v>6324290.8461976517</v>
      </c>
      <c r="H286" s="6">
        <f t="shared" si="37"/>
        <v>3118753.7633137307</v>
      </c>
      <c r="I286" s="6">
        <f t="shared" si="38"/>
        <v>724745.40087245964</v>
      </c>
      <c r="J286" s="6">
        <v>3555883</v>
      </c>
      <c r="K286" s="6"/>
      <c r="L286" s="6">
        <v>40308.620689655152</v>
      </c>
      <c r="M286" s="6"/>
      <c r="N286" s="6">
        <v>31280</v>
      </c>
      <c r="O286" s="6"/>
      <c r="P286" s="6">
        <v>2597</v>
      </c>
      <c r="Q286" s="6"/>
      <c r="R286" s="6">
        <v>177906</v>
      </c>
      <c r="S286" s="6"/>
      <c r="T286" s="6">
        <v>582185</v>
      </c>
      <c r="U286" s="6"/>
      <c r="V286" s="6">
        <v>99364</v>
      </c>
      <c r="W286" s="6"/>
      <c r="X286" s="6">
        <v>49257</v>
      </c>
      <c r="Y286" s="6"/>
      <c r="Z286" s="6">
        <v>13284</v>
      </c>
      <c r="AA286" s="6"/>
      <c r="AB286" s="6">
        <v>1710.1896551724139</v>
      </c>
      <c r="AC286" s="6"/>
      <c r="AD286" s="6">
        <v>0</v>
      </c>
      <c r="AE286" s="6"/>
      <c r="AF286" s="8">
        <v>3364.4144713007595</v>
      </c>
      <c r="AG286" s="8">
        <v>12564.411610406343</v>
      </c>
      <c r="AH286" s="9" t="e">
        <f>+SUM([1]!Tabla2[[#This Row],[Web + APP 2026]:[Shein]])</f>
        <v>#REF!</v>
      </c>
      <c r="AI286" s="7"/>
      <c r="AJ286" s="9"/>
      <c r="AK286" s="21" t="e">
        <f t="shared" si="39"/>
        <v>#REF!</v>
      </c>
      <c r="AL286" s="21" t="e">
        <f t="shared" si="40"/>
        <v>#DIV/0!</v>
      </c>
      <c r="AM286" s="18" t="e">
        <f t="shared" si="41"/>
        <v>#REF!</v>
      </c>
      <c r="AN286" s="18" t="e">
        <f t="shared" si="42"/>
        <v>#DIV/0!</v>
      </c>
    </row>
    <row r="287" spans="1:40" hidden="1" x14ac:dyDescent="0.3">
      <c r="A287" s="11">
        <v>45942</v>
      </c>
      <c r="B287" s="6"/>
      <c r="C287" s="6"/>
      <c r="D287" s="7">
        <v>3.420651018299823E-2</v>
      </c>
      <c r="E287" s="6"/>
      <c r="F287" s="11">
        <v>46306</v>
      </c>
      <c r="G287" s="6">
        <v>6085848.1735501243</v>
      </c>
      <c r="H287" s="6">
        <f t="shared" si="37"/>
        <v>3001168.408569782</v>
      </c>
      <c r="I287" s="6">
        <f t="shared" si="38"/>
        <v>697420.56168089551</v>
      </c>
      <c r="J287" s="6">
        <v>5079374</v>
      </c>
      <c r="K287" s="6"/>
      <c r="L287" s="6">
        <v>33968.10344827584</v>
      </c>
      <c r="M287" s="6"/>
      <c r="N287" s="6">
        <v>0</v>
      </c>
      <c r="O287" s="6"/>
      <c r="P287" s="6">
        <v>7846</v>
      </c>
      <c r="Q287" s="6"/>
      <c r="R287" s="6">
        <v>241390</v>
      </c>
      <c r="S287" s="6"/>
      <c r="T287" s="6">
        <v>416113</v>
      </c>
      <c r="U287" s="6"/>
      <c r="V287" s="6">
        <v>102685</v>
      </c>
      <c r="W287" s="6"/>
      <c r="X287" s="6">
        <v>46963</v>
      </c>
      <c r="Y287" s="6"/>
      <c r="Z287" s="6">
        <v>17337</v>
      </c>
      <c r="AA287" s="6"/>
      <c r="AB287" s="6">
        <v>1118.9655172413795</v>
      </c>
      <c r="AC287" s="6"/>
      <c r="AD287" s="6">
        <v>1205.1724137931035</v>
      </c>
      <c r="AE287" s="6"/>
      <c r="AF287" s="8">
        <v>3237.5670511013404</v>
      </c>
      <c r="AG287" s="8">
        <v>12090.699702227716</v>
      </c>
      <c r="AH287" s="9" t="e">
        <f>+SUM([1]!Tabla2[[#This Row],[Web + APP 2026]:[Shein]])</f>
        <v>#REF!</v>
      </c>
      <c r="AI287" s="7"/>
      <c r="AJ287" s="9"/>
      <c r="AK287" s="21" t="e">
        <f t="shared" si="39"/>
        <v>#REF!</v>
      </c>
      <c r="AL287" s="21" t="e">
        <f t="shared" si="40"/>
        <v>#DIV/0!</v>
      </c>
      <c r="AM287" s="18" t="e">
        <f t="shared" si="41"/>
        <v>#REF!</v>
      </c>
      <c r="AN287" s="18" t="e">
        <f t="shared" si="42"/>
        <v>#DIV/0!</v>
      </c>
    </row>
    <row r="288" spans="1:40" hidden="1" x14ac:dyDescent="0.3">
      <c r="A288" s="11">
        <v>45943</v>
      </c>
      <c r="B288" s="6"/>
      <c r="C288" s="6"/>
      <c r="D288" s="7">
        <v>4.8744906941517445E-2</v>
      </c>
      <c r="E288" s="6"/>
      <c r="F288" s="11">
        <v>46307</v>
      </c>
      <c r="G288" s="6">
        <v>8672445.7213805951</v>
      </c>
      <c r="H288" s="6">
        <f t="shared" si="37"/>
        <v>4276720.2502951566</v>
      </c>
      <c r="I288" s="6">
        <f t="shared" si="38"/>
        <v>993837.14375905751</v>
      </c>
      <c r="J288" s="6">
        <v>3532434</v>
      </c>
      <c r="K288" s="6"/>
      <c r="L288" s="6">
        <v>27835.344827586196</v>
      </c>
      <c r="M288" s="6"/>
      <c r="N288" s="6">
        <v>56747</v>
      </c>
      <c r="O288" s="6"/>
      <c r="P288" s="6">
        <v>6296</v>
      </c>
      <c r="Q288" s="6"/>
      <c r="R288" s="6">
        <v>260947</v>
      </c>
      <c r="S288" s="6"/>
      <c r="T288" s="6">
        <v>696035</v>
      </c>
      <c r="U288" s="6"/>
      <c r="V288" s="6">
        <v>89849</v>
      </c>
      <c r="W288" s="6"/>
      <c r="X288" s="6">
        <v>44082</v>
      </c>
      <c r="Y288" s="6"/>
      <c r="Z288" s="6">
        <v>19797</v>
      </c>
      <c r="AA288" s="6"/>
      <c r="AB288" s="6">
        <v>12526.508620689656</v>
      </c>
      <c r="AC288" s="6"/>
      <c r="AD288" s="6">
        <v>0</v>
      </c>
      <c r="AE288" s="6"/>
      <c r="AF288" s="8">
        <v>4613.5926693070596</v>
      </c>
      <c r="AG288" s="8">
        <v>17229.469732222326</v>
      </c>
      <c r="AH288" s="9" t="e">
        <f>+SUM([1]!Tabla2[[#This Row],[Web + APP 2026]:[Shein]])</f>
        <v>#REF!</v>
      </c>
      <c r="AI288" s="7"/>
      <c r="AJ288" s="9"/>
      <c r="AK288" s="21" t="e">
        <f t="shared" si="39"/>
        <v>#REF!</v>
      </c>
      <c r="AL288" s="21" t="e">
        <f t="shared" si="40"/>
        <v>#DIV/0!</v>
      </c>
      <c r="AM288" s="18" t="e">
        <f t="shared" si="41"/>
        <v>#REF!</v>
      </c>
      <c r="AN288" s="18" t="e">
        <f t="shared" si="42"/>
        <v>#DIV/0!</v>
      </c>
    </row>
    <row r="289" spans="1:40" hidden="1" x14ac:dyDescent="0.3">
      <c r="A289" s="11">
        <v>45944</v>
      </c>
      <c r="B289" s="6"/>
      <c r="C289" s="6"/>
      <c r="D289" s="7">
        <v>3.5190109275385149E-2</v>
      </c>
      <c r="E289" s="6"/>
      <c r="F289" s="11">
        <v>46308</v>
      </c>
      <c r="G289" s="6">
        <v>6260845.1173448693</v>
      </c>
      <c r="H289" s="6">
        <f t="shared" si="37"/>
        <v>3087466.2070583501</v>
      </c>
      <c r="I289" s="6">
        <f t="shared" si="38"/>
        <v>717474.70423479623</v>
      </c>
      <c r="J289" s="6">
        <v>5860826</v>
      </c>
      <c r="K289" s="6"/>
      <c r="L289" s="6">
        <v>34962.931034482739</v>
      </c>
      <c r="M289" s="6"/>
      <c r="N289" s="6">
        <v>51290</v>
      </c>
      <c r="O289" s="6"/>
      <c r="P289" s="6">
        <v>8434</v>
      </c>
      <c r="Q289" s="6"/>
      <c r="R289" s="6">
        <v>268072</v>
      </c>
      <c r="S289" s="6"/>
      <c r="T289" s="6">
        <v>843210</v>
      </c>
      <c r="U289" s="6"/>
      <c r="V289" s="6">
        <v>87564</v>
      </c>
      <c r="W289" s="6"/>
      <c r="X289" s="6">
        <v>54009</v>
      </c>
      <c r="Y289" s="6"/>
      <c r="Z289" s="6">
        <v>8460</v>
      </c>
      <c r="AA289" s="6"/>
      <c r="AB289" s="6">
        <v>16719.681034482761</v>
      </c>
      <c r="AC289" s="6"/>
      <c r="AD289" s="6">
        <v>0</v>
      </c>
      <c r="AE289" s="6"/>
      <c r="AF289" s="8">
        <v>3330.6624296117116</v>
      </c>
      <c r="AG289" s="8">
        <v>12438.364552860297</v>
      </c>
      <c r="AH289" s="9" t="e">
        <f>+SUM([1]!Tabla2[[#This Row],[Web + APP 2026]:[Shein]])</f>
        <v>#REF!</v>
      </c>
      <c r="AI289" s="7"/>
      <c r="AJ289" s="9"/>
      <c r="AK289" s="21" t="e">
        <f t="shared" si="39"/>
        <v>#REF!</v>
      </c>
      <c r="AL289" s="21" t="e">
        <f t="shared" si="40"/>
        <v>#DIV/0!</v>
      </c>
      <c r="AM289" s="18" t="e">
        <f t="shared" si="41"/>
        <v>#REF!</v>
      </c>
      <c r="AN289" s="18" t="e">
        <f t="shared" si="42"/>
        <v>#DIV/0!</v>
      </c>
    </row>
    <row r="290" spans="1:40" hidden="1" x14ac:dyDescent="0.3">
      <c r="A290" s="11">
        <v>45945</v>
      </c>
      <c r="B290" s="6"/>
      <c r="C290" s="6"/>
      <c r="D290" s="7">
        <v>5.178002984818416E-2</v>
      </c>
      <c r="E290" s="6"/>
      <c r="F290" s="11">
        <v>46309</v>
      </c>
      <c r="G290" s="6">
        <v>9212439.3395316396</v>
      </c>
      <c r="H290" s="6">
        <f t="shared" si="37"/>
        <v>4543012.1033629999</v>
      </c>
      <c r="I290" s="6">
        <f t="shared" si="38"/>
        <v>1055718.8473006878</v>
      </c>
      <c r="J290" s="6">
        <v>4393558</v>
      </c>
      <c r="K290" s="6"/>
      <c r="L290" s="6">
        <v>34782.758620689638</v>
      </c>
      <c r="M290" s="6"/>
      <c r="N290" s="6">
        <v>52617</v>
      </c>
      <c r="O290" s="6"/>
      <c r="P290" s="6">
        <v>5393</v>
      </c>
      <c r="Q290" s="6"/>
      <c r="R290" s="6">
        <v>279705</v>
      </c>
      <c r="S290" s="6"/>
      <c r="T290" s="6">
        <v>668950</v>
      </c>
      <c r="U290" s="6"/>
      <c r="V290" s="6">
        <v>93705</v>
      </c>
      <c r="W290" s="6"/>
      <c r="X290" s="6">
        <v>42427</v>
      </c>
      <c r="Y290" s="6"/>
      <c r="Z290" s="6">
        <v>12416</v>
      </c>
      <c r="AA290" s="6"/>
      <c r="AB290" s="6">
        <v>4590.5</v>
      </c>
      <c r="AC290" s="6"/>
      <c r="AD290" s="6">
        <v>688.79310344827593</v>
      </c>
      <c r="AE290" s="6"/>
      <c r="AF290" s="8">
        <v>4900.8600305812051</v>
      </c>
      <c r="AG290" s="8">
        <v>18302.270185338974</v>
      </c>
      <c r="AH290" s="9" t="e">
        <f>+SUM([1]!Tabla2[[#This Row],[Web + APP 2026]:[Shein]])</f>
        <v>#REF!</v>
      </c>
      <c r="AI290" s="7"/>
      <c r="AJ290" s="9"/>
      <c r="AK290" s="21" t="e">
        <f t="shared" si="39"/>
        <v>#REF!</v>
      </c>
      <c r="AL290" s="21" t="e">
        <f t="shared" si="40"/>
        <v>#DIV/0!</v>
      </c>
      <c r="AM290" s="18" t="e">
        <f t="shared" si="41"/>
        <v>#REF!</v>
      </c>
      <c r="AN290" s="18" t="e">
        <f t="shared" si="42"/>
        <v>#DIV/0!</v>
      </c>
    </row>
    <row r="291" spans="1:40" hidden="1" x14ac:dyDescent="0.3">
      <c r="A291" s="11">
        <v>45946</v>
      </c>
      <c r="B291" s="6"/>
      <c r="C291" s="6"/>
      <c r="D291" s="7">
        <v>4.0167960340624843E-2</v>
      </c>
      <c r="E291" s="6"/>
      <c r="F291" s="11">
        <v>46310</v>
      </c>
      <c r="G291" s="6">
        <v>7146479.0405812385</v>
      </c>
      <c r="H291" s="6">
        <f t="shared" si="37"/>
        <v>3524206.7362628803</v>
      </c>
      <c r="I291" s="6">
        <f t="shared" si="38"/>
        <v>818965.78494752082</v>
      </c>
      <c r="J291" s="6">
        <v>3659618</v>
      </c>
      <c r="K291" s="6"/>
      <c r="L291" s="6">
        <v>37947.413793103435</v>
      </c>
      <c r="M291" s="6"/>
      <c r="N291" s="6">
        <v>37369</v>
      </c>
      <c r="O291" s="6"/>
      <c r="P291" s="6">
        <v>9908</v>
      </c>
      <c r="Q291" s="6"/>
      <c r="R291" s="6">
        <v>321653</v>
      </c>
      <c r="S291" s="6"/>
      <c r="T291" s="6">
        <v>573332</v>
      </c>
      <c r="U291" s="6"/>
      <c r="V291" s="6">
        <v>132053</v>
      </c>
      <c r="W291" s="6"/>
      <c r="X291" s="6">
        <v>44310</v>
      </c>
      <c r="Y291" s="6"/>
      <c r="Z291" s="6">
        <v>14263</v>
      </c>
      <c r="AA291" s="6"/>
      <c r="AB291" s="6">
        <v>6779.2672413793107</v>
      </c>
      <c r="AC291" s="6"/>
      <c r="AD291" s="6">
        <v>1722.4137931034484</v>
      </c>
      <c r="AE291" s="6"/>
      <c r="AF291" s="8">
        <v>3801.8045165387784</v>
      </c>
      <c r="AG291" s="8">
        <v>14197.845484128809</v>
      </c>
      <c r="AH291" s="9" t="e">
        <f>+SUM([1]!Tabla2[[#This Row],[Web + APP 2026]:[Shein]])</f>
        <v>#REF!</v>
      </c>
      <c r="AI291" s="7"/>
      <c r="AJ291" s="9"/>
      <c r="AK291" s="21" t="e">
        <f t="shared" si="39"/>
        <v>#REF!</v>
      </c>
      <c r="AL291" s="21" t="e">
        <f t="shared" si="40"/>
        <v>#DIV/0!</v>
      </c>
      <c r="AM291" s="18" t="e">
        <f t="shared" si="41"/>
        <v>#REF!</v>
      </c>
      <c r="AN291" s="18" t="e">
        <f t="shared" si="42"/>
        <v>#DIV/0!</v>
      </c>
    </row>
    <row r="292" spans="1:40" hidden="1" x14ac:dyDescent="0.3">
      <c r="A292" s="11">
        <v>45947</v>
      </c>
      <c r="B292" s="6"/>
      <c r="C292" s="6"/>
      <c r="D292" s="7">
        <v>3.1935370882343668E-2</v>
      </c>
      <c r="E292" s="6"/>
      <c r="F292" s="11">
        <v>46311</v>
      </c>
      <c r="G292" s="6">
        <v>5681778.6297462564</v>
      </c>
      <c r="H292" s="6">
        <f t="shared" si="37"/>
        <v>2801906.0025505456</v>
      </c>
      <c r="I292" s="6">
        <f t="shared" si="38"/>
        <v>651115.363101903</v>
      </c>
      <c r="J292" s="6">
        <v>2757514</v>
      </c>
      <c r="K292" s="6"/>
      <c r="L292" s="6">
        <v>38559.482758620667</v>
      </c>
      <c r="M292" s="6"/>
      <c r="N292" s="6">
        <v>28828</v>
      </c>
      <c r="O292" s="6"/>
      <c r="P292" s="6">
        <v>2569</v>
      </c>
      <c r="Q292" s="6"/>
      <c r="R292" s="6">
        <v>249589</v>
      </c>
      <c r="S292" s="6"/>
      <c r="T292" s="6">
        <v>603059</v>
      </c>
      <c r="U292" s="6"/>
      <c r="V292" s="6">
        <v>182555</v>
      </c>
      <c r="W292" s="6"/>
      <c r="X292" s="6">
        <v>33984</v>
      </c>
      <c r="Y292" s="6"/>
      <c r="Z292" s="6">
        <v>6959</v>
      </c>
      <c r="AA292" s="6"/>
      <c r="AB292" s="6">
        <v>6900.8275862068967</v>
      </c>
      <c r="AC292" s="6"/>
      <c r="AD292" s="6">
        <v>0</v>
      </c>
      <c r="AE292" s="6"/>
      <c r="AF292" s="8">
        <v>3022.6089706387738</v>
      </c>
      <c r="AG292" s="8">
        <v>11287.938382255645</v>
      </c>
      <c r="AH292" s="9" t="e">
        <f>+SUM([1]!Tabla2[[#This Row],[Web + APP 2026]:[Shein]])</f>
        <v>#REF!</v>
      </c>
      <c r="AI292" s="7"/>
      <c r="AJ292" s="9"/>
      <c r="AK292" s="21" t="e">
        <f t="shared" si="39"/>
        <v>#REF!</v>
      </c>
      <c r="AL292" s="21" t="e">
        <f t="shared" si="40"/>
        <v>#DIV/0!</v>
      </c>
      <c r="AM292" s="18" t="e">
        <f t="shared" si="41"/>
        <v>#REF!</v>
      </c>
      <c r="AN292" s="18" t="e">
        <f t="shared" si="42"/>
        <v>#DIV/0!</v>
      </c>
    </row>
    <row r="293" spans="1:40" hidden="1" x14ac:dyDescent="0.3">
      <c r="A293" s="11">
        <v>45948</v>
      </c>
      <c r="B293" s="6"/>
      <c r="C293" s="6"/>
      <c r="D293" s="7">
        <v>2.7322890894593079E-2</v>
      </c>
      <c r="E293" s="6"/>
      <c r="F293" s="11">
        <v>46312</v>
      </c>
      <c r="G293" s="6">
        <v>4861149.6688024253</v>
      </c>
      <c r="H293" s="6">
        <f t="shared" si="37"/>
        <v>2397221.9482479892</v>
      </c>
      <c r="I293" s="6">
        <f t="shared" si="38"/>
        <v>557073.66265981051</v>
      </c>
      <c r="J293" s="6">
        <v>2057157</v>
      </c>
      <c r="K293" s="6"/>
      <c r="L293" s="6">
        <v>39201.724137931014</v>
      </c>
      <c r="M293" s="6"/>
      <c r="N293" s="6">
        <v>21446</v>
      </c>
      <c r="O293" s="6"/>
      <c r="P293" s="6">
        <v>128</v>
      </c>
      <c r="Q293" s="6"/>
      <c r="R293" s="6">
        <v>156666</v>
      </c>
      <c r="S293" s="6"/>
      <c r="T293" s="6">
        <v>518617</v>
      </c>
      <c r="U293" s="6"/>
      <c r="V293" s="6">
        <v>193438</v>
      </c>
      <c r="W293" s="6"/>
      <c r="X293" s="6">
        <v>25309</v>
      </c>
      <c r="Y293" s="6"/>
      <c r="Z293" s="6">
        <v>10273</v>
      </c>
      <c r="AA293" s="6"/>
      <c r="AB293" s="6">
        <v>1868.9655172413795</v>
      </c>
      <c r="AC293" s="6"/>
      <c r="AD293" s="6">
        <v>0</v>
      </c>
      <c r="AE293" s="6"/>
      <c r="AF293" s="8">
        <v>2586.0484108998289</v>
      </c>
      <c r="AG293" s="8">
        <v>9657.6022235513883</v>
      </c>
      <c r="AH293" s="9" t="e">
        <f>+SUM([1]!Tabla2[[#This Row],[Web + APP 2026]:[Shein]])</f>
        <v>#REF!</v>
      </c>
      <c r="AI293" s="7"/>
      <c r="AJ293" s="9"/>
      <c r="AK293" s="21" t="e">
        <f t="shared" si="39"/>
        <v>#REF!</v>
      </c>
      <c r="AL293" s="21" t="e">
        <f t="shared" si="40"/>
        <v>#DIV/0!</v>
      </c>
      <c r="AM293" s="18" t="e">
        <f t="shared" si="41"/>
        <v>#REF!</v>
      </c>
      <c r="AN293" s="18" t="e">
        <f t="shared" si="42"/>
        <v>#DIV/0!</v>
      </c>
    </row>
    <row r="294" spans="1:40" hidden="1" x14ac:dyDescent="0.3">
      <c r="A294" s="11">
        <v>45949</v>
      </c>
      <c r="B294" s="6"/>
      <c r="C294" s="6"/>
      <c r="D294" s="7">
        <v>2.2419776867097313E-2</v>
      </c>
      <c r="E294" s="6"/>
      <c r="F294" s="11">
        <v>46313</v>
      </c>
      <c r="G294" s="6">
        <v>3988812.5788944815</v>
      </c>
      <c r="H294" s="6">
        <f t="shared" si="37"/>
        <v>1967038.6046618456</v>
      </c>
      <c r="I294" s="6">
        <f t="shared" si="38"/>
        <v>457106.36050745018</v>
      </c>
      <c r="J294" s="6">
        <v>2619522</v>
      </c>
      <c r="K294" s="6"/>
      <c r="L294" s="6">
        <v>32746.551724137917</v>
      </c>
      <c r="M294" s="6"/>
      <c r="N294" s="6">
        <v>2872</v>
      </c>
      <c r="O294" s="6"/>
      <c r="P294" s="6">
        <v>3770</v>
      </c>
      <c r="Q294" s="6"/>
      <c r="R294" s="6">
        <v>126305</v>
      </c>
      <c r="S294" s="6"/>
      <c r="T294" s="6">
        <v>624995</v>
      </c>
      <c r="U294" s="6"/>
      <c r="V294" s="6">
        <v>224236</v>
      </c>
      <c r="W294" s="6"/>
      <c r="X294" s="6">
        <v>42542</v>
      </c>
      <c r="Y294" s="6"/>
      <c r="Z294" s="6">
        <v>7745</v>
      </c>
      <c r="AA294" s="6"/>
      <c r="AB294" s="6">
        <v>1462.9310344827588</v>
      </c>
      <c r="AC294" s="6"/>
      <c r="AD294" s="6">
        <v>602.58620689655174</v>
      </c>
      <c r="AE294" s="6"/>
      <c r="AF294" s="8">
        <v>2121.9800116889946</v>
      </c>
      <c r="AG294" s="8">
        <v>7924.5379911849786</v>
      </c>
      <c r="AH294" s="9" t="e">
        <f>+SUM([1]!Tabla2[[#This Row],[Web + APP 2026]:[Shein]])</f>
        <v>#REF!</v>
      </c>
      <c r="AI294" s="7"/>
      <c r="AJ294" s="9"/>
      <c r="AK294" s="21" t="e">
        <f t="shared" si="39"/>
        <v>#REF!</v>
      </c>
      <c r="AL294" s="21" t="e">
        <f t="shared" si="40"/>
        <v>#DIV/0!</v>
      </c>
      <c r="AM294" s="18" t="e">
        <f t="shared" si="41"/>
        <v>#REF!</v>
      </c>
      <c r="AN294" s="18" t="e">
        <f t="shared" si="42"/>
        <v>#DIV/0!</v>
      </c>
    </row>
    <row r="295" spans="1:40" hidden="1" x14ac:dyDescent="0.3">
      <c r="A295" s="11">
        <v>45950</v>
      </c>
      <c r="B295" s="6"/>
      <c r="C295" s="6"/>
      <c r="D295" s="7">
        <v>2.757830429000865E-2</v>
      </c>
      <c r="E295" s="6"/>
      <c r="F295" s="11">
        <v>46314</v>
      </c>
      <c r="G295" s="6">
        <v>4906591.5200077742</v>
      </c>
      <c r="H295" s="6">
        <f t="shared" si="37"/>
        <v>2419631.0922777639</v>
      </c>
      <c r="I295" s="6">
        <f t="shared" si="38"/>
        <v>562281.16710088297</v>
      </c>
      <c r="J295" s="6">
        <v>3847226</v>
      </c>
      <c r="K295" s="6"/>
      <c r="L295" s="6">
        <v>31251.724137931025</v>
      </c>
      <c r="M295" s="6"/>
      <c r="N295" s="6">
        <v>55327</v>
      </c>
      <c r="O295" s="6"/>
      <c r="P295" s="6">
        <v>3409</v>
      </c>
      <c r="Q295" s="6"/>
      <c r="R295" s="6">
        <v>170272</v>
      </c>
      <c r="S295" s="6"/>
      <c r="T295" s="6">
        <v>271999</v>
      </c>
      <c r="U295" s="6"/>
      <c r="V295" s="6">
        <v>100871</v>
      </c>
      <c r="W295" s="6"/>
      <c r="X295" s="6">
        <v>38995</v>
      </c>
      <c r="Y295" s="6"/>
      <c r="Z295" s="6">
        <v>5429</v>
      </c>
      <c r="AA295" s="6"/>
      <c r="AB295" s="6">
        <v>429.31034482758622</v>
      </c>
      <c r="AC295" s="6"/>
      <c r="AD295" s="6">
        <v>688.79310344827593</v>
      </c>
      <c r="AE295" s="6"/>
      <c r="AF295" s="8">
        <v>2610.2226978698682</v>
      </c>
      <c r="AG295" s="8">
        <v>9747.8811396809542</v>
      </c>
      <c r="AH295" s="9" t="e">
        <f>+SUM([1]!Tabla2[[#This Row],[Web + APP 2026]:[Shein]])</f>
        <v>#REF!</v>
      </c>
      <c r="AI295" s="7"/>
      <c r="AJ295" s="9"/>
      <c r="AK295" s="21" t="e">
        <f t="shared" si="39"/>
        <v>#REF!</v>
      </c>
      <c r="AL295" s="21" t="e">
        <f t="shared" si="40"/>
        <v>#DIV/0!</v>
      </c>
      <c r="AM295" s="18" t="e">
        <f t="shared" si="41"/>
        <v>#REF!</v>
      </c>
      <c r="AN295" s="18" t="e">
        <f t="shared" si="42"/>
        <v>#DIV/0!</v>
      </c>
    </row>
    <row r="296" spans="1:40" hidden="1" x14ac:dyDescent="0.3">
      <c r="A296" s="11">
        <v>45951</v>
      </c>
      <c r="B296" s="6"/>
      <c r="C296" s="6"/>
      <c r="D296" s="7">
        <v>3.6020418347634614E-2</v>
      </c>
      <c r="E296" s="6"/>
      <c r="F296" s="11">
        <v>46315</v>
      </c>
      <c r="G296" s="6">
        <v>6408569.4810346523</v>
      </c>
      <c r="H296" s="6">
        <f t="shared" si="37"/>
        <v>3160314.8356864331</v>
      </c>
      <c r="I296" s="6">
        <f t="shared" si="38"/>
        <v>734403.48815455381</v>
      </c>
      <c r="J296" s="6">
        <v>3931017</v>
      </c>
      <c r="K296" s="6"/>
      <c r="L296" s="6">
        <v>32601.724137931022</v>
      </c>
      <c r="M296" s="6"/>
      <c r="N296" s="6">
        <v>9294</v>
      </c>
      <c r="O296" s="6"/>
      <c r="P296" s="6">
        <v>2891</v>
      </c>
      <c r="Q296" s="6"/>
      <c r="R296" s="6">
        <v>155173</v>
      </c>
      <c r="S296" s="6"/>
      <c r="T296" s="6">
        <v>877636</v>
      </c>
      <c r="U296" s="6"/>
      <c r="V296" s="6">
        <v>293673</v>
      </c>
      <c r="W296" s="6"/>
      <c r="X296" s="6">
        <v>44439</v>
      </c>
      <c r="Y296" s="6"/>
      <c r="Z296" s="6">
        <v>6738</v>
      </c>
      <c r="AA296" s="6"/>
      <c r="AB296" s="6">
        <v>7446.5</v>
      </c>
      <c r="AC296" s="6"/>
      <c r="AD296" s="6">
        <v>0</v>
      </c>
      <c r="AE296" s="6"/>
      <c r="AF296" s="8">
        <v>3409.2492623568278</v>
      </c>
      <c r="AG296" s="8">
        <v>12731.847214461754</v>
      </c>
      <c r="AH296" s="9" t="e">
        <f>+SUM([1]!Tabla2[[#This Row],[Web + APP 2026]:[Shein]])</f>
        <v>#REF!</v>
      </c>
      <c r="AI296" s="7"/>
      <c r="AJ296" s="9"/>
      <c r="AK296" s="21" t="e">
        <f t="shared" si="39"/>
        <v>#REF!</v>
      </c>
      <c r="AL296" s="21" t="e">
        <f t="shared" si="40"/>
        <v>#DIV/0!</v>
      </c>
      <c r="AM296" s="18" t="e">
        <f t="shared" si="41"/>
        <v>#REF!</v>
      </c>
      <c r="AN296" s="18" t="e">
        <f t="shared" si="42"/>
        <v>#DIV/0!</v>
      </c>
    </row>
    <row r="297" spans="1:40" hidden="1" x14ac:dyDescent="0.3">
      <c r="A297" s="11">
        <v>45952</v>
      </c>
      <c r="B297" s="6"/>
      <c r="C297" s="6"/>
      <c r="D297" s="7">
        <v>3.7998816967195301E-2</v>
      </c>
      <c r="E297" s="6"/>
      <c r="F297" s="11">
        <v>46316</v>
      </c>
      <c r="G297" s="6">
        <v>6760556.0929688886</v>
      </c>
      <c r="H297" s="6">
        <f t="shared" si="37"/>
        <v>3333893.1225335589</v>
      </c>
      <c r="I297" s="6">
        <f t="shared" si="38"/>
        <v>774740.13369662128</v>
      </c>
      <c r="J297" s="6">
        <v>4257253</v>
      </c>
      <c r="K297" s="6"/>
      <c r="L297" s="6">
        <v>28862.931034482746</v>
      </c>
      <c r="M297" s="6"/>
      <c r="N297" s="6">
        <v>58162</v>
      </c>
      <c r="O297" s="6"/>
      <c r="P297" s="6">
        <v>4241</v>
      </c>
      <c r="Q297" s="6"/>
      <c r="R297" s="6">
        <v>134909</v>
      </c>
      <c r="S297" s="6"/>
      <c r="T297" s="6">
        <v>802589</v>
      </c>
      <c r="U297" s="6"/>
      <c r="V297" s="6">
        <v>231059</v>
      </c>
      <c r="W297" s="6"/>
      <c r="X297" s="6">
        <v>43400</v>
      </c>
      <c r="Y297" s="6"/>
      <c r="Z297" s="6">
        <v>12873</v>
      </c>
      <c r="AA297" s="6"/>
      <c r="AB297" s="6">
        <v>9949.0258620689674</v>
      </c>
      <c r="AC297" s="6"/>
      <c r="AD297" s="6">
        <v>0</v>
      </c>
      <c r="AE297" s="6"/>
      <c r="AF297" s="8">
        <v>3596.5001146176251</v>
      </c>
      <c r="AG297" s="8">
        <v>13431.135843218137</v>
      </c>
      <c r="AH297" s="9" t="e">
        <f>+SUM([1]!Tabla2[[#This Row],[Web + APP 2026]:[Shein]])</f>
        <v>#REF!</v>
      </c>
      <c r="AI297" s="7"/>
      <c r="AJ297" s="9"/>
      <c r="AK297" s="21" t="e">
        <f t="shared" si="39"/>
        <v>#REF!</v>
      </c>
      <c r="AL297" s="21" t="e">
        <f t="shared" si="40"/>
        <v>#DIV/0!</v>
      </c>
      <c r="AM297" s="18" t="e">
        <f t="shared" si="41"/>
        <v>#REF!</v>
      </c>
      <c r="AN297" s="18" t="e">
        <f t="shared" si="42"/>
        <v>#DIV/0!</v>
      </c>
    </row>
    <row r="298" spans="1:40" hidden="1" x14ac:dyDescent="0.3">
      <c r="A298" s="11">
        <v>45953</v>
      </c>
      <c r="B298" s="6"/>
      <c r="C298" s="6"/>
      <c r="D298" s="7">
        <v>4.0600264136839828E-2</v>
      </c>
      <c r="E298" s="6"/>
      <c r="F298" s="11">
        <v>46317</v>
      </c>
      <c r="G298" s="6">
        <v>7223392.3314881083</v>
      </c>
      <c r="H298" s="6">
        <f t="shared" si="37"/>
        <v>3562135.6711107874</v>
      </c>
      <c r="I298" s="6">
        <f t="shared" si="38"/>
        <v>827779.82516267535</v>
      </c>
      <c r="J298" s="6">
        <v>3461017</v>
      </c>
      <c r="K298" s="6"/>
      <c r="L298" s="6">
        <v>26515.517241379304</v>
      </c>
      <c r="M298" s="6"/>
      <c r="N298" s="6">
        <v>97029</v>
      </c>
      <c r="O298" s="6"/>
      <c r="P298" s="6">
        <v>4241</v>
      </c>
      <c r="Q298" s="6"/>
      <c r="R298" s="6">
        <v>151103</v>
      </c>
      <c r="S298" s="6"/>
      <c r="T298" s="6">
        <v>627269</v>
      </c>
      <c r="U298" s="6"/>
      <c r="V298" s="6">
        <v>217360</v>
      </c>
      <c r="W298" s="6"/>
      <c r="X298" s="6">
        <v>37546</v>
      </c>
      <c r="Y298" s="6"/>
      <c r="Z298" s="6">
        <v>11591</v>
      </c>
      <c r="AA298" s="6"/>
      <c r="AB298" s="6">
        <v>2535.3793103448279</v>
      </c>
      <c r="AC298" s="6"/>
      <c r="AD298" s="6">
        <v>0</v>
      </c>
      <c r="AE298" s="6"/>
      <c r="AF298" s="8">
        <v>3842.7210707035852</v>
      </c>
      <c r="AG298" s="8">
        <v>14350.648425797097</v>
      </c>
      <c r="AH298" s="9" t="e">
        <f>+SUM([1]!Tabla2[[#This Row],[Web + APP 2026]:[Shein]])</f>
        <v>#REF!</v>
      </c>
      <c r="AI298" s="7"/>
      <c r="AJ298" s="9"/>
      <c r="AK298" s="21" t="e">
        <f t="shared" si="39"/>
        <v>#REF!</v>
      </c>
      <c r="AL298" s="21" t="e">
        <f t="shared" si="40"/>
        <v>#DIV/0!</v>
      </c>
      <c r="AM298" s="18" t="e">
        <f t="shared" si="41"/>
        <v>#REF!</v>
      </c>
      <c r="AN298" s="18" t="e">
        <f t="shared" si="42"/>
        <v>#DIV/0!</v>
      </c>
    </row>
    <row r="299" spans="1:40" hidden="1" x14ac:dyDescent="0.3">
      <c r="A299" s="11">
        <v>45954</v>
      </c>
      <c r="B299" s="6"/>
      <c r="C299" s="6"/>
      <c r="D299" s="7">
        <v>3.3254405753622894E-2</v>
      </c>
      <c r="E299" s="6"/>
      <c r="F299" s="11">
        <v>46318</v>
      </c>
      <c r="G299" s="6">
        <v>5916454.5998840546</v>
      </c>
      <c r="H299" s="6">
        <f t="shared" si="37"/>
        <v>2917633.8498026365</v>
      </c>
      <c r="I299" s="6">
        <f t="shared" si="38"/>
        <v>678008.54910313024</v>
      </c>
      <c r="J299" s="6">
        <v>2656715</v>
      </c>
      <c r="K299" s="6"/>
      <c r="L299" s="6">
        <v>22585.344827586199</v>
      </c>
      <c r="M299" s="6"/>
      <c r="N299" s="6">
        <v>27735</v>
      </c>
      <c r="O299" s="6"/>
      <c r="P299" s="6">
        <v>1495</v>
      </c>
      <c r="Q299" s="6"/>
      <c r="R299" s="6">
        <v>121228</v>
      </c>
      <c r="S299" s="6"/>
      <c r="T299" s="6">
        <v>505230</v>
      </c>
      <c r="U299" s="6"/>
      <c r="V299" s="6">
        <v>186135</v>
      </c>
      <c r="W299" s="6"/>
      <c r="X299" s="6">
        <v>27757</v>
      </c>
      <c r="Y299" s="6"/>
      <c r="Z299" s="6">
        <v>5852</v>
      </c>
      <c r="AA299" s="6"/>
      <c r="AB299" s="6">
        <v>17338.586206896554</v>
      </c>
      <c r="AC299" s="6"/>
      <c r="AD299" s="6">
        <v>861.20689655172418</v>
      </c>
      <c r="AE299" s="6"/>
      <c r="AF299" s="8">
        <v>3147.4525695812308</v>
      </c>
      <c r="AG299" s="8">
        <v>11754.167016515165</v>
      </c>
      <c r="AH299" s="9" t="e">
        <f>+SUM([1]!Tabla2[[#This Row],[Web + APP 2026]:[Shein]])</f>
        <v>#REF!</v>
      </c>
      <c r="AI299" s="7"/>
      <c r="AJ299" s="9"/>
      <c r="AK299" s="21" t="e">
        <f t="shared" si="39"/>
        <v>#REF!</v>
      </c>
      <c r="AL299" s="21" t="e">
        <f t="shared" si="40"/>
        <v>#DIV/0!</v>
      </c>
      <c r="AM299" s="18" t="e">
        <f t="shared" si="41"/>
        <v>#REF!</v>
      </c>
      <c r="AN299" s="18" t="e">
        <f t="shared" si="42"/>
        <v>#DIV/0!</v>
      </c>
    </row>
    <row r="300" spans="1:40" hidden="1" x14ac:dyDescent="0.3">
      <c r="A300" s="11">
        <v>45955</v>
      </c>
      <c r="B300" s="6"/>
      <c r="C300" s="6"/>
      <c r="D300" s="7">
        <v>2.6488690908250963E-2</v>
      </c>
      <c r="E300" s="6"/>
      <c r="F300" s="11">
        <v>46319</v>
      </c>
      <c r="G300" s="6">
        <v>4712733.0534828342</v>
      </c>
      <c r="H300" s="6">
        <f t="shared" si="37"/>
        <v>2324031.9434200875</v>
      </c>
      <c r="I300" s="6">
        <f t="shared" si="38"/>
        <v>540065.54870967474</v>
      </c>
      <c r="J300" s="6">
        <v>2019623</v>
      </c>
      <c r="K300" s="6"/>
      <c r="L300" s="6">
        <v>28974.999999999989</v>
      </c>
      <c r="M300" s="6"/>
      <c r="N300" s="6">
        <v>-2410</v>
      </c>
      <c r="O300" s="6"/>
      <c r="P300" s="6">
        <v>41</v>
      </c>
      <c r="Q300" s="6"/>
      <c r="R300" s="6">
        <v>83407</v>
      </c>
      <c r="S300" s="6"/>
      <c r="T300" s="6">
        <v>490357</v>
      </c>
      <c r="U300" s="6"/>
      <c r="V300" s="6">
        <v>162629</v>
      </c>
      <c r="W300" s="6"/>
      <c r="X300" s="6">
        <v>25730</v>
      </c>
      <c r="Y300" s="6"/>
      <c r="Z300" s="6">
        <v>6748</v>
      </c>
      <c r="AA300" s="6"/>
      <c r="AB300" s="6">
        <v>551.72413793103453</v>
      </c>
      <c r="AC300" s="6"/>
      <c r="AD300" s="6">
        <v>0</v>
      </c>
      <c r="AE300" s="6"/>
      <c r="AF300" s="8">
        <v>2507.093312137582</v>
      </c>
      <c r="AG300" s="8">
        <v>9362.7442718776711</v>
      </c>
      <c r="AH300" s="9" t="e">
        <f>+SUM([1]!Tabla2[[#This Row],[Web + APP 2026]:[Shein]])</f>
        <v>#REF!</v>
      </c>
      <c r="AI300" s="7"/>
      <c r="AJ300" s="9"/>
      <c r="AK300" s="21" t="e">
        <f t="shared" si="39"/>
        <v>#REF!</v>
      </c>
      <c r="AL300" s="21" t="e">
        <f t="shared" si="40"/>
        <v>#DIV/0!</v>
      </c>
      <c r="AM300" s="18" t="e">
        <f t="shared" si="41"/>
        <v>#REF!</v>
      </c>
      <c r="AN300" s="18" t="e">
        <f t="shared" si="42"/>
        <v>#DIV/0!</v>
      </c>
    </row>
    <row r="301" spans="1:40" hidden="1" x14ac:dyDescent="0.3">
      <c r="A301" s="11">
        <v>45956</v>
      </c>
      <c r="B301" s="6"/>
      <c r="C301" s="6"/>
      <c r="D301" s="7">
        <v>2.2330450775742187E-2</v>
      </c>
      <c r="E301" s="6"/>
      <c r="F301" s="11">
        <v>46320</v>
      </c>
      <c r="G301" s="6">
        <v>3972920.1354088504</v>
      </c>
      <c r="H301" s="6">
        <f t="shared" si="37"/>
        <v>1959201.4227335569</v>
      </c>
      <c r="I301" s="6">
        <f t="shared" si="38"/>
        <v>455285.13254609518</v>
      </c>
      <c r="J301" s="6">
        <v>2657024</v>
      </c>
      <c r="K301" s="6"/>
      <c r="L301" s="6">
        <v>30806.034482758605</v>
      </c>
      <c r="M301" s="6"/>
      <c r="N301" s="6">
        <v>-4552</v>
      </c>
      <c r="O301" s="6"/>
      <c r="P301" s="6">
        <v>130</v>
      </c>
      <c r="Q301" s="6"/>
      <c r="R301" s="6">
        <v>80354</v>
      </c>
      <c r="S301" s="6"/>
      <c r="T301" s="6">
        <v>573146</v>
      </c>
      <c r="U301" s="6"/>
      <c r="V301" s="6">
        <v>162092</v>
      </c>
      <c r="W301" s="6"/>
      <c r="X301" s="6">
        <v>29698</v>
      </c>
      <c r="Y301" s="6"/>
      <c r="Z301" s="6">
        <v>3328</v>
      </c>
      <c r="AA301" s="6"/>
      <c r="AB301" s="6">
        <v>3048.275862068966</v>
      </c>
      <c r="AC301" s="6"/>
      <c r="AD301" s="6">
        <v>1636.2068965517242</v>
      </c>
      <c r="AE301" s="6"/>
      <c r="AF301" s="8">
        <v>2113.5255038006462</v>
      </c>
      <c r="AG301" s="8">
        <v>7892.9646169830867</v>
      </c>
      <c r="AH301" s="9" t="e">
        <f>+SUM([1]!Tabla2[[#This Row],[Web + APP 2026]:[Shein]])</f>
        <v>#REF!</v>
      </c>
      <c r="AI301" s="7"/>
      <c r="AJ301" s="9"/>
      <c r="AK301" s="21" t="e">
        <f t="shared" si="39"/>
        <v>#REF!</v>
      </c>
      <c r="AL301" s="21" t="e">
        <f t="shared" si="40"/>
        <v>#DIV/0!</v>
      </c>
      <c r="AM301" s="18" t="e">
        <f t="shared" si="41"/>
        <v>#REF!</v>
      </c>
      <c r="AN301" s="18" t="e">
        <f t="shared" si="42"/>
        <v>#DIV/0!</v>
      </c>
    </row>
    <row r="302" spans="1:40" hidden="1" x14ac:dyDescent="0.3">
      <c r="A302" s="11">
        <v>45957</v>
      </c>
      <c r="B302" s="6"/>
      <c r="C302" s="6"/>
      <c r="D302" s="7">
        <v>2.7276784687137366E-2</v>
      </c>
      <c r="E302" s="6"/>
      <c r="F302" s="11">
        <v>46321</v>
      </c>
      <c r="G302" s="6">
        <v>4852946.6870620325</v>
      </c>
      <c r="H302" s="6">
        <f t="shared" si="37"/>
        <v>2393176.7389438311</v>
      </c>
      <c r="I302" s="6">
        <f t="shared" si="38"/>
        <v>556133.6247275949</v>
      </c>
      <c r="J302" s="6">
        <v>3776827</v>
      </c>
      <c r="K302" s="6"/>
      <c r="L302" s="6">
        <v>29792.24137931033</v>
      </c>
      <c r="M302" s="6"/>
      <c r="N302" s="6">
        <v>64916</v>
      </c>
      <c r="O302" s="6"/>
      <c r="P302" s="6">
        <v>3260</v>
      </c>
      <c r="Q302" s="6"/>
      <c r="R302" s="6">
        <v>63746</v>
      </c>
      <c r="S302" s="6"/>
      <c r="T302" s="6">
        <v>549556</v>
      </c>
      <c r="U302" s="6"/>
      <c r="V302" s="6">
        <v>173311</v>
      </c>
      <c r="W302" s="6"/>
      <c r="X302" s="6">
        <v>35148</v>
      </c>
      <c r="Y302" s="6"/>
      <c r="Z302" s="6">
        <v>7879</v>
      </c>
      <c r="AA302" s="6"/>
      <c r="AB302" s="6">
        <v>26773.120689655178</v>
      </c>
      <c r="AC302" s="6"/>
      <c r="AD302" s="6">
        <v>861.20689655172418</v>
      </c>
      <c r="AE302" s="6"/>
      <c r="AF302" s="8">
        <v>2581.6845650321479</v>
      </c>
      <c r="AG302" s="8">
        <v>9641.3054336779587</v>
      </c>
      <c r="AH302" s="9" t="e">
        <f>+SUM([1]!Tabla2[[#This Row],[Web + APP 2026]:[Shein]])</f>
        <v>#REF!</v>
      </c>
      <c r="AI302" s="7"/>
      <c r="AJ302" s="9"/>
      <c r="AK302" s="21" t="e">
        <f t="shared" si="39"/>
        <v>#REF!</v>
      </c>
      <c r="AL302" s="21" t="e">
        <f t="shared" si="40"/>
        <v>#DIV/0!</v>
      </c>
      <c r="AM302" s="18" t="e">
        <f t="shared" si="41"/>
        <v>#REF!</v>
      </c>
      <c r="AN302" s="18" t="e">
        <f t="shared" si="42"/>
        <v>#DIV/0!</v>
      </c>
    </row>
    <row r="303" spans="1:40" hidden="1" x14ac:dyDescent="0.3">
      <c r="A303" s="11">
        <v>45958</v>
      </c>
      <c r="B303" s="6"/>
      <c r="C303" s="6"/>
      <c r="D303" s="7">
        <v>3.4753622184249884E-2</v>
      </c>
      <c r="E303" s="6"/>
      <c r="F303" s="11">
        <v>46322</v>
      </c>
      <c r="G303" s="6">
        <v>6183187.5558996191</v>
      </c>
      <c r="H303" s="6">
        <f t="shared" si="37"/>
        <v>3049170.2434638301</v>
      </c>
      <c r="I303" s="6">
        <f t="shared" si="38"/>
        <v>708575.37277311087</v>
      </c>
      <c r="J303" s="6">
        <v>3810274</v>
      </c>
      <c r="K303" s="6"/>
      <c r="L303" s="6">
        <v>28745.689655172406</v>
      </c>
      <c r="M303" s="6"/>
      <c r="N303" s="6">
        <v>-671</v>
      </c>
      <c r="O303" s="6"/>
      <c r="P303" s="6">
        <v>2634</v>
      </c>
      <c r="Q303" s="6"/>
      <c r="R303" s="6">
        <v>138347</v>
      </c>
      <c r="S303" s="6"/>
      <c r="T303" s="6">
        <v>371112</v>
      </c>
      <c r="U303" s="6"/>
      <c r="V303" s="6">
        <v>145967</v>
      </c>
      <c r="W303" s="6"/>
      <c r="X303" s="6">
        <v>36008</v>
      </c>
      <c r="Y303" s="6"/>
      <c r="Z303" s="6">
        <v>9114</v>
      </c>
      <c r="AA303" s="6"/>
      <c r="AB303" s="6">
        <v>682.75</v>
      </c>
      <c r="AC303" s="6"/>
      <c r="AD303" s="6">
        <v>2583.6206896551726</v>
      </c>
      <c r="AE303" s="6"/>
      <c r="AF303" s="8">
        <v>3289.3499362608704</v>
      </c>
      <c r="AG303" s="8">
        <v>12284.082975623038</v>
      </c>
      <c r="AH303" s="9" t="e">
        <f>+SUM([1]!Tabla2[[#This Row],[Web + APP 2026]:[Shein]])</f>
        <v>#REF!</v>
      </c>
      <c r="AI303" s="7"/>
      <c r="AJ303" s="9"/>
      <c r="AK303" s="21" t="e">
        <f t="shared" si="39"/>
        <v>#REF!</v>
      </c>
      <c r="AL303" s="21" t="e">
        <f t="shared" si="40"/>
        <v>#DIV/0!</v>
      </c>
      <c r="AM303" s="18" t="e">
        <f t="shared" si="41"/>
        <v>#REF!</v>
      </c>
      <c r="AN303" s="18" t="e">
        <f t="shared" si="42"/>
        <v>#DIV/0!</v>
      </c>
    </row>
    <row r="304" spans="1:40" hidden="1" x14ac:dyDescent="0.3">
      <c r="A304" s="11">
        <v>45959</v>
      </c>
      <c r="B304" s="6"/>
      <c r="C304" s="6"/>
      <c r="D304" s="7">
        <v>3.6020920642902833E-2</v>
      </c>
      <c r="E304" s="6"/>
      <c r="F304" s="11">
        <v>46323</v>
      </c>
      <c r="G304" s="6">
        <v>6408658.8468519868</v>
      </c>
      <c r="H304" s="6">
        <f t="shared" si="37"/>
        <v>3160358.9054463324</v>
      </c>
      <c r="I304" s="6">
        <f t="shared" si="38"/>
        <v>734413.72921820567</v>
      </c>
      <c r="J304" s="6">
        <v>3411835</v>
      </c>
      <c r="K304" s="6"/>
      <c r="L304" s="6">
        <v>32697.413793103438</v>
      </c>
      <c r="M304" s="6"/>
      <c r="N304" s="6">
        <v>103284</v>
      </c>
      <c r="O304" s="6"/>
      <c r="P304" s="6">
        <v>6626</v>
      </c>
      <c r="Q304" s="6"/>
      <c r="R304" s="6">
        <v>99610</v>
      </c>
      <c r="S304" s="6"/>
      <c r="T304" s="6">
        <v>451504</v>
      </c>
      <c r="U304" s="6"/>
      <c r="V304" s="6">
        <v>161597</v>
      </c>
      <c r="W304" s="6"/>
      <c r="X304" s="6">
        <v>29605</v>
      </c>
      <c r="Y304" s="6"/>
      <c r="Z304" s="6">
        <v>6174</v>
      </c>
      <c r="AA304" s="6"/>
      <c r="AB304" s="6">
        <v>1063.8879310344828</v>
      </c>
      <c r="AC304" s="6"/>
      <c r="AD304" s="6">
        <v>0</v>
      </c>
      <c r="AE304" s="6"/>
      <c r="AF304" s="8">
        <v>3409.29680344189</v>
      </c>
      <c r="AG304" s="8">
        <v>12732.024756725414</v>
      </c>
      <c r="AH304" s="9" t="e">
        <f>+SUM([1]!Tabla2[[#This Row],[Web + APP 2026]:[Shein]])</f>
        <v>#REF!</v>
      </c>
      <c r="AI304" s="7"/>
      <c r="AJ304" s="9"/>
      <c r="AK304" s="21" t="e">
        <f t="shared" si="39"/>
        <v>#REF!</v>
      </c>
      <c r="AL304" s="21" t="e">
        <f t="shared" si="40"/>
        <v>#DIV/0!</v>
      </c>
      <c r="AM304" s="18" t="e">
        <f t="shared" si="41"/>
        <v>#REF!</v>
      </c>
      <c r="AN304" s="18" t="e">
        <f t="shared" si="42"/>
        <v>#DIV/0!</v>
      </c>
    </row>
    <row r="305" spans="1:40" hidden="1" x14ac:dyDescent="0.3">
      <c r="A305" s="11">
        <v>45960</v>
      </c>
      <c r="B305" s="6"/>
      <c r="C305" s="6"/>
      <c r="D305" s="7">
        <v>3.252931629464817E-2</v>
      </c>
      <c r="E305" s="6"/>
      <c r="F305" s="11">
        <v>46324</v>
      </c>
      <c r="G305" s="6">
        <v>5787450.374198528</v>
      </c>
      <c r="H305" s="6">
        <f t="shared" si="37"/>
        <v>2854016.8492369521</v>
      </c>
      <c r="I305" s="6">
        <f t="shared" si="38"/>
        <v>663225.03874087194</v>
      </c>
      <c r="J305" s="6">
        <v>2388298</v>
      </c>
      <c r="K305" s="6"/>
      <c r="L305" s="6">
        <v>26326.724137931029</v>
      </c>
      <c r="M305" s="6"/>
      <c r="N305" s="6">
        <v>50337</v>
      </c>
      <c r="O305" s="6"/>
      <c r="P305" s="6">
        <v>4122</v>
      </c>
      <c r="Q305" s="6"/>
      <c r="R305" s="6">
        <v>122069</v>
      </c>
      <c r="S305" s="6"/>
      <c r="T305" s="6">
        <v>313708</v>
      </c>
      <c r="U305" s="6"/>
      <c r="V305" s="6">
        <v>168402</v>
      </c>
      <c r="W305" s="6"/>
      <c r="X305" s="6">
        <v>24166</v>
      </c>
      <c r="Y305" s="6"/>
      <c r="Z305" s="6">
        <v>3722</v>
      </c>
      <c r="AA305" s="6"/>
      <c r="AB305" s="6">
        <v>135.41379310344826</v>
      </c>
      <c r="AC305" s="6"/>
      <c r="AD305" s="6">
        <v>0</v>
      </c>
      <c r="AE305" s="6"/>
      <c r="AF305" s="8">
        <v>3078.824529804047</v>
      </c>
      <c r="AG305" s="8">
        <v>11497.875484323977</v>
      </c>
      <c r="AH305" s="9" t="e">
        <f>+SUM([1]!Tabla2[[#This Row],[Web + APP 2026]:[Shein]])</f>
        <v>#REF!</v>
      </c>
      <c r="AI305" s="7"/>
      <c r="AJ305" s="9"/>
      <c r="AK305" s="21" t="e">
        <f t="shared" si="39"/>
        <v>#REF!</v>
      </c>
      <c r="AL305" s="21" t="e">
        <f t="shared" si="40"/>
        <v>#DIV/0!</v>
      </c>
      <c r="AM305" s="18" t="e">
        <f t="shared" si="41"/>
        <v>#REF!</v>
      </c>
      <c r="AN305" s="18" t="e">
        <f t="shared" si="42"/>
        <v>#DIV/0!</v>
      </c>
    </row>
    <row r="306" spans="1:40" hidden="1" x14ac:dyDescent="0.3">
      <c r="A306" s="11">
        <v>45961</v>
      </c>
      <c r="B306" s="6"/>
      <c r="C306" s="6"/>
      <c r="D306" s="7">
        <v>2.6098062625409389E-2</v>
      </c>
      <c r="E306" s="6"/>
      <c r="F306" s="11">
        <v>46325</v>
      </c>
      <c r="G306" s="6">
        <v>4643234.4577783821</v>
      </c>
      <c r="H306" s="6">
        <f t="shared" si="37"/>
        <v>2289759.4831285761</v>
      </c>
      <c r="I306" s="6">
        <f t="shared" si="38"/>
        <v>532101.21107422595</v>
      </c>
      <c r="J306" s="6">
        <v>2518660</v>
      </c>
      <c r="K306" s="6"/>
      <c r="L306" s="6">
        <v>25826.724137931025</v>
      </c>
      <c r="M306" s="6"/>
      <c r="N306" s="6">
        <v>91252</v>
      </c>
      <c r="O306" s="6"/>
      <c r="P306" s="6">
        <v>2632</v>
      </c>
      <c r="Q306" s="6"/>
      <c r="R306" s="6">
        <v>75677</v>
      </c>
      <c r="S306" s="6"/>
      <c r="T306" s="6">
        <v>539551</v>
      </c>
      <c r="U306" s="6"/>
      <c r="V306" s="6">
        <v>143470</v>
      </c>
      <c r="W306" s="6"/>
      <c r="X306" s="6">
        <v>48956</v>
      </c>
      <c r="Y306" s="6"/>
      <c r="Z306" s="6">
        <v>2157</v>
      </c>
      <c r="AA306" s="6"/>
      <c r="AB306" s="6">
        <v>-667.62931034482745</v>
      </c>
      <c r="AC306" s="6"/>
      <c r="AD306" s="6">
        <v>775</v>
      </c>
      <c r="AE306" s="6"/>
      <c r="AF306" s="8">
        <v>2470.121248896101</v>
      </c>
      <c r="AG306" s="8">
        <v>9224.6720383242518</v>
      </c>
      <c r="AH306" s="9" t="e">
        <f>+SUM([1]!Tabla2[[#This Row],[Web + APP 2026]:[Shein]])</f>
        <v>#REF!</v>
      </c>
      <c r="AI306" s="7"/>
      <c r="AJ306" s="9"/>
      <c r="AK306" s="21" t="e">
        <f t="shared" si="39"/>
        <v>#REF!</v>
      </c>
      <c r="AL306" s="21" t="e">
        <f t="shared" si="40"/>
        <v>#DIV/0!</v>
      </c>
      <c r="AM306" s="18" t="e">
        <f t="shared" si="41"/>
        <v>#REF!</v>
      </c>
      <c r="AN306" s="18" t="e">
        <f t="shared" si="42"/>
        <v>#DIV/0!</v>
      </c>
    </row>
    <row r="307" spans="1:40" hidden="1" x14ac:dyDescent="0.3">
      <c r="A307" s="11">
        <v>45962</v>
      </c>
      <c r="B307" s="6"/>
      <c r="C307" s="6"/>
      <c r="D307" s="7">
        <v>2.1575328557894752E-2</v>
      </c>
      <c r="E307" s="6"/>
      <c r="F307" s="11">
        <v>46326</v>
      </c>
      <c r="G307" s="6">
        <v>3838572.634137643</v>
      </c>
      <c r="H307" s="6">
        <f t="shared" si="37"/>
        <v>1892949.4451804867</v>
      </c>
      <c r="I307" s="6">
        <f t="shared" si="38"/>
        <v>439889.29828847956</v>
      </c>
      <c r="J307" s="6">
        <v>1683835</v>
      </c>
      <c r="K307" s="6"/>
      <c r="L307" s="6">
        <v>24736.206896551717</v>
      </c>
      <c r="M307" s="6"/>
      <c r="N307" s="6">
        <v>-1342</v>
      </c>
      <c r="O307" s="6"/>
      <c r="P307" s="6">
        <v>3614</v>
      </c>
      <c r="Q307" s="6"/>
      <c r="R307" s="6">
        <v>101714</v>
      </c>
      <c r="S307" s="6"/>
      <c r="T307" s="6">
        <v>370351</v>
      </c>
      <c r="U307" s="6"/>
      <c r="V307" s="6">
        <v>133732</v>
      </c>
      <c r="W307" s="6"/>
      <c r="X307" s="6">
        <v>24368</v>
      </c>
      <c r="Y307" s="6"/>
      <c r="Z307" s="6">
        <v>7154</v>
      </c>
      <c r="AA307" s="6"/>
      <c r="AB307" s="6">
        <v>1248.2758620689656</v>
      </c>
      <c r="AC307" s="6"/>
      <c r="AD307" s="6">
        <v>0</v>
      </c>
      <c r="AE307" s="6"/>
      <c r="AF307" s="8">
        <v>2042.054932877789</v>
      </c>
      <c r="AG307" s="8">
        <v>7626.0576473556694</v>
      </c>
      <c r="AH307" s="9" t="e">
        <f>+SUM([1]!Tabla2[[#This Row],[Web + APP 2026]:[Shein]])</f>
        <v>#REF!</v>
      </c>
      <c r="AI307" s="7"/>
      <c r="AJ307" s="9"/>
      <c r="AK307" s="21" t="e">
        <f t="shared" si="39"/>
        <v>#REF!</v>
      </c>
      <c r="AL307" s="21" t="e">
        <f t="shared" si="40"/>
        <v>#DIV/0!</v>
      </c>
      <c r="AM307" s="18" t="e">
        <f t="shared" si="41"/>
        <v>#REF!</v>
      </c>
      <c r="AN307" s="18" t="e">
        <f t="shared" si="42"/>
        <v>#DIV/0!</v>
      </c>
    </row>
    <row r="308" spans="1:40" hidden="1" x14ac:dyDescent="0.3">
      <c r="A308" s="11">
        <v>45963</v>
      </c>
      <c r="B308" s="6"/>
      <c r="C308" s="6"/>
      <c r="D308" s="7">
        <v>1.5098683400125263E-2</v>
      </c>
      <c r="E308" s="6"/>
      <c r="F308" s="11">
        <v>46327</v>
      </c>
      <c r="G308" s="6">
        <v>3367707.8800913608</v>
      </c>
      <c r="H308" s="6">
        <f t="shared" si="37"/>
        <v>1324709.5768914574</v>
      </c>
      <c r="I308" s="6">
        <f t="shared" si="38"/>
        <v>307840.00476000609</v>
      </c>
      <c r="J308" s="6">
        <v>2484015</v>
      </c>
      <c r="K308" s="6"/>
      <c r="L308" s="6">
        <v>31896.551724137917</v>
      </c>
      <c r="M308" s="6"/>
      <c r="N308" s="6">
        <v>5110</v>
      </c>
      <c r="O308" s="6"/>
      <c r="P308" s="6">
        <v>809</v>
      </c>
      <c r="Q308" s="6"/>
      <c r="R308" s="6">
        <v>79521</v>
      </c>
      <c r="S308" s="6"/>
      <c r="T308" s="6">
        <v>252270</v>
      </c>
      <c r="U308" s="6"/>
      <c r="V308" s="6">
        <v>160805</v>
      </c>
      <c r="W308" s="6"/>
      <c r="X308" s="6">
        <v>44223</v>
      </c>
      <c r="Y308" s="6"/>
      <c r="Z308" s="6">
        <v>6928</v>
      </c>
      <c r="AA308" s="6"/>
      <c r="AB308" s="6">
        <v>1119.6896551724139</v>
      </c>
      <c r="AC308" s="6"/>
      <c r="AD308" s="6">
        <v>0</v>
      </c>
      <c r="AE308" s="6"/>
      <c r="AF308" s="8">
        <v>1776.0562183298853</v>
      </c>
      <c r="AG308" s="8">
        <v>7382.5225595045213</v>
      </c>
      <c r="AH308" s="9" t="e">
        <f>+SUM([1]!Tabla2[[#This Row],[Web + APP 2026]:[Shein]])</f>
        <v>#REF!</v>
      </c>
      <c r="AI308" s="7"/>
      <c r="AJ308" s="9"/>
      <c r="AK308" s="21" t="e">
        <f t="shared" si="39"/>
        <v>#REF!</v>
      </c>
      <c r="AL308" s="21" t="e">
        <f t="shared" si="40"/>
        <v>#DIV/0!</v>
      </c>
      <c r="AM308" s="18" t="e">
        <f t="shared" si="41"/>
        <v>#REF!</v>
      </c>
      <c r="AN308" s="18" t="e">
        <f t="shared" si="42"/>
        <v>#DIV/0!</v>
      </c>
    </row>
    <row r="309" spans="1:40" hidden="1" x14ac:dyDescent="0.3">
      <c r="A309" s="11">
        <v>45964</v>
      </c>
      <c r="B309" s="6"/>
      <c r="C309" s="6"/>
      <c r="D309" s="7">
        <v>2.0949126635597629E-2</v>
      </c>
      <c r="E309" s="6"/>
      <c r="F309" s="11">
        <v>46328</v>
      </c>
      <c r="G309" s="6">
        <v>4672628.5320446314</v>
      </c>
      <c r="H309" s="6">
        <f t="shared" si="37"/>
        <v>1838008.5167861632</v>
      </c>
      <c r="I309" s="6">
        <f t="shared" si="38"/>
        <v>427121.95973106124</v>
      </c>
      <c r="J309" s="6">
        <v>3169867</v>
      </c>
      <c r="K309" s="6"/>
      <c r="L309" s="6">
        <v>37387.068965517225</v>
      </c>
      <c r="M309" s="6"/>
      <c r="N309" s="6">
        <v>28365</v>
      </c>
      <c r="O309" s="6"/>
      <c r="P309" s="6">
        <v>5684</v>
      </c>
      <c r="Q309" s="6"/>
      <c r="R309" s="6">
        <v>68529</v>
      </c>
      <c r="S309" s="6"/>
      <c r="T309" s="6">
        <v>675820</v>
      </c>
      <c r="U309" s="6"/>
      <c r="V309" s="6">
        <v>143167</v>
      </c>
      <c r="W309" s="6"/>
      <c r="X309" s="6">
        <v>26685</v>
      </c>
      <c r="Y309" s="6"/>
      <c r="Z309" s="6">
        <v>6387</v>
      </c>
      <c r="AA309" s="6"/>
      <c r="AB309" s="6">
        <v>-155.17241379310337</v>
      </c>
      <c r="AC309" s="6"/>
      <c r="AD309" s="6">
        <v>0</v>
      </c>
      <c r="AE309" s="6"/>
      <c r="AF309" s="8">
        <v>2464.2431160206138</v>
      </c>
      <c r="AG309" s="8">
        <v>10243.105037087767</v>
      </c>
      <c r="AH309" s="9" t="e">
        <f>+SUM([1]!Tabla2[[#This Row],[Web + APP 2026]:[Shein]])</f>
        <v>#REF!</v>
      </c>
      <c r="AI309" s="7"/>
      <c r="AJ309" s="9"/>
      <c r="AK309" s="21" t="e">
        <f t="shared" si="39"/>
        <v>#REF!</v>
      </c>
      <c r="AL309" s="21" t="e">
        <f t="shared" si="40"/>
        <v>#DIV/0!</v>
      </c>
      <c r="AM309" s="18" t="e">
        <f t="shared" si="41"/>
        <v>#REF!</v>
      </c>
      <c r="AN309" s="18" t="e">
        <f t="shared" si="42"/>
        <v>#DIV/0!</v>
      </c>
    </row>
    <row r="310" spans="1:40" hidden="1" x14ac:dyDescent="0.3">
      <c r="A310" s="11">
        <v>45965</v>
      </c>
      <c r="B310" s="6"/>
      <c r="C310" s="6"/>
      <c r="D310" s="7">
        <v>3.044770433609742E-2</v>
      </c>
      <c r="E310" s="6"/>
      <c r="F310" s="11">
        <v>46329</v>
      </c>
      <c r="G310" s="6">
        <v>6791252.6613092953</v>
      </c>
      <c r="H310" s="6">
        <f t="shared" si="37"/>
        <v>2671382.9583348432</v>
      </c>
      <c r="I310" s="6">
        <f t="shared" si="38"/>
        <v>620784.02463076531</v>
      </c>
      <c r="J310" s="6">
        <v>5275115</v>
      </c>
      <c r="K310" s="6"/>
      <c r="L310" s="6">
        <v>48925.862068965485</v>
      </c>
      <c r="M310" s="6"/>
      <c r="N310" s="6">
        <v>61590</v>
      </c>
      <c r="O310" s="6"/>
      <c r="P310" s="6">
        <v>4784</v>
      </c>
      <c r="Q310" s="6"/>
      <c r="R310" s="6">
        <v>164572</v>
      </c>
      <c r="S310" s="6"/>
      <c r="T310" s="6">
        <v>705965</v>
      </c>
      <c r="U310" s="6"/>
      <c r="V310" s="6">
        <v>121452</v>
      </c>
      <c r="W310" s="6"/>
      <c r="X310" s="6">
        <v>50681</v>
      </c>
      <c r="Y310" s="6"/>
      <c r="Z310" s="6">
        <v>6631</v>
      </c>
      <c r="AA310" s="6"/>
      <c r="AB310" s="6">
        <v>2450.0344827586209</v>
      </c>
      <c r="AC310" s="6"/>
      <c r="AD310" s="6">
        <v>1377.5862068965519</v>
      </c>
      <c r="AE310" s="6"/>
      <c r="AF310" s="8">
        <v>3581.5596093330228</v>
      </c>
      <c r="AG310" s="8">
        <v>14887.448010499907</v>
      </c>
      <c r="AH310" s="9" t="e">
        <f>+SUM([1]!Tabla2[[#This Row],[Web + APP 2026]:[Shein]])</f>
        <v>#REF!</v>
      </c>
      <c r="AI310" s="7"/>
      <c r="AJ310" s="9"/>
      <c r="AK310" s="21" t="e">
        <f t="shared" si="39"/>
        <v>#REF!</v>
      </c>
      <c r="AL310" s="21" t="e">
        <f t="shared" si="40"/>
        <v>#DIV/0!</v>
      </c>
      <c r="AM310" s="18" t="e">
        <f t="shared" si="41"/>
        <v>#REF!</v>
      </c>
      <c r="AN310" s="18" t="e">
        <f t="shared" si="42"/>
        <v>#DIV/0!</v>
      </c>
    </row>
    <row r="311" spans="1:40" hidden="1" x14ac:dyDescent="0.3">
      <c r="A311" s="11">
        <v>45966</v>
      </c>
      <c r="B311" s="6"/>
      <c r="C311" s="6"/>
      <c r="D311" s="7">
        <v>3.7428142774668743E-2</v>
      </c>
      <c r="E311" s="6"/>
      <c r="F311" s="11">
        <v>46330</v>
      </c>
      <c r="G311" s="6">
        <v>8348214.742908692</v>
      </c>
      <c r="H311" s="6">
        <f t="shared" si="37"/>
        <v>3283824.0172949885</v>
      </c>
      <c r="I311" s="6">
        <f t="shared" si="38"/>
        <v>763104.92409004527</v>
      </c>
      <c r="J311" s="6">
        <v>4794794</v>
      </c>
      <c r="K311" s="6"/>
      <c r="L311" s="6">
        <v>47206.896551724116</v>
      </c>
      <c r="M311" s="6"/>
      <c r="N311" s="6">
        <v>52913</v>
      </c>
      <c r="O311" s="6"/>
      <c r="P311" s="6">
        <v>9080</v>
      </c>
      <c r="Q311" s="6"/>
      <c r="R311" s="6">
        <v>121112</v>
      </c>
      <c r="S311" s="6"/>
      <c r="T311" s="6">
        <v>807271</v>
      </c>
      <c r="U311" s="6"/>
      <c r="V311" s="6">
        <v>136768</v>
      </c>
      <c r="W311" s="6"/>
      <c r="X311" s="6">
        <v>42494</v>
      </c>
      <c r="Y311" s="6"/>
      <c r="Z311" s="6">
        <v>12012</v>
      </c>
      <c r="AA311" s="6"/>
      <c r="AB311" s="6">
        <v>7310.9310344827591</v>
      </c>
      <c r="AC311" s="6"/>
      <c r="AD311" s="6">
        <v>0</v>
      </c>
      <c r="AE311" s="6"/>
      <c r="AF311" s="8">
        <v>4402.6676998166404</v>
      </c>
      <c r="AG311" s="8">
        <v>18300.543237568367</v>
      </c>
      <c r="AH311" s="9" t="e">
        <f>+SUM([1]!Tabla2[[#This Row],[Web + APP 2026]:[Shein]])</f>
        <v>#REF!</v>
      </c>
      <c r="AI311" s="7"/>
      <c r="AJ311" s="9"/>
      <c r="AK311" s="21" t="e">
        <f t="shared" si="39"/>
        <v>#REF!</v>
      </c>
      <c r="AL311" s="21" t="e">
        <f t="shared" si="40"/>
        <v>#DIV/0!</v>
      </c>
      <c r="AM311" s="18" t="e">
        <f t="shared" si="41"/>
        <v>#REF!</v>
      </c>
      <c r="AN311" s="18" t="e">
        <f t="shared" si="42"/>
        <v>#DIV/0!</v>
      </c>
    </row>
    <row r="312" spans="1:40" hidden="1" x14ac:dyDescent="0.3">
      <c r="A312" s="11">
        <v>45967</v>
      </c>
      <c r="B312" s="6"/>
      <c r="C312" s="6"/>
      <c r="D312" s="7">
        <v>3.7516446311007826E-2</v>
      </c>
      <c r="E312" s="6"/>
      <c r="F312" s="11">
        <v>46331</v>
      </c>
      <c r="G312" s="6">
        <v>8367910.5340772513</v>
      </c>
      <c r="H312" s="6">
        <f t="shared" si="37"/>
        <v>3291571.4835582254</v>
      </c>
      <c r="I312" s="6">
        <f t="shared" si="38"/>
        <v>764905.30365471134</v>
      </c>
      <c r="J312" s="6">
        <v>3788708</v>
      </c>
      <c r="K312" s="6"/>
      <c r="L312" s="6">
        <v>42858.620689655145</v>
      </c>
      <c r="M312" s="6"/>
      <c r="N312" s="6">
        <v>75396</v>
      </c>
      <c r="O312" s="6"/>
      <c r="P312" s="6">
        <v>1642</v>
      </c>
      <c r="Q312" s="6"/>
      <c r="R312" s="6">
        <v>128834</v>
      </c>
      <c r="S312" s="6"/>
      <c r="T312" s="6">
        <v>597718</v>
      </c>
      <c r="U312" s="6"/>
      <c r="V312" s="6">
        <v>113410</v>
      </c>
      <c r="W312" s="6"/>
      <c r="X312" s="6">
        <v>31381</v>
      </c>
      <c r="Y312" s="6"/>
      <c r="Z312" s="6">
        <v>18407</v>
      </c>
      <c r="AA312" s="6"/>
      <c r="AB312" s="6">
        <v>7744.0603448275879</v>
      </c>
      <c r="AC312" s="6"/>
      <c r="AD312" s="6">
        <v>0</v>
      </c>
      <c r="AE312" s="6"/>
      <c r="AF312" s="8">
        <v>4413.0548336255561</v>
      </c>
      <c r="AG312" s="8">
        <v>18343.719376297253</v>
      </c>
      <c r="AH312" s="9" t="e">
        <f>+SUM([1]!Tabla2[[#This Row],[Web + APP 2026]:[Shein]])</f>
        <v>#REF!</v>
      </c>
      <c r="AI312" s="7"/>
      <c r="AJ312" s="9"/>
      <c r="AK312" s="21" t="e">
        <f t="shared" si="39"/>
        <v>#REF!</v>
      </c>
      <c r="AL312" s="21" t="e">
        <f t="shared" si="40"/>
        <v>#DIV/0!</v>
      </c>
      <c r="AM312" s="18" t="e">
        <f t="shared" si="41"/>
        <v>#REF!</v>
      </c>
      <c r="AN312" s="18" t="e">
        <f t="shared" si="42"/>
        <v>#DIV/0!</v>
      </c>
    </row>
    <row r="313" spans="1:40" hidden="1" x14ac:dyDescent="0.3">
      <c r="A313" s="11">
        <v>45968</v>
      </c>
      <c r="B313" s="6"/>
      <c r="C313" s="6"/>
      <c r="D313" s="7">
        <v>3.1139432333446033E-2</v>
      </c>
      <c r="E313" s="6"/>
      <c r="F313" s="11">
        <v>46332</v>
      </c>
      <c r="G313" s="6">
        <v>6945540.1422648476</v>
      </c>
      <c r="H313" s="6">
        <f t="shared" si="37"/>
        <v>2732072.9323152271</v>
      </c>
      <c r="I313" s="6">
        <f t="shared" si="38"/>
        <v>634887.34373173141</v>
      </c>
      <c r="J313" s="6">
        <v>3647018</v>
      </c>
      <c r="K313" s="6"/>
      <c r="L313" s="6">
        <v>44673.275862068956</v>
      </c>
      <c r="M313" s="6"/>
      <c r="N313" s="6">
        <v>12603</v>
      </c>
      <c r="O313" s="6"/>
      <c r="P313" s="6">
        <v>6822</v>
      </c>
      <c r="Q313" s="6"/>
      <c r="R313" s="6">
        <v>111646</v>
      </c>
      <c r="S313" s="6"/>
      <c r="T313" s="6">
        <v>548934</v>
      </c>
      <c r="U313" s="6"/>
      <c r="V313" s="6">
        <v>88083</v>
      </c>
      <c r="W313" s="6"/>
      <c r="X313" s="6">
        <v>26380</v>
      </c>
      <c r="Y313" s="6"/>
      <c r="Z313" s="6">
        <v>13005</v>
      </c>
      <c r="AA313" s="6"/>
      <c r="AB313" s="6">
        <v>13850.732758620694</v>
      </c>
      <c r="AC313" s="6"/>
      <c r="AD313" s="6">
        <v>0</v>
      </c>
      <c r="AE313" s="6"/>
      <c r="AF313" s="8">
        <v>3662.92748615556</v>
      </c>
      <c r="AG313" s="8">
        <v>15225.669391141921</v>
      </c>
      <c r="AH313" s="9" t="e">
        <f>+SUM([1]!Tabla2[[#This Row],[Web + APP 2026]:[Shein]])</f>
        <v>#REF!</v>
      </c>
      <c r="AI313" s="7"/>
      <c r="AJ313" s="9"/>
      <c r="AK313" s="21" t="e">
        <f t="shared" si="39"/>
        <v>#REF!</v>
      </c>
      <c r="AL313" s="21" t="e">
        <f t="shared" si="40"/>
        <v>#DIV/0!</v>
      </c>
      <c r="AM313" s="18" t="e">
        <f t="shared" si="41"/>
        <v>#REF!</v>
      </c>
      <c r="AN313" s="18" t="e">
        <f t="shared" si="42"/>
        <v>#DIV/0!</v>
      </c>
    </row>
    <row r="314" spans="1:40" hidden="1" x14ac:dyDescent="0.3">
      <c r="A314" s="11">
        <v>45969</v>
      </c>
      <c r="B314" s="6"/>
      <c r="C314" s="6"/>
      <c r="D314" s="7">
        <v>3.0827755581281858E-2</v>
      </c>
      <c r="E314" s="6"/>
      <c r="F314" s="11">
        <v>46333</v>
      </c>
      <c r="G314" s="6">
        <v>6876021.7460915847</v>
      </c>
      <c r="H314" s="6">
        <f t="shared" si="37"/>
        <v>2704727.4236013424</v>
      </c>
      <c r="I314" s="6">
        <f t="shared" si="38"/>
        <v>628532.71198489936</v>
      </c>
      <c r="J314" s="6">
        <v>3186164</v>
      </c>
      <c r="K314" s="6"/>
      <c r="L314" s="6">
        <v>55446.551724137913</v>
      </c>
      <c r="M314" s="6"/>
      <c r="N314" s="6">
        <v>74700</v>
      </c>
      <c r="O314" s="6"/>
      <c r="P314" s="6">
        <v>1403</v>
      </c>
      <c r="Q314" s="6"/>
      <c r="R314" s="6">
        <v>56983</v>
      </c>
      <c r="S314" s="6"/>
      <c r="T314" s="6">
        <v>714555</v>
      </c>
      <c r="U314" s="6"/>
      <c r="V314" s="6">
        <v>94071</v>
      </c>
      <c r="W314" s="6"/>
      <c r="X314" s="6">
        <v>34042</v>
      </c>
      <c r="Y314" s="6"/>
      <c r="Z314" s="6">
        <v>8377</v>
      </c>
      <c r="AA314" s="6"/>
      <c r="AB314" s="6">
        <v>1140.6465517241381</v>
      </c>
      <c r="AC314" s="6"/>
      <c r="AD314" s="6">
        <v>0</v>
      </c>
      <c r="AE314" s="6"/>
      <c r="AF314" s="8">
        <v>3626.2649892264931</v>
      </c>
      <c r="AG314" s="8">
        <v>15073.274603255579</v>
      </c>
      <c r="AH314" s="9" t="e">
        <f>+SUM([1]!Tabla2[[#This Row],[Web + APP 2026]:[Shein]])</f>
        <v>#REF!</v>
      </c>
      <c r="AI314" s="7"/>
      <c r="AJ314" s="9"/>
      <c r="AK314" s="21" t="e">
        <f t="shared" si="39"/>
        <v>#REF!</v>
      </c>
      <c r="AL314" s="21" t="e">
        <f t="shared" si="40"/>
        <v>#DIV/0!</v>
      </c>
      <c r="AM314" s="18" t="e">
        <f t="shared" si="41"/>
        <v>#REF!</v>
      </c>
      <c r="AN314" s="18" t="e">
        <f t="shared" si="42"/>
        <v>#DIV/0!</v>
      </c>
    </row>
    <row r="315" spans="1:40" hidden="1" x14ac:dyDescent="0.3">
      <c r="A315" s="11">
        <v>45970</v>
      </c>
      <c r="B315" s="6"/>
      <c r="C315" s="6"/>
      <c r="D315" s="7">
        <v>3.0139150839684763E-2</v>
      </c>
      <c r="E315" s="6"/>
      <c r="F315" s="11">
        <v>46334</v>
      </c>
      <c r="G315" s="6">
        <v>6722430.8962744698</v>
      </c>
      <c r="H315" s="6">
        <f t="shared" si="37"/>
        <v>2644311.4739643713</v>
      </c>
      <c r="I315" s="6">
        <f t="shared" si="38"/>
        <v>614493.07148689055</v>
      </c>
      <c r="J315" s="6">
        <v>2924037</v>
      </c>
      <c r="K315" s="6"/>
      <c r="L315" s="6">
        <v>54995.689655172391</v>
      </c>
      <c r="M315" s="6"/>
      <c r="N315" s="6">
        <v>1732</v>
      </c>
      <c r="O315" s="6"/>
      <c r="P315" s="6">
        <v>3073</v>
      </c>
      <c r="Q315" s="6"/>
      <c r="R315" s="6">
        <v>199350</v>
      </c>
      <c r="S315" s="6"/>
      <c r="T315" s="6">
        <v>711297</v>
      </c>
      <c r="U315" s="6"/>
      <c r="V315" s="6">
        <v>107725</v>
      </c>
      <c r="W315" s="6"/>
      <c r="X315" s="6">
        <v>34480</v>
      </c>
      <c r="Y315" s="6"/>
      <c r="Z315" s="6">
        <v>17056</v>
      </c>
      <c r="AA315" s="6"/>
      <c r="AB315" s="6">
        <v>1686.5344827586209</v>
      </c>
      <c r="AC315" s="6"/>
      <c r="AD315" s="6">
        <v>1808.6206896551726</v>
      </c>
      <c r="AE315" s="6"/>
      <c r="AF315" s="8">
        <v>3545.2645005829063</v>
      </c>
      <c r="AG315" s="8">
        <v>14736.580342921585</v>
      </c>
      <c r="AH315" s="9" t="e">
        <f>+SUM([1]!Tabla2[[#This Row],[Web + APP 2026]:[Shein]])</f>
        <v>#REF!</v>
      </c>
      <c r="AI315" s="7"/>
      <c r="AJ315" s="9"/>
      <c r="AK315" s="21" t="e">
        <f t="shared" si="39"/>
        <v>#REF!</v>
      </c>
      <c r="AL315" s="21" t="e">
        <f t="shared" si="40"/>
        <v>#DIV/0!</v>
      </c>
      <c r="AM315" s="18" t="e">
        <f t="shared" si="41"/>
        <v>#REF!</v>
      </c>
      <c r="AN315" s="18" t="e">
        <f t="shared" si="42"/>
        <v>#DIV/0!</v>
      </c>
    </row>
    <row r="316" spans="1:40" hidden="1" x14ac:dyDescent="0.3">
      <c r="A316" s="11">
        <v>45971</v>
      </c>
      <c r="B316" s="6"/>
      <c r="C316" s="6"/>
      <c r="D316" s="7">
        <v>2.800980285023737E-2</v>
      </c>
      <c r="E316" s="6"/>
      <c r="F316" s="11">
        <v>46335</v>
      </c>
      <c r="G316" s="6">
        <v>6247487.3655385925</v>
      </c>
      <c r="H316" s="6">
        <f t="shared" si="37"/>
        <v>2457489.3783283951</v>
      </c>
      <c r="I316" s="6">
        <f t="shared" si="38"/>
        <v>571078.78973555868</v>
      </c>
      <c r="J316" s="6">
        <v>5697624</v>
      </c>
      <c r="K316" s="6"/>
      <c r="L316" s="6">
        <v>67562.068965517217</v>
      </c>
      <c r="M316" s="6"/>
      <c r="N316" s="6">
        <v>81533</v>
      </c>
      <c r="O316" s="6"/>
      <c r="P316" s="6">
        <v>4644</v>
      </c>
      <c r="Q316" s="6"/>
      <c r="R316" s="6">
        <v>102759</v>
      </c>
      <c r="S316" s="6"/>
      <c r="T316" s="6">
        <v>901540</v>
      </c>
      <c r="U316" s="6"/>
      <c r="V316" s="6">
        <v>162599</v>
      </c>
      <c r="W316" s="6"/>
      <c r="X316" s="6">
        <v>39109</v>
      </c>
      <c r="Y316" s="6"/>
      <c r="Z316" s="6">
        <v>22528</v>
      </c>
      <c r="AA316" s="6"/>
      <c r="AB316" s="6">
        <v>35709.181034482775</v>
      </c>
      <c r="AC316" s="6"/>
      <c r="AD316" s="6">
        <v>1636.2068965517242</v>
      </c>
      <c r="AE316" s="6"/>
      <c r="AF316" s="8">
        <v>3294.7895659528508</v>
      </c>
      <c r="AG316" s="8">
        <v>13695.432638016366</v>
      </c>
      <c r="AH316" s="9" t="e">
        <f>+SUM([1]!Tabla2[[#This Row],[Web + APP 2026]:[Shein]])</f>
        <v>#REF!</v>
      </c>
      <c r="AI316" s="7"/>
      <c r="AJ316" s="9"/>
      <c r="AK316" s="21" t="e">
        <f t="shared" si="39"/>
        <v>#REF!</v>
      </c>
      <c r="AL316" s="21" t="e">
        <f t="shared" si="40"/>
        <v>#DIV/0!</v>
      </c>
      <c r="AM316" s="18" t="e">
        <f t="shared" si="41"/>
        <v>#REF!</v>
      </c>
      <c r="AN316" s="18" t="e">
        <f t="shared" si="42"/>
        <v>#DIV/0!</v>
      </c>
    </row>
    <row r="317" spans="1:40" hidden="1" x14ac:dyDescent="0.3">
      <c r="A317" s="11">
        <v>45972</v>
      </c>
      <c r="B317" s="6"/>
      <c r="C317" s="6"/>
      <c r="D317" s="7">
        <v>4.1079088805973434E-2</v>
      </c>
      <c r="E317" s="6"/>
      <c r="F317" s="11">
        <v>46336</v>
      </c>
      <c r="G317" s="6">
        <v>9162545.3301247321</v>
      </c>
      <c r="H317" s="6">
        <f t="shared" si="37"/>
        <v>3604146.1966674663</v>
      </c>
      <c r="I317" s="6">
        <f t="shared" si="38"/>
        <v>837542.35773051996</v>
      </c>
      <c r="J317" s="6">
        <v>5483822</v>
      </c>
      <c r="K317" s="6"/>
      <c r="L317" s="6">
        <v>68879.310344827551</v>
      </c>
      <c r="M317" s="6"/>
      <c r="N317" s="6">
        <v>48671</v>
      </c>
      <c r="O317" s="6"/>
      <c r="P317" s="6">
        <v>3768</v>
      </c>
      <c r="Q317" s="6"/>
      <c r="R317" s="6">
        <v>118531</v>
      </c>
      <c r="S317" s="6"/>
      <c r="T317" s="6">
        <v>1226151</v>
      </c>
      <c r="U317" s="6"/>
      <c r="V317" s="6">
        <v>160872</v>
      </c>
      <c r="W317" s="6"/>
      <c r="X317" s="6">
        <v>41738</v>
      </c>
      <c r="Y317" s="6"/>
      <c r="Z317" s="6">
        <v>20120</v>
      </c>
      <c r="AA317" s="6"/>
      <c r="AB317" s="6">
        <v>13470.439655172415</v>
      </c>
      <c r="AC317" s="6"/>
      <c r="AD317" s="6">
        <v>1981.0344827586209</v>
      </c>
      <c r="AE317" s="6"/>
      <c r="AF317" s="8">
        <v>4832.128019623844</v>
      </c>
      <c r="AG317" s="8">
        <v>20085.67845269691</v>
      </c>
      <c r="AH317" s="9" t="e">
        <f>+SUM([1]!Tabla2[[#This Row],[Web + APP 2026]:[Shein]])</f>
        <v>#REF!</v>
      </c>
      <c r="AI317" s="7"/>
      <c r="AJ317" s="9"/>
      <c r="AK317" s="21" t="e">
        <f t="shared" si="39"/>
        <v>#REF!</v>
      </c>
      <c r="AL317" s="21" t="e">
        <f t="shared" si="40"/>
        <v>#DIV/0!</v>
      </c>
      <c r="AM317" s="18" t="e">
        <f t="shared" si="41"/>
        <v>#REF!</v>
      </c>
      <c r="AN317" s="18" t="e">
        <f t="shared" si="42"/>
        <v>#DIV/0!</v>
      </c>
    </row>
    <row r="318" spans="1:40" hidden="1" x14ac:dyDescent="0.3">
      <c r="A318" s="11">
        <v>45973</v>
      </c>
      <c r="B318" s="6"/>
      <c r="C318" s="6"/>
      <c r="D318" s="7">
        <v>4.3078290537424971E-2</v>
      </c>
      <c r="E318" s="6"/>
      <c r="F318" s="11">
        <v>46337</v>
      </c>
      <c r="G318" s="6">
        <v>9608460.1987579651</v>
      </c>
      <c r="H318" s="6">
        <f t="shared" si="37"/>
        <v>3779549.6811706163</v>
      </c>
      <c r="I318" s="6">
        <f t="shared" si="38"/>
        <v>878303.1482058767</v>
      </c>
      <c r="J318" s="6">
        <v>4822707</v>
      </c>
      <c r="K318" s="6"/>
      <c r="L318" s="6">
        <v>67868.10344827584</v>
      </c>
      <c r="M318" s="6"/>
      <c r="N318" s="6">
        <v>98985</v>
      </c>
      <c r="O318" s="6"/>
      <c r="P318" s="6">
        <v>4095</v>
      </c>
      <c r="Q318" s="6"/>
      <c r="R318" s="6">
        <v>144514</v>
      </c>
      <c r="S318" s="6"/>
      <c r="T318" s="6">
        <v>868042</v>
      </c>
      <c r="U318" s="6"/>
      <c r="V318" s="6">
        <v>187197</v>
      </c>
      <c r="W318" s="6"/>
      <c r="X318" s="6">
        <v>46378</v>
      </c>
      <c r="Y318" s="6"/>
      <c r="Z318" s="6">
        <v>28094</v>
      </c>
      <c r="AA318" s="6"/>
      <c r="AB318" s="6">
        <v>6544.6379310344837</v>
      </c>
      <c r="AC318" s="6"/>
      <c r="AD318" s="6">
        <v>0</v>
      </c>
      <c r="AE318" s="6"/>
      <c r="AF318" s="8">
        <v>5067.293866389723</v>
      </c>
      <c r="AG318" s="8">
        <v>21063.190961060322</v>
      </c>
      <c r="AH318" s="9" t="e">
        <f>+SUM([1]!Tabla2[[#This Row],[Web + APP 2026]:[Shein]])</f>
        <v>#REF!</v>
      </c>
      <c r="AI318" s="7"/>
      <c r="AJ318" s="9"/>
      <c r="AK318" s="21" t="e">
        <f t="shared" si="39"/>
        <v>#REF!</v>
      </c>
      <c r="AL318" s="21" t="e">
        <f t="shared" si="40"/>
        <v>#DIV/0!</v>
      </c>
      <c r="AM318" s="18" t="e">
        <f t="shared" si="41"/>
        <v>#REF!</v>
      </c>
      <c r="AN318" s="18" t="e">
        <f t="shared" si="42"/>
        <v>#DIV/0!</v>
      </c>
    </row>
    <row r="319" spans="1:40" hidden="1" x14ac:dyDescent="0.3">
      <c r="A319" s="11">
        <v>45974</v>
      </c>
      <c r="B319" s="6"/>
      <c r="C319" s="6"/>
      <c r="D319" s="7">
        <v>5.0755978329744815E-2</v>
      </c>
      <c r="E319" s="6"/>
      <c r="F319" s="11">
        <v>46338</v>
      </c>
      <c r="G319" s="6">
        <v>11320941.280311227</v>
      </c>
      <c r="H319" s="6">
        <f t="shared" si="37"/>
        <v>4453165.1400380004</v>
      </c>
      <c r="I319" s="6">
        <f t="shared" si="38"/>
        <v>1034839.9391232871</v>
      </c>
      <c r="J319" s="6">
        <v>5687818</v>
      </c>
      <c r="K319" s="6"/>
      <c r="L319" s="6">
        <v>65544.827586206869</v>
      </c>
      <c r="M319" s="6"/>
      <c r="N319" s="6">
        <v>82830</v>
      </c>
      <c r="O319" s="6"/>
      <c r="P319" s="6">
        <v>4235</v>
      </c>
      <c r="Q319" s="6"/>
      <c r="R319" s="6">
        <v>151626</v>
      </c>
      <c r="S319" s="6"/>
      <c r="T319" s="6">
        <v>1184601</v>
      </c>
      <c r="U319" s="6"/>
      <c r="V319" s="6">
        <v>265899</v>
      </c>
      <c r="W319" s="6"/>
      <c r="X319" s="6">
        <v>62519</v>
      </c>
      <c r="Y319" s="6"/>
      <c r="Z319" s="6">
        <v>25374</v>
      </c>
      <c r="AA319" s="6"/>
      <c r="AB319" s="6">
        <v>2707.9568965517246</v>
      </c>
      <c r="AC319" s="6"/>
      <c r="AD319" s="6">
        <v>3875</v>
      </c>
      <c r="AE319" s="6"/>
      <c r="AF319" s="8">
        <v>5970.4193101507326</v>
      </c>
      <c r="AG319" s="8">
        <v>24817.207243775643</v>
      </c>
      <c r="AH319" s="9" t="e">
        <f>+SUM([1]!Tabla2[[#This Row],[Web + APP 2026]:[Shein]])</f>
        <v>#REF!</v>
      </c>
      <c r="AI319" s="7"/>
      <c r="AJ319" s="9"/>
      <c r="AK319" s="21" t="e">
        <f t="shared" si="39"/>
        <v>#REF!</v>
      </c>
      <c r="AL319" s="21" t="e">
        <f t="shared" si="40"/>
        <v>#DIV/0!</v>
      </c>
      <c r="AM319" s="18" t="e">
        <f t="shared" si="41"/>
        <v>#REF!</v>
      </c>
      <c r="AN319" s="18" t="e">
        <f t="shared" si="42"/>
        <v>#DIV/0!</v>
      </c>
    </row>
    <row r="320" spans="1:40" hidden="1" x14ac:dyDescent="0.3">
      <c r="A320" s="11">
        <v>45975</v>
      </c>
      <c r="B320" s="6"/>
      <c r="C320" s="6"/>
      <c r="D320" s="7">
        <v>4.2712080849298117E-2</v>
      </c>
      <c r="E320" s="6"/>
      <c r="F320" s="11">
        <v>46339</v>
      </c>
      <c r="G320" s="6">
        <v>9526778.424275538</v>
      </c>
      <c r="H320" s="6">
        <f t="shared" si="37"/>
        <v>3747419.629287546</v>
      </c>
      <c r="I320" s="6">
        <f t="shared" si="38"/>
        <v>870836.66989458271</v>
      </c>
      <c r="J320" s="6">
        <v>5897136</v>
      </c>
      <c r="K320" s="6"/>
      <c r="L320" s="6">
        <v>73120.689655172377</v>
      </c>
      <c r="M320" s="6"/>
      <c r="N320" s="6">
        <v>58945</v>
      </c>
      <c r="O320" s="6"/>
      <c r="P320" s="6">
        <v>7484</v>
      </c>
      <c r="Q320" s="6"/>
      <c r="R320" s="6">
        <v>211561</v>
      </c>
      <c r="S320" s="6"/>
      <c r="T320" s="6">
        <v>1342849</v>
      </c>
      <c r="U320" s="6"/>
      <c r="V320" s="6">
        <v>347316</v>
      </c>
      <c r="W320" s="6"/>
      <c r="X320" s="6">
        <v>17568</v>
      </c>
      <c r="Y320" s="6"/>
      <c r="Z320" s="6">
        <v>34059</v>
      </c>
      <c r="AA320" s="6"/>
      <c r="AB320" s="6">
        <v>18479.525862068964</v>
      </c>
      <c r="AC320" s="6"/>
      <c r="AD320" s="6">
        <v>2669.8275862068967</v>
      </c>
      <c r="AE320" s="6"/>
      <c r="AF320" s="8">
        <v>5024.2166671019395</v>
      </c>
      <c r="AG320" s="8">
        <v>20884.132217164602</v>
      </c>
      <c r="AH320" s="9" t="e">
        <f>+SUM([1]!Tabla2[[#This Row],[Web + APP 2026]:[Shein]])</f>
        <v>#REF!</v>
      </c>
      <c r="AI320" s="7"/>
      <c r="AJ320" s="9"/>
      <c r="AK320" s="21" t="e">
        <f t="shared" si="39"/>
        <v>#REF!</v>
      </c>
      <c r="AL320" s="21" t="e">
        <f t="shared" si="40"/>
        <v>#DIV/0!</v>
      </c>
      <c r="AM320" s="18" t="e">
        <f t="shared" si="41"/>
        <v>#REF!</v>
      </c>
      <c r="AN320" s="18" t="e">
        <f t="shared" si="42"/>
        <v>#DIV/0!</v>
      </c>
    </row>
    <row r="321" spans="1:40" hidden="1" x14ac:dyDescent="0.3">
      <c r="A321" s="11">
        <v>45976</v>
      </c>
      <c r="B321" s="6"/>
      <c r="C321" s="6"/>
      <c r="D321" s="7">
        <v>3.6089869031708702E-2</v>
      </c>
      <c r="E321" s="6"/>
      <c r="F321" s="11">
        <v>46340</v>
      </c>
      <c r="G321" s="6">
        <v>8049717.5222935155</v>
      </c>
      <c r="H321" s="6">
        <f t="shared" si="37"/>
        <v>3166408.213756328</v>
      </c>
      <c r="I321" s="6">
        <f t="shared" si="38"/>
        <v>735819.48571867088</v>
      </c>
      <c r="J321" s="6">
        <v>4408030</v>
      </c>
      <c r="K321" s="6"/>
      <c r="L321" s="6">
        <v>69456.034482758594</v>
      </c>
      <c r="M321" s="6"/>
      <c r="N321" s="6">
        <v>25308</v>
      </c>
      <c r="O321" s="6"/>
      <c r="P321" s="6">
        <v>1153</v>
      </c>
      <c r="Q321" s="6"/>
      <c r="R321" s="6">
        <v>256816</v>
      </c>
      <c r="S321" s="6"/>
      <c r="T321" s="6">
        <v>1108972</v>
      </c>
      <c r="U321" s="6"/>
      <c r="V321" s="6">
        <v>362812</v>
      </c>
      <c r="W321" s="6"/>
      <c r="X321" s="6">
        <v>-2259</v>
      </c>
      <c r="Y321" s="6"/>
      <c r="Z321" s="6">
        <v>12703</v>
      </c>
      <c r="AA321" s="6"/>
      <c r="AB321" s="6">
        <v>3562.4913793103451</v>
      </c>
      <c r="AC321" s="6"/>
      <c r="AD321" s="6">
        <v>4047.4137931034484</v>
      </c>
      <c r="AE321" s="6"/>
      <c r="AF321" s="8">
        <v>4245.2467287277259</v>
      </c>
      <c r="AG321" s="8">
        <v>17646.192402043653</v>
      </c>
      <c r="AH321" s="9" t="e">
        <f>+SUM([1]!Tabla2[[#This Row],[Web + APP 2026]:[Shein]])</f>
        <v>#REF!</v>
      </c>
      <c r="AI321" s="7"/>
      <c r="AJ321" s="9"/>
      <c r="AK321" s="21" t="e">
        <f t="shared" si="39"/>
        <v>#REF!</v>
      </c>
      <c r="AL321" s="21" t="e">
        <f t="shared" si="40"/>
        <v>#DIV/0!</v>
      </c>
      <c r="AM321" s="18" t="e">
        <f t="shared" si="41"/>
        <v>#REF!</v>
      </c>
      <c r="AN321" s="18" t="e">
        <f t="shared" si="42"/>
        <v>#DIV/0!</v>
      </c>
    </row>
    <row r="322" spans="1:40" hidden="1" x14ac:dyDescent="0.3">
      <c r="A322" s="11">
        <v>45977</v>
      </c>
      <c r="B322" s="6"/>
      <c r="C322" s="6"/>
      <c r="D322" s="7">
        <v>3.8280518071415415E-2</v>
      </c>
      <c r="E322" s="6"/>
      <c r="F322" s="11">
        <v>46341</v>
      </c>
      <c r="G322" s="6">
        <v>8538334.0352719687</v>
      </c>
      <c r="H322" s="6">
        <f t="shared" si="37"/>
        <v>3358608.6649879552</v>
      </c>
      <c r="I322" s="6">
        <f t="shared" si="38"/>
        <v>780483.60595614952</v>
      </c>
      <c r="J322" s="6">
        <v>4732740</v>
      </c>
      <c r="K322" s="6"/>
      <c r="L322" s="6">
        <v>78706.896551724101</v>
      </c>
      <c r="M322" s="6"/>
      <c r="N322" s="6">
        <v>23936</v>
      </c>
      <c r="O322" s="6"/>
      <c r="P322" s="6">
        <v>4170</v>
      </c>
      <c r="Q322" s="6"/>
      <c r="R322" s="6">
        <v>281033</v>
      </c>
      <c r="S322" s="6"/>
      <c r="T322" s="6">
        <v>434970</v>
      </c>
      <c r="U322" s="6"/>
      <c r="V322" s="6">
        <v>457126</v>
      </c>
      <c r="W322" s="6"/>
      <c r="X322" s="6">
        <v>158214</v>
      </c>
      <c r="Y322" s="6"/>
      <c r="Z322" s="6">
        <v>13795</v>
      </c>
      <c r="AA322" s="6"/>
      <c r="AB322" s="6">
        <v>1069.9482758620691</v>
      </c>
      <c r="AC322" s="6"/>
      <c r="AD322" s="6">
        <v>1722.4137931034484</v>
      </c>
      <c r="AE322" s="6"/>
      <c r="AF322" s="8">
        <v>4502.9324981450263</v>
      </c>
      <c r="AG322" s="8">
        <v>18717.31334199644</v>
      </c>
      <c r="AH322" s="9" t="e">
        <f>+SUM([1]!Tabla2[[#This Row],[Web + APP 2026]:[Shein]])</f>
        <v>#REF!</v>
      </c>
      <c r="AI322" s="7"/>
      <c r="AJ322" s="9"/>
      <c r="AK322" s="21" t="e">
        <f t="shared" si="39"/>
        <v>#REF!</v>
      </c>
      <c r="AL322" s="21" t="e">
        <f t="shared" si="40"/>
        <v>#DIV/0!</v>
      </c>
      <c r="AM322" s="18" t="e">
        <f t="shared" si="41"/>
        <v>#REF!</v>
      </c>
      <c r="AN322" s="18" t="e">
        <f t="shared" si="42"/>
        <v>#DIV/0!</v>
      </c>
    </row>
    <row r="323" spans="1:40" hidden="1" x14ac:dyDescent="0.3">
      <c r="A323" s="11">
        <v>45978</v>
      </c>
      <c r="B323" s="6"/>
      <c r="C323" s="6"/>
      <c r="D323" s="7">
        <v>5.8617868240297355E-2</v>
      </c>
      <c r="E323" s="6"/>
      <c r="F323" s="11">
        <v>46342</v>
      </c>
      <c r="G323" s="6">
        <v>13074507.992224591</v>
      </c>
      <c r="H323" s="6">
        <f t="shared" si="37"/>
        <v>5142941.8961284598</v>
      </c>
      <c r="I323" s="6">
        <f t="shared" si="38"/>
        <v>1195132.3410069547</v>
      </c>
      <c r="J323" s="6">
        <v>7301102</v>
      </c>
      <c r="K323" s="6"/>
      <c r="L323" s="6">
        <v>73426.724137931</v>
      </c>
      <c r="M323" s="6"/>
      <c r="N323" s="6">
        <v>16174</v>
      </c>
      <c r="O323" s="6"/>
      <c r="P323" s="6">
        <v>2385</v>
      </c>
      <c r="Q323" s="6"/>
      <c r="R323" s="6">
        <v>159658</v>
      </c>
      <c r="S323" s="6"/>
      <c r="T323" s="6">
        <v>1473035</v>
      </c>
      <c r="U323" s="6"/>
      <c r="V323" s="6">
        <v>390070</v>
      </c>
      <c r="W323" s="6"/>
      <c r="X323" s="6">
        <v>88451</v>
      </c>
      <c r="Y323" s="6"/>
      <c r="Z323" s="6">
        <v>106398</v>
      </c>
      <c r="AA323" s="6"/>
      <c r="AB323" s="6">
        <v>886.62068965517255</v>
      </c>
      <c r="AC323" s="6"/>
      <c r="AD323" s="6">
        <v>3702.5862068965516</v>
      </c>
      <c r="AE323" s="6"/>
      <c r="AF323" s="8">
        <v>6895.2124257773557</v>
      </c>
      <c r="AG323" s="8">
        <v>28661.289412192629</v>
      </c>
      <c r="AH323" s="9" t="e">
        <f>+SUM([1]!Tabla2[[#This Row],[Web + APP 2026]:[Shein]])</f>
        <v>#REF!</v>
      </c>
      <c r="AI323" s="7"/>
      <c r="AJ323" s="9"/>
      <c r="AK323" s="21" t="e">
        <f t="shared" si="39"/>
        <v>#REF!</v>
      </c>
      <c r="AL323" s="21" t="e">
        <f t="shared" si="40"/>
        <v>#DIV/0!</v>
      </c>
      <c r="AM323" s="18" t="e">
        <f t="shared" si="41"/>
        <v>#REF!</v>
      </c>
      <c r="AN323" s="18" t="e">
        <f t="shared" si="42"/>
        <v>#DIV/0!</v>
      </c>
    </row>
    <row r="324" spans="1:40" hidden="1" x14ac:dyDescent="0.3">
      <c r="A324" s="11">
        <v>45979</v>
      </c>
      <c r="B324" s="6"/>
      <c r="C324" s="6"/>
      <c r="D324" s="7">
        <v>3.7305305316792089E-2</v>
      </c>
      <c r="E324" s="6"/>
      <c r="F324" s="11">
        <v>46343</v>
      </c>
      <c r="G324" s="6">
        <v>8320816.2827980462</v>
      </c>
      <c r="H324" s="6">
        <f t="shared" ref="H324:H368" si="43">87736761*D324</f>
        <v>3273046.656611417</v>
      </c>
      <c r="I324" s="6">
        <f t="shared" ref="I324:I368" si="44">20388533*D324</f>
        <v>760600.44852649095</v>
      </c>
      <c r="J324" s="6">
        <v>4720959</v>
      </c>
      <c r="K324" s="6"/>
      <c r="L324" s="6">
        <v>47643.965517241362</v>
      </c>
      <c r="M324" s="6"/>
      <c r="N324" s="6">
        <v>95259</v>
      </c>
      <c r="O324" s="6"/>
      <c r="P324" s="6">
        <v>-1341</v>
      </c>
      <c r="Q324" s="6"/>
      <c r="R324" s="6">
        <v>147773</v>
      </c>
      <c r="S324" s="6"/>
      <c r="T324" s="6">
        <v>932318</v>
      </c>
      <c r="U324" s="6"/>
      <c r="V324" s="6">
        <v>326265</v>
      </c>
      <c r="W324" s="6"/>
      <c r="X324" s="6">
        <v>34579</v>
      </c>
      <c r="Y324" s="6"/>
      <c r="Z324" s="6">
        <v>35129</v>
      </c>
      <c r="AA324" s="6"/>
      <c r="AB324" s="6">
        <v>5998.2672413793098</v>
      </c>
      <c r="AC324" s="6"/>
      <c r="AD324" s="6">
        <v>0</v>
      </c>
      <c r="AE324" s="6"/>
      <c r="AF324" s="8">
        <v>4388.2183451859019</v>
      </c>
      <c r="AG324" s="8">
        <v>18240.481689160839</v>
      </c>
      <c r="AH324" s="9" t="e">
        <f>+SUM([1]!Tabla2[[#This Row],[Web + APP 2026]:[Shein]])</f>
        <v>#REF!</v>
      </c>
      <c r="AI324" s="7"/>
      <c r="AJ324" s="9"/>
      <c r="AK324" s="21" t="e">
        <f t="shared" ref="AK324:AK368" si="45">+AH324/C324-1</f>
        <v>#REF!</v>
      </c>
      <c r="AL324" s="21" t="e">
        <f t="shared" ref="AL324:AL368" si="46">+C324/B324</f>
        <v>#DIV/0!</v>
      </c>
      <c r="AM324" s="18" t="e">
        <f t="shared" ref="AM324:AM368" si="47">+AH324/E324</f>
        <v>#REF!</v>
      </c>
      <c r="AN324" s="18" t="e">
        <f t="shared" ref="AN324:AN368" si="48">+E324/B324-1</f>
        <v>#DIV/0!</v>
      </c>
    </row>
    <row r="325" spans="1:40" hidden="1" x14ac:dyDescent="0.3">
      <c r="A325" s="11">
        <v>45980</v>
      </c>
      <c r="B325" s="6"/>
      <c r="C325" s="6"/>
      <c r="D325" s="7">
        <v>3.4564238109716039E-2</v>
      </c>
      <c r="E325" s="6"/>
      <c r="F325" s="11">
        <v>46344</v>
      </c>
      <c r="G325" s="6">
        <v>7709430.9461763483</v>
      </c>
      <c r="H325" s="6">
        <f t="shared" si="43"/>
        <v>3032554.2981792479</v>
      </c>
      <c r="I325" s="6">
        <f t="shared" si="44"/>
        <v>704714.10931980307</v>
      </c>
      <c r="J325" s="6">
        <v>4242519</v>
      </c>
      <c r="K325" s="6"/>
      <c r="L325" s="6">
        <v>49587.068965517217</v>
      </c>
      <c r="M325" s="6"/>
      <c r="N325" s="6">
        <v>76524</v>
      </c>
      <c r="O325" s="6"/>
      <c r="P325" s="6">
        <v>2601</v>
      </c>
      <c r="Q325" s="6"/>
      <c r="R325" s="6">
        <v>240478</v>
      </c>
      <c r="S325" s="6"/>
      <c r="T325" s="6">
        <v>1127916</v>
      </c>
      <c r="U325" s="6"/>
      <c r="V325" s="6">
        <v>278096</v>
      </c>
      <c r="W325" s="6"/>
      <c r="X325" s="6">
        <v>37316</v>
      </c>
      <c r="Y325" s="6"/>
      <c r="Z325" s="6">
        <v>34950</v>
      </c>
      <c r="AA325" s="6"/>
      <c r="AB325" s="6">
        <v>5866.3362068965525</v>
      </c>
      <c r="AC325" s="6"/>
      <c r="AD325" s="6">
        <v>4478.4482758620688</v>
      </c>
      <c r="AE325" s="6"/>
      <c r="AF325" s="8">
        <v>4065.7869563704262</v>
      </c>
      <c r="AG325" s="8">
        <v>16900.233009385942</v>
      </c>
      <c r="AH325" s="9" t="e">
        <f>+SUM([1]!Tabla2[[#This Row],[Web + APP 2026]:[Shein]])</f>
        <v>#REF!</v>
      </c>
      <c r="AI325" s="7"/>
      <c r="AJ325" s="9"/>
      <c r="AK325" s="21" t="e">
        <f t="shared" si="45"/>
        <v>#REF!</v>
      </c>
      <c r="AL325" s="21" t="e">
        <f t="shared" si="46"/>
        <v>#DIV/0!</v>
      </c>
      <c r="AM325" s="18" t="e">
        <f t="shared" si="47"/>
        <v>#REF!</v>
      </c>
      <c r="AN325" s="18" t="e">
        <f t="shared" si="48"/>
        <v>#DIV/0!</v>
      </c>
    </row>
    <row r="326" spans="1:40" hidden="1" x14ac:dyDescent="0.3">
      <c r="A326" s="11">
        <v>45981</v>
      </c>
      <c r="B326" s="6"/>
      <c r="C326" s="6"/>
      <c r="D326" s="7">
        <v>3.3099940043031094E-2</v>
      </c>
      <c r="E326" s="6"/>
      <c r="F326" s="11">
        <v>46345</v>
      </c>
      <c r="G326" s="6">
        <v>7382824.4463052051</v>
      </c>
      <c r="H326" s="6">
        <f t="shared" si="43"/>
        <v>2904081.5286697489</v>
      </c>
      <c r="I326" s="6">
        <f t="shared" si="44"/>
        <v>674859.21986536088</v>
      </c>
      <c r="J326" s="6">
        <v>3180652</v>
      </c>
      <c r="K326" s="6"/>
      <c r="L326" s="6">
        <v>40595.689655172406</v>
      </c>
      <c r="M326" s="6"/>
      <c r="N326" s="6">
        <v>49953</v>
      </c>
      <c r="O326" s="6"/>
      <c r="P326" s="6">
        <v>6804</v>
      </c>
      <c r="Q326" s="6"/>
      <c r="R326" s="6">
        <v>241917</v>
      </c>
      <c r="S326" s="6"/>
      <c r="T326" s="6">
        <v>322746</v>
      </c>
      <c r="U326" s="6"/>
      <c r="V326" s="6">
        <v>305105</v>
      </c>
      <c r="W326" s="6"/>
      <c r="X326" s="6">
        <v>24957</v>
      </c>
      <c r="Y326" s="6"/>
      <c r="Z326" s="6">
        <v>45711</v>
      </c>
      <c r="AA326" s="6"/>
      <c r="AB326" s="6">
        <v>2272.3793103448279</v>
      </c>
      <c r="AC326" s="6"/>
      <c r="AD326" s="6">
        <v>2842.2413793103451</v>
      </c>
      <c r="AE326" s="6"/>
      <c r="AF326" s="8">
        <v>3893.5417600241904</v>
      </c>
      <c r="AG326" s="8">
        <v>16184.262402899103</v>
      </c>
      <c r="AH326" s="9" t="e">
        <f>+SUM([1]!Tabla2[[#This Row],[Web + APP 2026]:[Shein]])</f>
        <v>#REF!</v>
      </c>
      <c r="AI326" s="7"/>
      <c r="AJ326" s="9"/>
      <c r="AK326" s="21" t="e">
        <f t="shared" si="45"/>
        <v>#REF!</v>
      </c>
      <c r="AL326" s="21" t="e">
        <f t="shared" si="46"/>
        <v>#DIV/0!</v>
      </c>
      <c r="AM326" s="18" t="e">
        <f t="shared" si="47"/>
        <v>#REF!</v>
      </c>
      <c r="AN326" s="18" t="e">
        <f t="shared" si="48"/>
        <v>#DIV/0!</v>
      </c>
    </row>
    <row r="327" spans="1:40" hidden="1" x14ac:dyDescent="0.3">
      <c r="A327" s="11">
        <v>45982</v>
      </c>
      <c r="B327" s="6"/>
      <c r="C327" s="6"/>
      <c r="D327" s="7">
        <v>2.6070890768506445E-2</v>
      </c>
      <c r="E327" s="6"/>
      <c r="F327" s="11">
        <v>46346</v>
      </c>
      <c r="G327" s="6">
        <v>5815019.8898383323</v>
      </c>
      <c r="H327" s="6">
        <f t="shared" si="43"/>
        <v>2287375.5124135562</v>
      </c>
      <c r="I327" s="6">
        <f t="shared" si="44"/>
        <v>531547.21677308902</v>
      </c>
      <c r="J327" s="6">
        <v>2745907</v>
      </c>
      <c r="K327" s="6"/>
      <c r="L327" s="6">
        <v>33519.827586206884</v>
      </c>
      <c r="M327" s="6"/>
      <c r="N327" s="6">
        <v>17150</v>
      </c>
      <c r="O327" s="6"/>
      <c r="P327" s="6">
        <v>7339</v>
      </c>
      <c r="Q327" s="6"/>
      <c r="R327" s="6">
        <v>206736</v>
      </c>
      <c r="S327" s="6"/>
      <c r="T327" s="6">
        <v>475176</v>
      </c>
      <c r="U327" s="6"/>
      <c r="V327" s="6">
        <v>235742</v>
      </c>
      <c r="W327" s="6"/>
      <c r="X327" s="6">
        <v>25815</v>
      </c>
      <c r="Y327" s="6"/>
      <c r="Z327" s="6">
        <v>62744</v>
      </c>
      <c r="AA327" s="6"/>
      <c r="AB327" s="6">
        <v>14709.663793103451</v>
      </c>
      <c r="AC327" s="6"/>
      <c r="AD327" s="6">
        <v>775</v>
      </c>
      <c r="AE327" s="6"/>
      <c r="AF327" s="8">
        <v>3066.7155830567931</v>
      </c>
      <c r="AG327" s="8">
        <v>12747.398838979576</v>
      </c>
      <c r="AH327" s="9" t="e">
        <f>+SUM([1]!Tabla2[[#This Row],[Web + APP 2026]:[Shein]])</f>
        <v>#REF!</v>
      </c>
      <c r="AI327" s="7"/>
      <c r="AJ327" s="9"/>
      <c r="AK327" s="21" t="e">
        <f t="shared" si="45"/>
        <v>#REF!</v>
      </c>
      <c r="AL327" s="21" t="e">
        <f t="shared" si="46"/>
        <v>#DIV/0!</v>
      </c>
      <c r="AM327" s="18" t="e">
        <f t="shared" si="47"/>
        <v>#REF!</v>
      </c>
      <c r="AN327" s="18" t="e">
        <f t="shared" si="48"/>
        <v>#DIV/0!</v>
      </c>
    </row>
    <row r="328" spans="1:40" hidden="1" x14ac:dyDescent="0.3">
      <c r="A328" s="11">
        <v>45983</v>
      </c>
      <c r="B328" s="6"/>
      <c r="C328" s="6"/>
      <c r="D328" s="7">
        <v>2.2853021359055512E-2</v>
      </c>
      <c r="E328" s="6"/>
      <c r="F328" s="11">
        <v>46347</v>
      </c>
      <c r="G328" s="6">
        <v>5097285.509950419</v>
      </c>
      <c r="H328" s="6">
        <f t="shared" si="43"/>
        <v>2005050.0731073488</v>
      </c>
      <c r="I328" s="6">
        <f t="shared" si="44"/>
        <v>465939.58012880816</v>
      </c>
      <c r="J328" s="6">
        <v>2622616</v>
      </c>
      <c r="K328" s="6"/>
      <c r="L328" s="6">
        <v>47146.551724137913</v>
      </c>
      <c r="M328" s="6"/>
      <c r="N328" s="6">
        <v>58779</v>
      </c>
      <c r="O328" s="6"/>
      <c r="P328" s="6">
        <v>5619</v>
      </c>
      <c r="Q328" s="6"/>
      <c r="R328" s="6">
        <v>218600</v>
      </c>
      <c r="S328" s="6"/>
      <c r="T328" s="6">
        <v>2828747</v>
      </c>
      <c r="U328" s="6"/>
      <c r="V328" s="6">
        <v>232232</v>
      </c>
      <c r="W328" s="6"/>
      <c r="X328" s="6">
        <v>32234</v>
      </c>
      <c r="Y328" s="6"/>
      <c r="Z328" s="6">
        <v>42932</v>
      </c>
      <c r="AA328" s="6"/>
      <c r="AB328" s="6">
        <v>0</v>
      </c>
      <c r="AC328" s="6"/>
      <c r="AD328" s="6">
        <v>2238.7931034482758</v>
      </c>
      <c r="AE328" s="6"/>
      <c r="AF328" s="8">
        <v>2688.1980114928097</v>
      </c>
      <c r="AG328" s="8">
        <v>11174.017049371754</v>
      </c>
      <c r="AH328" s="9" t="e">
        <f>+SUM([1]!Tabla2[[#This Row],[Web + APP 2026]:[Shein]])</f>
        <v>#REF!</v>
      </c>
      <c r="AI328" s="7"/>
      <c r="AJ328" s="9"/>
      <c r="AK328" s="21" t="e">
        <f t="shared" si="45"/>
        <v>#REF!</v>
      </c>
      <c r="AL328" s="21" t="e">
        <f t="shared" si="46"/>
        <v>#DIV/0!</v>
      </c>
      <c r="AM328" s="18" t="e">
        <f t="shared" si="47"/>
        <v>#REF!</v>
      </c>
      <c r="AN328" s="18" t="e">
        <f t="shared" si="48"/>
        <v>#DIV/0!</v>
      </c>
    </row>
    <row r="329" spans="1:40" hidden="1" x14ac:dyDescent="0.3">
      <c r="A329" s="11">
        <v>45984</v>
      </c>
      <c r="B329" s="6"/>
      <c r="C329" s="6"/>
      <c r="D329" s="7">
        <v>2.3138376253175375E-2</v>
      </c>
      <c r="E329" s="6"/>
      <c r="F329" s="11">
        <v>46348</v>
      </c>
      <c r="G329" s="6">
        <v>5160932.9088714486</v>
      </c>
      <c r="H329" s="6">
        <f t="shared" si="43"/>
        <v>2030086.1872529234</v>
      </c>
      <c r="I329" s="6">
        <f t="shared" si="44"/>
        <v>471757.54780428251</v>
      </c>
      <c r="J329" s="6">
        <v>2912051</v>
      </c>
      <c r="K329" s="6"/>
      <c r="L329" s="6">
        <v>50568.10344827584</v>
      </c>
      <c r="M329" s="6"/>
      <c r="N329" s="6">
        <v>-4265</v>
      </c>
      <c r="O329" s="6"/>
      <c r="P329" s="6">
        <v>1723</v>
      </c>
      <c r="Q329" s="6"/>
      <c r="R329" s="6">
        <v>188141</v>
      </c>
      <c r="S329" s="6"/>
      <c r="T329" s="6">
        <v>-35352</v>
      </c>
      <c r="U329" s="6"/>
      <c r="V329" s="6">
        <v>235657</v>
      </c>
      <c r="W329" s="6"/>
      <c r="X329" s="6">
        <v>30424</v>
      </c>
      <c r="Y329" s="6"/>
      <c r="Z329" s="6">
        <v>50063</v>
      </c>
      <c r="AA329" s="6"/>
      <c r="AB329" s="6">
        <v>635.68103448275861</v>
      </c>
      <c r="AC329" s="6"/>
      <c r="AD329" s="6">
        <v>1722.4137931034484</v>
      </c>
      <c r="AE329" s="6"/>
      <c r="AF329" s="8">
        <v>2721.7642715899151</v>
      </c>
      <c r="AG329" s="8">
        <v>11313.541727615386</v>
      </c>
      <c r="AH329" s="9" t="e">
        <f>+SUM([1]!Tabla2[[#This Row],[Web + APP 2026]:[Shein]])</f>
        <v>#REF!</v>
      </c>
      <c r="AI329" s="7"/>
      <c r="AJ329" s="9"/>
      <c r="AK329" s="21" t="e">
        <f t="shared" si="45"/>
        <v>#REF!</v>
      </c>
      <c r="AL329" s="21" t="e">
        <f t="shared" si="46"/>
        <v>#DIV/0!</v>
      </c>
      <c r="AM329" s="18" t="e">
        <f t="shared" si="47"/>
        <v>#REF!</v>
      </c>
      <c r="AN329" s="18" t="e">
        <f t="shared" si="48"/>
        <v>#DIV/0!</v>
      </c>
    </row>
    <row r="330" spans="1:40" hidden="1" x14ac:dyDescent="0.3">
      <c r="A330" s="11">
        <v>45985</v>
      </c>
      <c r="B330" s="6"/>
      <c r="C330" s="6"/>
      <c r="D330" s="7">
        <v>2.65287880501207E-2</v>
      </c>
      <c r="E330" s="6"/>
      <c r="F330" s="11">
        <v>46349</v>
      </c>
      <c r="G330" s="6">
        <v>5917152.2574560251</v>
      </c>
      <c r="H330" s="6">
        <f t="shared" si="43"/>
        <v>2327549.9367730957</v>
      </c>
      <c r="I330" s="6">
        <f t="shared" si="44"/>
        <v>540883.07060989155</v>
      </c>
      <c r="J330" s="6">
        <v>4329304</v>
      </c>
      <c r="K330" s="6"/>
      <c r="L330" s="6">
        <v>41142.241379310333</v>
      </c>
      <c r="M330" s="6"/>
      <c r="N330" s="6">
        <v>88047</v>
      </c>
      <c r="O330" s="6"/>
      <c r="P330" s="6">
        <v>6720</v>
      </c>
      <c r="Q330" s="6"/>
      <c r="R330" s="6">
        <v>71904</v>
      </c>
      <c r="S330" s="6"/>
      <c r="T330" s="6">
        <v>1270753</v>
      </c>
      <c r="U330" s="6"/>
      <c r="V330" s="6">
        <v>227520</v>
      </c>
      <c r="W330" s="6"/>
      <c r="X330" s="6">
        <v>42479</v>
      </c>
      <c r="Y330" s="6"/>
      <c r="Z330" s="6">
        <v>30741</v>
      </c>
      <c r="AA330" s="6"/>
      <c r="AB330" s="6">
        <v>26526.620689655178</v>
      </c>
      <c r="AC330" s="6"/>
      <c r="AD330" s="6">
        <v>775</v>
      </c>
      <c r="AE330" s="6"/>
      <c r="AF330" s="8">
        <v>3120.5779823677562</v>
      </c>
      <c r="AG330" s="8">
        <v>12971.288361123277</v>
      </c>
      <c r="AH330" s="9" t="e">
        <f>+SUM([1]!Tabla2[[#This Row],[Web + APP 2026]:[Shein]])</f>
        <v>#REF!</v>
      </c>
      <c r="AI330" s="7"/>
      <c r="AJ330" s="9"/>
      <c r="AK330" s="21" t="e">
        <f t="shared" si="45"/>
        <v>#REF!</v>
      </c>
      <c r="AL330" s="21" t="e">
        <f t="shared" si="46"/>
        <v>#DIV/0!</v>
      </c>
      <c r="AM330" s="18" t="e">
        <f t="shared" si="47"/>
        <v>#REF!</v>
      </c>
      <c r="AN330" s="18" t="e">
        <f t="shared" si="48"/>
        <v>#DIV/0!</v>
      </c>
    </row>
    <row r="331" spans="1:40" hidden="1" x14ac:dyDescent="0.3">
      <c r="A331" s="11">
        <v>45986</v>
      </c>
      <c r="B331" s="6"/>
      <c r="C331" s="6"/>
      <c r="D331" s="7">
        <v>2.4037269613691525E-2</v>
      </c>
      <c r="E331" s="6"/>
      <c r="F331" s="11">
        <v>46350</v>
      </c>
      <c r="G331" s="6">
        <v>5361427.8906754199</v>
      </c>
      <c r="H331" s="6">
        <f t="shared" si="43"/>
        <v>2108952.1791890156</v>
      </c>
      <c r="I331" s="6">
        <f t="shared" si="44"/>
        <v>490084.6647486469</v>
      </c>
      <c r="J331" s="6">
        <v>4166212</v>
      </c>
      <c r="K331" s="6"/>
      <c r="L331" s="6">
        <v>42426.724137931014</v>
      </c>
      <c r="M331" s="6"/>
      <c r="N331" s="6">
        <v>58241</v>
      </c>
      <c r="O331" s="6"/>
      <c r="P331" s="6">
        <v>1526</v>
      </c>
      <c r="Q331" s="6"/>
      <c r="R331" s="6">
        <v>150921</v>
      </c>
      <c r="S331" s="6"/>
      <c r="T331" s="6">
        <v>1227377</v>
      </c>
      <c r="U331" s="6"/>
      <c r="V331" s="6">
        <v>207275</v>
      </c>
      <c r="W331" s="6"/>
      <c r="X331" s="6">
        <v>45350</v>
      </c>
      <c r="Y331" s="6"/>
      <c r="Z331" s="6">
        <v>31920</v>
      </c>
      <c r="AA331" s="6"/>
      <c r="AB331" s="6">
        <v>5486.6293103448288</v>
      </c>
      <c r="AC331" s="6"/>
      <c r="AD331" s="6">
        <v>947.41379310344837</v>
      </c>
      <c r="AE331" s="6"/>
      <c r="AF331" s="8">
        <v>2827.5009838748356</v>
      </c>
      <c r="AG331" s="8">
        <v>11753.056904981395</v>
      </c>
      <c r="AH331" s="9" t="e">
        <f>+SUM([1]!Tabla2[[#This Row],[Web + APP 2026]:[Shein]])</f>
        <v>#REF!</v>
      </c>
      <c r="AI331" s="7"/>
      <c r="AJ331" s="9"/>
      <c r="AK331" s="21" t="e">
        <f t="shared" si="45"/>
        <v>#REF!</v>
      </c>
      <c r="AL331" s="21" t="e">
        <f t="shared" si="46"/>
        <v>#DIV/0!</v>
      </c>
      <c r="AM331" s="18" t="e">
        <f t="shared" si="47"/>
        <v>#REF!</v>
      </c>
      <c r="AN331" s="18" t="e">
        <f t="shared" si="48"/>
        <v>#DIV/0!</v>
      </c>
    </row>
    <row r="332" spans="1:40" hidden="1" x14ac:dyDescent="0.3">
      <c r="A332" s="11">
        <v>45987</v>
      </c>
      <c r="B332" s="6"/>
      <c r="C332" s="6"/>
      <c r="D332" s="7">
        <v>3.1592539774773304E-2</v>
      </c>
      <c r="E332" s="6"/>
      <c r="F332" s="11">
        <v>46351</v>
      </c>
      <c r="G332" s="6">
        <v>7046604.1529635042</v>
      </c>
      <c r="H332" s="6">
        <f t="shared" si="43"/>
        <v>2771827.1116022794</v>
      </c>
      <c r="I332" s="6">
        <f t="shared" si="44"/>
        <v>644125.53975177812</v>
      </c>
      <c r="J332" s="6">
        <v>4117696</v>
      </c>
      <c r="K332" s="6"/>
      <c r="L332" s="6">
        <v>37900.862068965507</v>
      </c>
      <c r="M332" s="6"/>
      <c r="N332" s="6">
        <v>90470</v>
      </c>
      <c r="O332" s="6"/>
      <c r="P332" s="6">
        <v>6491</v>
      </c>
      <c r="Q332" s="6"/>
      <c r="R332" s="6">
        <v>216552</v>
      </c>
      <c r="S332" s="6"/>
      <c r="T332" s="6">
        <v>1254318</v>
      </c>
      <c r="U332" s="6"/>
      <c r="V332" s="6">
        <v>277281</v>
      </c>
      <c r="W332" s="6"/>
      <c r="X332" s="6">
        <v>43933</v>
      </c>
      <c r="Y332" s="6"/>
      <c r="Z332" s="6">
        <v>18743</v>
      </c>
      <c r="AA332" s="6"/>
      <c r="AB332" s="6">
        <v>6197.7586206896558</v>
      </c>
      <c r="AC332" s="6"/>
      <c r="AD332" s="6">
        <v>947.41379310344837</v>
      </c>
      <c r="AE332" s="6"/>
      <c r="AF332" s="8">
        <v>3716.2264571594933</v>
      </c>
      <c r="AG332" s="8">
        <v>15447.216914116685</v>
      </c>
      <c r="AH332" s="9" t="e">
        <f>+SUM([1]!Tabla2[[#This Row],[Web + APP 2026]:[Shein]])</f>
        <v>#REF!</v>
      </c>
      <c r="AI332" s="7"/>
      <c r="AJ332" s="9"/>
      <c r="AK332" s="21" t="e">
        <f t="shared" si="45"/>
        <v>#REF!</v>
      </c>
      <c r="AL332" s="21" t="e">
        <f t="shared" si="46"/>
        <v>#DIV/0!</v>
      </c>
      <c r="AM332" s="18" t="e">
        <f t="shared" si="47"/>
        <v>#REF!</v>
      </c>
      <c r="AN332" s="18" t="e">
        <f t="shared" si="48"/>
        <v>#DIV/0!</v>
      </c>
    </row>
    <row r="333" spans="1:40" hidden="1" x14ac:dyDescent="0.3">
      <c r="A333" s="11">
        <v>45988</v>
      </c>
      <c r="B333" s="6"/>
      <c r="C333" s="6"/>
      <c r="D333" s="7">
        <v>3.4286713618508886E-2</v>
      </c>
      <c r="E333" s="6"/>
      <c r="F333" s="11">
        <v>46352</v>
      </c>
      <c r="G333" s="6">
        <v>7647530.0909038335</v>
      </c>
      <c r="H333" s="6">
        <f t="shared" si="43"/>
        <v>3008205.1982225594</v>
      </c>
      <c r="I333" s="6">
        <f t="shared" si="44"/>
        <v>699055.7920725178</v>
      </c>
      <c r="J333" s="6">
        <v>3604392</v>
      </c>
      <c r="K333" s="6"/>
      <c r="L333" s="6">
        <v>43066.379310344812</v>
      </c>
      <c r="M333" s="6"/>
      <c r="N333" s="6">
        <v>49493</v>
      </c>
      <c r="O333" s="6"/>
      <c r="P333" s="6">
        <v>2376</v>
      </c>
      <c r="Q333" s="6"/>
      <c r="R333" s="6">
        <v>89383</v>
      </c>
      <c r="S333" s="6"/>
      <c r="T333" s="6">
        <v>885777</v>
      </c>
      <c r="U333" s="6"/>
      <c r="V333" s="6">
        <v>367182</v>
      </c>
      <c r="W333" s="6"/>
      <c r="X333" s="6">
        <v>52085</v>
      </c>
      <c r="Y333" s="6"/>
      <c r="Z333" s="6">
        <v>32521</v>
      </c>
      <c r="AA333" s="6"/>
      <c r="AB333" s="6">
        <v>7195.3017241379321</v>
      </c>
      <c r="AC333" s="6"/>
      <c r="AD333" s="6">
        <v>-947.41379310344837</v>
      </c>
      <c r="AE333" s="6"/>
      <c r="AF333" s="8">
        <v>4033.1417855773748</v>
      </c>
      <c r="AG333" s="8">
        <v>16764.537017698694</v>
      </c>
      <c r="AH333" s="9" t="e">
        <f>+SUM([1]!Tabla2[[#This Row],[Web + APP 2026]:[Shein]])</f>
        <v>#REF!</v>
      </c>
      <c r="AI333" s="7"/>
      <c r="AJ333" s="9"/>
      <c r="AK333" s="21" t="e">
        <f t="shared" si="45"/>
        <v>#REF!</v>
      </c>
      <c r="AL333" s="21" t="e">
        <f t="shared" si="46"/>
        <v>#DIV/0!</v>
      </c>
      <c r="AM333" s="18" t="e">
        <f t="shared" si="47"/>
        <v>#REF!</v>
      </c>
      <c r="AN333" s="18" t="e">
        <f t="shared" si="48"/>
        <v>#DIV/0!</v>
      </c>
    </row>
    <row r="334" spans="1:40" hidden="1" x14ac:dyDescent="0.3">
      <c r="A334" s="11">
        <v>45989</v>
      </c>
      <c r="B334" s="6"/>
      <c r="C334" s="6"/>
      <c r="D334" s="7">
        <v>3.3430299080617211E-2</v>
      </c>
      <c r="E334" s="6"/>
      <c r="F334" s="11">
        <v>46353</v>
      </c>
      <c r="G334" s="6">
        <v>7456509.8601028705</v>
      </c>
      <c r="H334" s="6">
        <f t="shared" si="43"/>
        <v>2933066.1605946319</v>
      </c>
      <c r="I334" s="6">
        <f t="shared" si="44"/>
        <v>681594.75600503362</v>
      </c>
      <c r="J334" s="6">
        <v>4096929</v>
      </c>
      <c r="K334" s="6"/>
      <c r="L334" s="6">
        <v>54208.620689655159</v>
      </c>
      <c r="M334" s="6"/>
      <c r="N334" s="6">
        <v>68087</v>
      </c>
      <c r="O334" s="6"/>
      <c r="P334" s="6">
        <v>4812</v>
      </c>
      <c r="Q334" s="6"/>
      <c r="R334" s="6">
        <v>144358</v>
      </c>
      <c r="S334" s="6"/>
      <c r="T334" s="6">
        <v>1726586</v>
      </c>
      <c r="U334" s="6"/>
      <c r="V334" s="6">
        <v>740810</v>
      </c>
      <c r="W334" s="6"/>
      <c r="X334" s="6">
        <v>72416</v>
      </c>
      <c r="Y334" s="6"/>
      <c r="Z334" s="6">
        <v>40806</v>
      </c>
      <c r="AA334" s="6"/>
      <c r="AB334" s="6">
        <v>18624.672413793101</v>
      </c>
      <c r="AC334" s="6"/>
      <c r="AD334" s="6">
        <v>1463.7931034482758</v>
      </c>
      <c r="AE334" s="6"/>
      <c r="AF334" s="8">
        <v>3932.4018518240778</v>
      </c>
      <c r="AG334" s="8">
        <v>16345.791920611588</v>
      </c>
      <c r="AH334" s="9" t="e">
        <f>+SUM([1]!Tabla2[[#This Row],[Web + APP 2026]:[Shein]])</f>
        <v>#REF!</v>
      </c>
      <c r="AI334" s="7"/>
      <c r="AJ334" s="9"/>
      <c r="AK334" s="21" t="e">
        <f t="shared" si="45"/>
        <v>#REF!</v>
      </c>
      <c r="AL334" s="21" t="e">
        <f t="shared" si="46"/>
        <v>#DIV/0!</v>
      </c>
      <c r="AM334" s="18" t="e">
        <f t="shared" si="47"/>
        <v>#REF!</v>
      </c>
      <c r="AN334" s="18" t="e">
        <f t="shared" si="48"/>
        <v>#DIV/0!</v>
      </c>
    </row>
    <row r="335" spans="1:40" hidden="1" x14ac:dyDescent="0.3">
      <c r="A335" s="11">
        <v>45990</v>
      </c>
      <c r="B335" s="6"/>
      <c r="C335" s="6"/>
      <c r="D335" s="7">
        <v>3.2033917514255827E-2</v>
      </c>
      <c r="E335" s="6"/>
      <c r="F335" s="11">
        <v>46354</v>
      </c>
      <c r="G335" s="6">
        <v>7145051.8951911395</v>
      </c>
      <c r="H335" s="6">
        <f t="shared" si="43"/>
        <v>2810552.1648419774</v>
      </c>
      <c r="I335" s="6">
        <f t="shared" si="44"/>
        <v>653124.58435868286</v>
      </c>
      <c r="J335" s="6">
        <v>2657112</v>
      </c>
      <c r="K335" s="6"/>
      <c r="L335" s="6">
        <v>46651.724137931007</v>
      </c>
      <c r="M335" s="6"/>
      <c r="N335" s="6">
        <v>33620</v>
      </c>
      <c r="O335" s="6"/>
      <c r="P335" s="6">
        <v>-301</v>
      </c>
      <c r="Q335" s="6"/>
      <c r="R335" s="6">
        <v>121072</v>
      </c>
      <c r="S335" s="6"/>
      <c r="T335" s="6">
        <v>1566964</v>
      </c>
      <c r="U335" s="6"/>
      <c r="V335" s="6">
        <v>376748</v>
      </c>
      <c r="W335" s="6"/>
      <c r="X335" s="6">
        <v>87941</v>
      </c>
      <c r="Y335" s="6"/>
      <c r="Z335" s="6">
        <v>21084</v>
      </c>
      <c r="AA335" s="6"/>
      <c r="AB335" s="6">
        <v>21378.913793103449</v>
      </c>
      <c r="AC335" s="6"/>
      <c r="AD335" s="6">
        <v>0</v>
      </c>
      <c r="AE335" s="6"/>
      <c r="AF335" s="8">
        <v>3768.1456648192702</v>
      </c>
      <c r="AG335" s="8">
        <v>15663.029182818593</v>
      </c>
      <c r="AH335" s="9" t="e">
        <f>+SUM([1]!Tabla2[[#This Row],[Web + APP 2026]:[Shein]])</f>
        <v>#REF!</v>
      </c>
      <c r="AI335" s="7"/>
      <c r="AJ335" s="9"/>
      <c r="AK335" s="21" t="e">
        <f t="shared" si="45"/>
        <v>#REF!</v>
      </c>
      <c r="AL335" s="21" t="e">
        <f t="shared" si="46"/>
        <v>#DIV/0!</v>
      </c>
      <c r="AM335" s="18" t="e">
        <f t="shared" si="47"/>
        <v>#REF!</v>
      </c>
      <c r="AN335" s="18" t="e">
        <f t="shared" si="48"/>
        <v>#DIV/0!</v>
      </c>
    </row>
    <row r="336" spans="1:40" hidden="1" x14ac:dyDescent="0.3">
      <c r="A336" s="11">
        <v>45991</v>
      </c>
      <c r="B336" s="6"/>
      <c r="C336" s="6"/>
      <c r="D336" s="7">
        <v>3.2999455173160115E-2</v>
      </c>
      <c r="E336" s="6"/>
      <c r="F336" s="11">
        <v>46355</v>
      </c>
      <c r="G336" s="6">
        <v>7360411.6518166708</v>
      </c>
      <c r="H336" s="6">
        <f t="shared" si="43"/>
        <v>2895265.3116577626</v>
      </c>
      <c r="I336" s="6">
        <f t="shared" si="44"/>
        <v>672810.48077999568</v>
      </c>
      <c r="J336" s="6">
        <v>3541686</v>
      </c>
      <c r="K336" s="6"/>
      <c r="L336" s="6">
        <v>50855.172413793087</v>
      </c>
      <c r="M336" s="6"/>
      <c r="N336" s="6">
        <v>-6179</v>
      </c>
      <c r="O336" s="6"/>
      <c r="P336" s="6">
        <v>2597</v>
      </c>
      <c r="Q336" s="6"/>
      <c r="R336" s="6">
        <v>192231</v>
      </c>
      <c r="S336" s="6"/>
      <c r="T336" s="6">
        <v>1294466</v>
      </c>
      <c r="U336" s="6"/>
      <c r="V336" s="6">
        <v>250269</v>
      </c>
      <c r="W336" s="6"/>
      <c r="X336" s="6">
        <v>68872</v>
      </c>
      <c r="Y336" s="6"/>
      <c r="Z336" s="6">
        <v>26453</v>
      </c>
      <c r="AA336" s="6"/>
      <c r="AB336" s="6">
        <v>2816.6896551724139</v>
      </c>
      <c r="AC336" s="6"/>
      <c r="AD336" s="6">
        <v>688.79310344827593</v>
      </c>
      <c r="AE336" s="6"/>
      <c r="AF336" s="8">
        <v>3881.7217374928919</v>
      </c>
      <c r="AG336" s="8">
        <v>16135.130183946474</v>
      </c>
      <c r="AH336" s="9" t="e">
        <f>+SUM([1]!Tabla2[[#This Row],[Web + APP 2026]:[Shein]])</f>
        <v>#REF!</v>
      </c>
      <c r="AI336" s="7"/>
      <c r="AJ336" s="9"/>
      <c r="AK336" s="21" t="e">
        <f t="shared" si="45"/>
        <v>#REF!</v>
      </c>
      <c r="AL336" s="21" t="e">
        <f t="shared" si="46"/>
        <v>#DIV/0!</v>
      </c>
      <c r="AM336" s="18" t="e">
        <f t="shared" si="47"/>
        <v>#REF!</v>
      </c>
      <c r="AN336" s="18" t="e">
        <f t="shared" si="48"/>
        <v>#DIV/0!</v>
      </c>
    </row>
    <row r="337" spans="1:40" hidden="1" x14ac:dyDescent="0.3">
      <c r="A337" s="11">
        <v>45992</v>
      </c>
      <c r="B337" s="6"/>
      <c r="C337" s="6"/>
      <c r="D337" s="7">
        <v>3.5889306396586211E-2</v>
      </c>
      <c r="E337" s="6"/>
      <c r="F337" s="11">
        <v>46356</v>
      </c>
      <c r="G337" s="6">
        <v>8004982.7365605887</v>
      </c>
      <c r="H337" s="6">
        <f t="shared" si="43"/>
        <v>3148811.4977730555</v>
      </c>
      <c r="I337" s="6">
        <f t="shared" si="44"/>
        <v>731730.30781390902</v>
      </c>
      <c r="J337" s="6">
        <v>4957610</v>
      </c>
      <c r="K337" s="6"/>
      <c r="L337" s="6">
        <v>38026.724137931029</v>
      </c>
      <c r="M337" s="6"/>
      <c r="N337" s="6">
        <v>2176</v>
      </c>
      <c r="O337" s="6"/>
      <c r="P337" s="6">
        <v>2708</v>
      </c>
      <c r="Q337" s="6"/>
      <c r="R337" s="6">
        <v>131176</v>
      </c>
      <c r="S337" s="6"/>
      <c r="T337" s="6">
        <v>1425540</v>
      </c>
      <c r="U337" s="6"/>
      <c r="V337" s="6">
        <v>251615</v>
      </c>
      <c r="W337" s="6"/>
      <c r="X337" s="6">
        <v>71926</v>
      </c>
      <c r="Y337" s="6"/>
      <c r="Z337" s="6">
        <v>87429</v>
      </c>
      <c r="AA337" s="6"/>
      <c r="AB337" s="6">
        <v>17280.931034482761</v>
      </c>
      <c r="AC337" s="6"/>
      <c r="AD337" s="6">
        <v>1463.7931034482758</v>
      </c>
      <c r="AE337" s="6"/>
      <c r="AF337" s="8">
        <v>4221.6545713300175</v>
      </c>
      <c r="AG337" s="8">
        <v>17548.127018516694</v>
      </c>
      <c r="AH337" s="9" t="e">
        <f>+SUM([1]!Tabla2[[#This Row],[Web + APP 2026]:[Shein]])</f>
        <v>#REF!</v>
      </c>
      <c r="AI337" s="7"/>
      <c r="AJ337" s="9"/>
      <c r="AK337" s="21" t="e">
        <f t="shared" si="45"/>
        <v>#REF!</v>
      </c>
      <c r="AL337" s="21" t="e">
        <f t="shared" si="46"/>
        <v>#DIV/0!</v>
      </c>
      <c r="AM337" s="18" t="e">
        <f t="shared" si="47"/>
        <v>#REF!</v>
      </c>
      <c r="AN337" s="18" t="e">
        <f t="shared" si="48"/>
        <v>#DIV/0!</v>
      </c>
    </row>
    <row r="338" spans="1:40" hidden="1" x14ac:dyDescent="0.3">
      <c r="A338" s="11">
        <v>45993</v>
      </c>
      <c r="B338" s="6"/>
      <c r="C338" s="6"/>
      <c r="D338" s="7">
        <v>3.877355636645928E-2</v>
      </c>
      <c r="E338" s="6"/>
      <c r="F338" s="11">
        <v>46357</v>
      </c>
      <c r="G338" s="6">
        <v>9502694.4272266291</v>
      </c>
      <c r="H338" s="6">
        <f t="shared" si="43"/>
        <v>3401866.2480440661</v>
      </c>
      <c r="I338" s="6">
        <f t="shared" si="44"/>
        <v>790535.9335049151</v>
      </c>
      <c r="J338" s="6">
        <v>5378786</v>
      </c>
      <c r="K338" s="6"/>
      <c r="L338" s="6">
        <v>44301.724137931029</v>
      </c>
      <c r="M338" s="6"/>
      <c r="N338" s="6">
        <v>199752</v>
      </c>
      <c r="O338" s="6"/>
      <c r="P338" s="6">
        <v>8853</v>
      </c>
      <c r="Q338" s="6"/>
      <c r="R338" s="6">
        <v>141161</v>
      </c>
      <c r="S338" s="6"/>
      <c r="T338" s="6">
        <v>1473812</v>
      </c>
      <c r="U338" s="6"/>
      <c r="V338" s="6">
        <v>201559</v>
      </c>
      <c r="W338" s="6"/>
      <c r="X338" s="6">
        <v>90442</v>
      </c>
      <c r="Y338" s="6"/>
      <c r="Z338" s="6">
        <v>143542</v>
      </c>
      <c r="AA338" s="6"/>
      <c r="AB338" s="6">
        <v>7307.9482758620707</v>
      </c>
      <c r="AC338" s="6"/>
      <c r="AD338" s="6">
        <v>1550</v>
      </c>
      <c r="AE338" s="6"/>
      <c r="AF338" s="8">
        <v>4954.4820139596332</v>
      </c>
      <c r="AG338" s="8">
        <v>19528.875339504979</v>
      </c>
      <c r="AH338" s="9" t="e">
        <f>+SUM([1]!Tabla2[[#This Row],[Web + APP 2026]:[Shein]])</f>
        <v>#REF!</v>
      </c>
      <c r="AI338" s="7"/>
      <c r="AJ338" s="9"/>
      <c r="AK338" s="21" t="e">
        <f t="shared" si="45"/>
        <v>#REF!</v>
      </c>
      <c r="AL338" s="21" t="e">
        <f t="shared" si="46"/>
        <v>#DIV/0!</v>
      </c>
      <c r="AM338" s="18" t="e">
        <f t="shared" si="47"/>
        <v>#REF!</v>
      </c>
      <c r="AN338" s="18" t="e">
        <f t="shared" si="48"/>
        <v>#DIV/0!</v>
      </c>
    </row>
    <row r="339" spans="1:40" hidden="1" x14ac:dyDescent="0.3">
      <c r="A339" s="11">
        <v>45994</v>
      </c>
      <c r="B339" s="6"/>
      <c r="C339" s="6"/>
      <c r="D339" s="7">
        <v>4.1970027941578149E-2</v>
      </c>
      <c r="E339" s="6"/>
      <c r="F339" s="11">
        <v>46358</v>
      </c>
      <c r="G339" s="6">
        <v>10286091.553262407</v>
      </c>
      <c r="H339" s="6">
        <f t="shared" si="43"/>
        <v>3682314.3106735642</v>
      </c>
      <c r="I339" s="6">
        <f t="shared" si="44"/>
        <v>855707.2996977882</v>
      </c>
      <c r="J339" s="6">
        <v>4538987</v>
      </c>
      <c r="K339" s="6"/>
      <c r="L339" s="6">
        <v>41768.103448275855</v>
      </c>
      <c r="M339" s="6"/>
      <c r="N339" s="6">
        <v>-1295</v>
      </c>
      <c r="O339" s="6"/>
      <c r="P339" s="6">
        <v>7445</v>
      </c>
      <c r="Q339" s="6"/>
      <c r="R339" s="6">
        <v>198198</v>
      </c>
      <c r="S339" s="6"/>
      <c r="T339" s="6">
        <v>1463021</v>
      </c>
      <c r="U339" s="6"/>
      <c r="V339" s="6">
        <v>179885</v>
      </c>
      <c r="W339" s="6"/>
      <c r="X339" s="6">
        <v>54687</v>
      </c>
      <c r="Y339" s="6"/>
      <c r="Z339" s="6">
        <v>79303</v>
      </c>
      <c r="AA339" s="6"/>
      <c r="AB339" s="6">
        <v>19759.284482758623</v>
      </c>
      <c r="AC339" s="6"/>
      <c r="AD339" s="6">
        <v>1550</v>
      </c>
      <c r="AE339" s="6"/>
      <c r="AF339" s="8">
        <v>5362.9269029809357</v>
      </c>
      <c r="AG339" s="8">
        <v>21138.825541822931</v>
      </c>
      <c r="AH339" s="9" t="e">
        <f>+SUM([1]!Tabla2[[#This Row],[Web + APP 2026]:[Shein]])</f>
        <v>#REF!</v>
      </c>
      <c r="AI339" s="7"/>
      <c r="AJ339" s="9"/>
      <c r="AK339" s="21" t="e">
        <f t="shared" si="45"/>
        <v>#REF!</v>
      </c>
      <c r="AL339" s="21" t="e">
        <f t="shared" si="46"/>
        <v>#DIV/0!</v>
      </c>
      <c r="AM339" s="18" t="e">
        <f t="shared" si="47"/>
        <v>#REF!</v>
      </c>
      <c r="AN339" s="18" t="e">
        <f t="shared" si="48"/>
        <v>#DIV/0!</v>
      </c>
    </row>
    <row r="340" spans="1:40" hidden="1" x14ac:dyDescent="0.3">
      <c r="A340" s="11">
        <v>45995</v>
      </c>
      <c r="B340" s="6"/>
      <c r="C340" s="6"/>
      <c r="D340" s="7">
        <v>3.7712144059884288E-2</v>
      </c>
      <c r="E340" s="6"/>
      <c r="F340" s="11">
        <v>46359</v>
      </c>
      <c r="G340" s="6">
        <v>9242561.5491549913</v>
      </c>
      <c r="H340" s="6">
        <f t="shared" si="43"/>
        <v>3308741.3701796373</v>
      </c>
      <c r="I340" s="6">
        <f t="shared" si="44"/>
        <v>768895.29366570478</v>
      </c>
      <c r="J340" s="6">
        <v>3922857</v>
      </c>
      <c r="K340" s="6"/>
      <c r="L340" s="6">
        <v>43610.057471264357</v>
      </c>
      <c r="M340" s="6"/>
      <c r="N340" s="6">
        <v>173906</v>
      </c>
      <c r="O340" s="6"/>
      <c r="P340" s="6">
        <v>5606</v>
      </c>
      <c r="Q340" s="6"/>
      <c r="R340" s="6">
        <v>210399</v>
      </c>
      <c r="S340" s="6"/>
      <c r="T340" s="6">
        <v>1926958</v>
      </c>
      <c r="U340" s="6"/>
      <c r="V340" s="6">
        <v>174968</v>
      </c>
      <c r="W340" s="6"/>
      <c r="X340" s="6">
        <v>92776</v>
      </c>
      <c r="Y340" s="6"/>
      <c r="Z340" s="6">
        <v>116168</v>
      </c>
      <c r="AA340" s="6"/>
      <c r="AB340" s="6">
        <v>13497.887931034484</v>
      </c>
      <c r="AC340" s="6"/>
      <c r="AD340" s="6">
        <v>947.41379310344837</v>
      </c>
      <c r="AE340" s="6"/>
      <c r="AF340" s="8">
        <v>4818.8548320571181</v>
      </c>
      <c r="AG340" s="8">
        <v>18994.279327134802</v>
      </c>
      <c r="AH340" s="9" t="e">
        <f>+SUM([1]!Tabla2[[#This Row],[Web + APP 2026]:[Shein]])</f>
        <v>#REF!</v>
      </c>
      <c r="AI340" s="7"/>
      <c r="AJ340" s="9"/>
      <c r="AK340" s="21" t="e">
        <f t="shared" si="45"/>
        <v>#REF!</v>
      </c>
      <c r="AL340" s="21" t="e">
        <f t="shared" si="46"/>
        <v>#DIV/0!</v>
      </c>
      <c r="AM340" s="18" t="e">
        <f t="shared" si="47"/>
        <v>#REF!</v>
      </c>
      <c r="AN340" s="18" t="e">
        <f t="shared" si="48"/>
        <v>#DIV/0!</v>
      </c>
    </row>
    <row r="341" spans="1:40" hidden="1" x14ac:dyDescent="0.3">
      <c r="A341" s="11">
        <v>45996</v>
      </c>
      <c r="B341" s="6"/>
      <c r="C341" s="6"/>
      <c r="D341" s="7">
        <v>3.2438572409430912E-2</v>
      </c>
      <c r="E341" s="6"/>
      <c r="F341" s="11">
        <v>46360</v>
      </c>
      <c r="G341" s="6">
        <v>7950104.9207067024</v>
      </c>
      <c r="H341" s="6">
        <f t="shared" si="43"/>
        <v>2846055.2746674339</v>
      </c>
      <c r="I341" s="6">
        <f t="shared" si="44"/>
        <v>661374.90404257167</v>
      </c>
      <c r="J341" s="6">
        <v>3411915</v>
      </c>
      <c r="K341" s="6"/>
      <c r="L341" s="6">
        <v>50703.575989782868</v>
      </c>
      <c r="M341" s="6"/>
      <c r="N341" s="6">
        <v>-24113</v>
      </c>
      <c r="O341" s="6"/>
      <c r="P341" s="6">
        <v>-438</v>
      </c>
      <c r="Q341" s="6"/>
      <c r="R341" s="6">
        <v>159911</v>
      </c>
      <c r="S341" s="6"/>
      <c r="T341" s="6">
        <v>1631283</v>
      </c>
      <c r="U341" s="6"/>
      <c r="V341" s="6">
        <v>157380</v>
      </c>
      <c r="W341" s="6"/>
      <c r="X341" s="6">
        <v>62080</v>
      </c>
      <c r="Y341" s="6"/>
      <c r="Z341" s="6">
        <v>82359</v>
      </c>
      <c r="AA341" s="6"/>
      <c r="AB341" s="6">
        <v>14983.224137931036</v>
      </c>
      <c r="AC341" s="6"/>
      <c r="AD341" s="6">
        <v>947.41379310344837</v>
      </c>
      <c r="AE341" s="6"/>
      <c r="AF341" s="8">
        <v>4144.9982571131613</v>
      </c>
      <c r="AG341" s="8">
        <v>16338.166940066292</v>
      </c>
      <c r="AH341" s="9" t="e">
        <f>+SUM([1]!Tabla2[[#This Row],[Web + APP 2026]:[Shein]])</f>
        <v>#REF!</v>
      </c>
      <c r="AI341" s="7"/>
      <c r="AJ341" s="9"/>
      <c r="AK341" s="21" t="e">
        <f t="shared" si="45"/>
        <v>#REF!</v>
      </c>
      <c r="AL341" s="21" t="e">
        <f t="shared" si="46"/>
        <v>#DIV/0!</v>
      </c>
      <c r="AM341" s="18" t="e">
        <f t="shared" si="47"/>
        <v>#REF!</v>
      </c>
      <c r="AN341" s="18" t="e">
        <f t="shared" si="48"/>
        <v>#DIV/0!</v>
      </c>
    </row>
    <row r="342" spans="1:40" hidden="1" x14ac:dyDescent="0.3">
      <c r="A342" s="11">
        <v>45997</v>
      </c>
      <c r="B342" s="6"/>
      <c r="C342" s="6"/>
      <c r="D342" s="7">
        <v>2.9702597597005522E-2</v>
      </c>
      <c r="E342" s="6"/>
      <c r="F342" s="11">
        <v>46361</v>
      </c>
      <c r="G342" s="6">
        <v>7279567.1872746078</v>
      </c>
      <c r="H342" s="6">
        <f t="shared" si="43"/>
        <v>2606009.7064476479</v>
      </c>
      <c r="I342" s="6">
        <f t="shared" si="44"/>
        <v>605592.39129226783</v>
      </c>
      <c r="J342" s="6">
        <v>3024346</v>
      </c>
      <c r="K342" s="6"/>
      <c r="L342" s="6">
        <v>56625.127713920796</v>
      </c>
      <c r="M342" s="6"/>
      <c r="N342" s="6">
        <v>72012</v>
      </c>
      <c r="O342" s="6"/>
      <c r="P342" s="6">
        <v>2160</v>
      </c>
      <c r="Q342" s="6"/>
      <c r="R342" s="6">
        <v>96469</v>
      </c>
      <c r="S342" s="6"/>
      <c r="T342" s="6">
        <v>1700937</v>
      </c>
      <c r="U342" s="6"/>
      <c r="V342" s="6">
        <v>135278</v>
      </c>
      <c r="W342" s="6"/>
      <c r="X342" s="6">
        <v>74970</v>
      </c>
      <c r="Y342" s="6"/>
      <c r="Z342" s="6">
        <v>95661</v>
      </c>
      <c r="AA342" s="6"/>
      <c r="AB342" s="6">
        <v>3340.3965517241381</v>
      </c>
      <c r="AC342" s="6"/>
      <c r="AD342" s="6">
        <v>0</v>
      </c>
      <c r="AE342" s="6"/>
      <c r="AF342" s="8">
        <v>3795.3956085788609</v>
      </c>
      <c r="AG342" s="8">
        <v>14960.152745575211</v>
      </c>
      <c r="AH342" s="9" t="e">
        <f>+SUM([1]!Tabla2[[#This Row],[Web + APP 2026]:[Shein]])</f>
        <v>#REF!</v>
      </c>
      <c r="AI342" s="7"/>
      <c r="AJ342" s="9"/>
      <c r="AK342" s="21" t="e">
        <f t="shared" si="45"/>
        <v>#REF!</v>
      </c>
      <c r="AL342" s="21" t="e">
        <f t="shared" si="46"/>
        <v>#DIV/0!</v>
      </c>
      <c r="AM342" s="18" t="e">
        <f t="shared" si="47"/>
        <v>#REF!</v>
      </c>
      <c r="AN342" s="18" t="e">
        <f t="shared" si="48"/>
        <v>#DIV/0!</v>
      </c>
    </row>
    <row r="343" spans="1:40" hidden="1" x14ac:dyDescent="0.3">
      <c r="A343" s="11">
        <v>45998</v>
      </c>
      <c r="B343" s="6"/>
      <c r="C343" s="6"/>
      <c r="D343" s="7">
        <v>2.816850982351133E-2</v>
      </c>
      <c r="E343" s="6"/>
      <c r="F343" s="11">
        <v>46362</v>
      </c>
      <c r="G343" s="6">
        <v>6903590.1373935109</v>
      </c>
      <c r="H343" s="6">
        <f t="shared" si="43"/>
        <v>2471413.8141115657</v>
      </c>
      <c r="I343" s="6">
        <f t="shared" si="44"/>
        <v>574314.59209748497</v>
      </c>
      <c r="J343" s="6">
        <v>3620613</v>
      </c>
      <c r="K343" s="6"/>
      <c r="L343" s="6">
        <v>54843.007662835225</v>
      </c>
      <c r="M343" s="6"/>
      <c r="N343" s="6">
        <v>85835</v>
      </c>
      <c r="O343" s="6"/>
      <c r="P343" s="6">
        <v>2936</v>
      </c>
      <c r="Q343" s="6"/>
      <c r="R343" s="6">
        <v>185798</v>
      </c>
      <c r="S343" s="6"/>
      <c r="T343" s="6">
        <v>1934319</v>
      </c>
      <c r="U343" s="6"/>
      <c r="V343" s="6">
        <v>233864</v>
      </c>
      <c r="W343" s="6"/>
      <c r="X343" s="6">
        <v>92460</v>
      </c>
      <c r="Y343" s="6"/>
      <c r="Z343" s="6">
        <v>115028</v>
      </c>
      <c r="AA343" s="6"/>
      <c r="AB343" s="6">
        <v>430.17241379310349</v>
      </c>
      <c r="AC343" s="6"/>
      <c r="AD343" s="6">
        <v>0</v>
      </c>
      <c r="AE343" s="6"/>
      <c r="AF343" s="8">
        <v>3599.3699923115018</v>
      </c>
      <c r="AG343" s="8">
        <v>14187.486740804428</v>
      </c>
      <c r="AH343" s="9" t="e">
        <f>+SUM([1]!Tabla2[[#This Row],[Web + APP 2026]:[Shein]])</f>
        <v>#REF!</v>
      </c>
      <c r="AI343" s="7"/>
      <c r="AJ343" s="9"/>
      <c r="AK343" s="21" t="e">
        <f t="shared" si="45"/>
        <v>#REF!</v>
      </c>
      <c r="AL343" s="21" t="e">
        <f t="shared" si="46"/>
        <v>#DIV/0!</v>
      </c>
      <c r="AM343" s="18" t="e">
        <f t="shared" si="47"/>
        <v>#REF!</v>
      </c>
      <c r="AN343" s="18" t="e">
        <f t="shared" si="48"/>
        <v>#DIV/0!</v>
      </c>
    </row>
    <row r="344" spans="1:40" hidden="1" x14ac:dyDescent="0.3">
      <c r="A344" s="11">
        <v>45999</v>
      </c>
      <c r="B344" s="6"/>
      <c r="C344" s="6"/>
      <c r="D344" s="7">
        <v>3.2678428849675513E-2</v>
      </c>
      <c r="E344" s="6"/>
      <c r="F344" s="11">
        <v>46363</v>
      </c>
      <c r="G344" s="6">
        <v>8008889.3777347011</v>
      </c>
      <c r="H344" s="6">
        <f t="shared" si="43"/>
        <v>2867099.5018394855</v>
      </c>
      <c r="I344" s="6">
        <f t="shared" si="44"/>
        <v>666265.22498976125</v>
      </c>
      <c r="J344" s="6">
        <v>5946618</v>
      </c>
      <c r="K344" s="6"/>
      <c r="L344" s="6">
        <v>48381.896551724116</v>
      </c>
      <c r="M344" s="6"/>
      <c r="N344" s="6">
        <v>16084</v>
      </c>
      <c r="O344" s="6"/>
      <c r="P344" s="6">
        <v>8369</v>
      </c>
      <c r="Q344" s="6"/>
      <c r="R344" s="6">
        <v>168071</v>
      </c>
      <c r="S344" s="6"/>
      <c r="T344" s="6">
        <v>1704520</v>
      </c>
      <c r="U344" s="6"/>
      <c r="V344" s="6">
        <v>319874</v>
      </c>
      <c r="W344" s="6"/>
      <c r="X344" s="6">
        <v>110203</v>
      </c>
      <c r="Y344" s="6"/>
      <c r="Z344" s="6">
        <v>125518</v>
      </c>
      <c r="AA344" s="6"/>
      <c r="AB344" s="6">
        <v>27668.344827586217</v>
      </c>
      <c r="AC344" s="6"/>
      <c r="AD344" s="6">
        <v>947.41379310344837</v>
      </c>
      <c r="AE344" s="6"/>
      <c r="AF344" s="8">
        <v>4175.6470943746372</v>
      </c>
      <c r="AG344" s="8">
        <v>16458.974185000014</v>
      </c>
      <c r="AH344" s="9" t="e">
        <f>+SUM([1]!Tabla2[[#This Row],[Web + APP 2026]:[Shein]])</f>
        <v>#REF!</v>
      </c>
      <c r="AI344" s="7"/>
      <c r="AJ344" s="9"/>
      <c r="AK344" s="21" t="e">
        <f t="shared" si="45"/>
        <v>#REF!</v>
      </c>
      <c r="AL344" s="21" t="e">
        <f t="shared" si="46"/>
        <v>#DIV/0!</v>
      </c>
      <c r="AM344" s="18" t="e">
        <f t="shared" si="47"/>
        <v>#REF!</v>
      </c>
      <c r="AN344" s="18" t="e">
        <f t="shared" si="48"/>
        <v>#DIV/0!</v>
      </c>
    </row>
    <row r="345" spans="1:40" hidden="1" x14ac:dyDescent="0.3">
      <c r="A345" s="11">
        <v>46000</v>
      </c>
      <c r="B345" s="6"/>
      <c r="C345" s="6"/>
      <c r="D345" s="7">
        <v>4.6260742725271121E-2</v>
      </c>
      <c r="E345" s="6"/>
      <c r="F345" s="11">
        <v>46364</v>
      </c>
      <c r="G345" s="6">
        <v>11337667.815147135</v>
      </c>
      <c r="H345" s="6">
        <f t="shared" si="43"/>
        <v>4058767.7281696009</v>
      </c>
      <c r="I345" s="6">
        <f t="shared" si="44"/>
        <v>943188.67965870025</v>
      </c>
      <c r="J345" s="6">
        <v>6085695</v>
      </c>
      <c r="K345" s="6"/>
      <c r="L345" s="6">
        <v>46312.931034482739</v>
      </c>
      <c r="M345" s="6"/>
      <c r="N345" s="6">
        <v>50291</v>
      </c>
      <c r="O345" s="6"/>
      <c r="P345" s="6">
        <v>6649</v>
      </c>
      <c r="Q345" s="6"/>
      <c r="R345" s="6">
        <v>148217</v>
      </c>
      <c r="S345" s="6"/>
      <c r="T345" s="6">
        <v>1686373</v>
      </c>
      <c r="U345" s="6"/>
      <c r="V345" s="6">
        <v>385223</v>
      </c>
      <c r="W345" s="6"/>
      <c r="X345" s="6">
        <v>96804</v>
      </c>
      <c r="Y345" s="6"/>
      <c r="Z345" s="6">
        <v>119084</v>
      </c>
      <c r="AA345" s="6"/>
      <c r="AB345" s="6">
        <v>25015.801724137931</v>
      </c>
      <c r="AC345" s="6"/>
      <c r="AD345" s="6">
        <v>0</v>
      </c>
      <c r="AE345" s="6"/>
      <c r="AF345" s="8">
        <v>5911.1941040062911</v>
      </c>
      <c r="AG345" s="8">
        <v>23299.907526053688</v>
      </c>
      <c r="AH345" s="9" t="e">
        <f>+SUM([1]!Tabla2[[#This Row],[Web + APP 2026]:[Shein]])</f>
        <v>#REF!</v>
      </c>
      <c r="AI345" s="7"/>
      <c r="AJ345" s="9"/>
      <c r="AK345" s="21" t="e">
        <f t="shared" si="45"/>
        <v>#REF!</v>
      </c>
      <c r="AL345" s="21" t="e">
        <f t="shared" si="46"/>
        <v>#DIV/0!</v>
      </c>
      <c r="AM345" s="18" t="e">
        <f t="shared" si="47"/>
        <v>#REF!</v>
      </c>
      <c r="AN345" s="18" t="e">
        <f t="shared" si="48"/>
        <v>#DIV/0!</v>
      </c>
    </row>
    <row r="346" spans="1:40" hidden="1" x14ac:dyDescent="0.3">
      <c r="A346" s="11">
        <v>46001</v>
      </c>
      <c r="B346" s="6"/>
      <c r="C346" s="6"/>
      <c r="D346" s="7">
        <v>4.7607872779427921E-2</v>
      </c>
      <c r="E346" s="6"/>
      <c r="F346" s="11">
        <v>46365</v>
      </c>
      <c r="G346" s="6">
        <v>11667824.923703188</v>
      </c>
      <c r="H346" s="6">
        <f t="shared" si="43"/>
        <v>4176960.5557670733</v>
      </c>
      <c r="I346" s="6">
        <f t="shared" si="44"/>
        <v>970654.68522316788</v>
      </c>
      <c r="J346" s="6">
        <v>5484191</v>
      </c>
      <c r="K346" s="6"/>
      <c r="L346" s="6">
        <v>52041.379310344812</v>
      </c>
      <c r="M346" s="6"/>
      <c r="N346" s="6">
        <v>112954</v>
      </c>
      <c r="O346" s="6"/>
      <c r="P346" s="6">
        <v>4560</v>
      </c>
      <c r="Q346" s="6"/>
      <c r="R346" s="6">
        <v>107965</v>
      </c>
      <c r="S346" s="6"/>
      <c r="T346" s="6">
        <v>1680477</v>
      </c>
      <c r="U346" s="6"/>
      <c r="V346" s="6">
        <v>410059</v>
      </c>
      <c r="W346" s="6"/>
      <c r="X346" s="6">
        <v>100505</v>
      </c>
      <c r="Y346" s="6"/>
      <c r="Z346" s="6">
        <v>119493</v>
      </c>
      <c r="AA346" s="6"/>
      <c r="AB346" s="6">
        <v>22211.241379310348</v>
      </c>
      <c r="AC346" s="6"/>
      <c r="AD346" s="6">
        <v>688.79310344827593</v>
      </c>
      <c r="AE346" s="6"/>
      <c r="AF346" s="8">
        <v>6083.3302774514978</v>
      </c>
      <c r="AG346" s="8">
        <v>23978.409509340581</v>
      </c>
      <c r="AH346" s="9" t="e">
        <f>+SUM([1]!Tabla2[[#This Row],[Web + APP 2026]:[Shein]])</f>
        <v>#REF!</v>
      </c>
      <c r="AI346" s="7"/>
      <c r="AJ346" s="9"/>
      <c r="AK346" s="21" t="e">
        <f t="shared" si="45"/>
        <v>#REF!</v>
      </c>
      <c r="AL346" s="21" t="e">
        <f t="shared" si="46"/>
        <v>#DIV/0!</v>
      </c>
      <c r="AM346" s="18" t="e">
        <f t="shared" si="47"/>
        <v>#REF!</v>
      </c>
      <c r="AN346" s="18" t="e">
        <f t="shared" si="48"/>
        <v>#DIV/0!</v>
      </c>
    </row>
    <row r="347" spans="1:40" hidden="1" x14ac:dyDescent="0.3">
      <c r="A347" s="11">
        <v>46002</v>
      </c>
      <c r="B347" s="6"/>
      <c r="C347" s="6"/>
      <c r="D347" s="7">
        <v>4.4488284325881471E-2</v>
      </c>
      <c r="E347" s="6"/>
      <c r="F347" s="11">
        <v>46366</v>
      </c>
      <c r="G347" s="6">
        <v>10903270.454348397</v>
      </c>
      <c r="H347" s="6">
        <f t="shared" si="43"/>
        <v>3903257.9691999089</v>
      </c>
      <c r="I347" s="6">
        <f t="shared" si="44"/>
        <v>907050.85309161711</v>
      </c>
      <c r="J347" s="6">
        <v>6211860</v>
      </c>
      <c r="K347" s="6"/>
      <c r="L347" s="6">
        <v>49136.206896551703</v>
      </c>
      <c r="M347" s="6"/>
      <c r="N347" s="6">
        <v>53115</v>
      </c>
      <c r="O347" s="6"/>
      <c r="P347" s="6">
        <v>4450</v>
      </c>
      <c r="Q347" s="6"/>
      <c r="R347" s="6">
        <v>207485</v>
      </c>
      <c r="S347" s="6"/>
      <c r="T347" s="6">
        <v>1665235</v>
      </c>
      <c r="U347" s="6"/>
      <c r="V347" s="6">
        <v>400482</v>
      </c>
      <c r="W347" s="6"/>
      <c r="X347" s="6">
        <v>84857</v>
      </c>
      <c r="Y347" s="6"/>
      <c r="Z347" s="6">
        <v>100371</v>
      </c>
      <c r="AA347" s="6"/>
      <c r="AB347" s="6">
        <v>17824.655172413793</v>
      </c>
      <c r="AC347" s="6"/>
      <c r="AD347" s="6">
        <v>0</v>
      </c>
      <c r="AE347" s="6"/>
      <c r="AF347" s="8">
        <v>5684.7095077193189</v>
      </c>
      <c r="AG347" s="8">
        <v>22407.182628729552</v>
      </c>
      <c r="AH347" s="9" t="e">
        <f>+SUM([1]!Tabla2[[#This Row],[Web + APP 2026]:[Shein]])</f>
        <v>#REF!</v>
      </c>
      <c r="AI347" s="7"/>
      <c r="AJ347" s="9"/>
      <c r="AK347" s="21" t="e">
        <f t="shared" si="45"/>
        <v>#REF!</v>
      </c>
      <c r="AL347" s="21" t="e">
        <f t="shared" si="46"/>
        <v>#DIV/0!</v>
      </c>
      <c r="AM347" s="18" t="e">
        <f t="shared" si="47"/>
        <v>#REF!</v>
      </c>
      <c r="AN347" s="18" t="e">
        <f t="shared" si="48"/>
        <v>#DIV/0!</v>
      </c>
    </row>
    <row r="348" spans="1:40" hidden="1" x14ac:dyDescent="0.3">
      <c r="A348" s="11">
        <v>46003</v>
      </c>
      <c r="B348" s="6"/>
      <c r="C348" s="6"/>
      <c r="D348" s="7">
        <v>3.6597634094915982E-2</v>
      </c>
      <c r="E348" s="6"/>
      <c r="F348" s="11">
        <v>46367</v>
      </c>
      <c r="G348" s="6">
        <v>8969415.3994158246</v>
      </c>
      <c r="H348" s="6">
        <f t="shared" si="43"/>
        <v>3210957.8757510949</v>
      </c>
      <c r="I348" s="6">
        <f t="shared" si="44"/>
        <v>746172.07046611968</v>
      </c>
      <c r="J348" s="6">
        <v>3784370</v>
      </c>
      <c r="K348" s="6"/>
      <c r="L348" s="6">
        <v>54965.517241379297</v>
      </c>
      <c r="M348" s="6"/>
      <c r="N348" s="6">
        <v>67282</v>
      </c>
      <c r="O348" s="6"/>
      <c r="P348" s="6">
        <v>3570</v>
      </c>
      <c r="Q348" s="6"/>
      <c r="R348" s="6">
        <v>221780</v>
      </c>
      <c r="S348" s="6"/>
      <c r="T348" s="6">
        <v>1763567</v>
      </c>
      <c r="U348" s="6"/>
      <c r="V348" s="6">
        <v>363270</v>
      </c>
      <c r="W348" s="6"/>
      <c r="X348" s="6">
        <v>90425</v>
      </c>
      <c r="Y348" s="6"/>
      <c r="Z348" s="6">
        <v>114050</v>
      </c>
      <c r="AA348" s="6"/>
      <c r="AB348" s="6">
        <v>3750.2586206896549</v>
      </c>
      <c r="AC348" s="6"/>
      <c r="AD348" s="6">
        <v>0</v>
      </c>
      <c r="AE348" s="6"/>
      <c r="AF348" s="8">
        <v>4676.4428354987913</v>
      </c>
      <c r="AG348" s="8">
        <v>18432.939893506529</v>
      </c>
      <c r="AH348" s="9" t="e">
        <f>+SUM([1]!Tabla2[[#This Row],[Web + APP 2026]:[Shein]])</f>
        <v>#REF!</v>
      </c>
      <c r="AI348" s="7"/>
      <c r="AJ348" s="9"/>
      <c r="AK348" s="21" t="e">
        <f t="shared" si="45"/>
        <v>#REF!</v>
      </c>
      <c r="AL348" s="21" t="e">
        <f t="shared" si="46"/>
        <v>#DIV/0!</v>
      </c>
      <c r="AM348" s="18" t="e">
        <f t="shared" si="47"/>
        <v>#REF!</v>
      </c>
      <c r="AN348" s="18" t="e">
        <f t="shared" si="48"/>
        <v>#DIV/0!</v>
      </c>
    </row>
    <row r="349" spans="1:40" hidden="1" x14ac:dyDescent="0.3">
      <c r="A349" s="11">
        <v>46004</v>
      </c>
      <c r="B349" s="6"/>
      <c r="C349" s="6"/>
      <c r="D349" s="7">
        <v>3.1345976651913368E-2</v>
      </c>
      <c r="E349" s="6"/>
      <c r="F349" s="11">
        <v>46368</v>
      </c>
      <c r="G349" s="6">
        <v>7682329.5451893099</v>
      </c>
      <c r="H349" s="6">
        <f t="shared" si="43"/>
        <v>2750194.4618205032</v>
      </c>
      <c r="I349" s="6">
        <f t="shared" si="44"/>
        <v>639098.47938476526</v>
      </c>
      <c r="J349" s="6">
        <v>3236267</v>
      </c>
      <c r="K349" s="6"/>
      <c r="L349" s="6">
        <v>59461.206896551696</v>
      </c>
      <c r="M349" s="6"/>
      <c r="N349" s="6">
        <v>-5517</v>
      </c>
      <c r="O349" s="6"/>
      <c r="P349" s="6">
        <v>1235</v>
      </c>
      <c r="Q349" s="6"/>
      <c r="R349" s="6">
        <v>131578</v>
      </c>
      <c r="S349" s="6"/>
      <c r="T349" s="6">
        <v>1165862</v>
      </c>
      <c r="U349" s="6"/>
      <c r="V349" s="6">
        <v>332613</v>
      </c>
      <c r="W349" s="6"/>
      <c r="X349" s="6">
        <v>91573</v>
      </c>
      <c r="Y349" s="6"/>
      <c r="Z349" s="6">
        <v>125582</v>
      </c>
      <c r="AA349" s="6"/>
      <c r="AB349" s="6">
        <v>-581.07758620689651</v>
      </c>
      <c r="AC349" s="6"/>
      <c r="AD349" s="6">
        <v>0</v>
      </c>
      <c r="AE349" s="6"/>
      <c r="AF349" s="8">
        <v>4005.386456276859</v>
      </c>
      <c r="AG349" s="8">
        <v>15787.864921253036</v>
      </c>
      <c r="AH349" s="9" t="e">
        <f>+SUM([1]!Tabla2[[#This Row],[Web + APP 2026]:[Shein]])</f>
        <v>#REF!</v>
      </c>
      <c r="AI349" s="7"/>
      <c r="AJ349" s="9"/>
      <c r="AK349" s="21" t="e">
        <f t="shared" si="45"/>
        <v>#REF!</v>
      </c>
      <c r="AL349" s="21" t="e">
        <f t="shared" si="46"/>
        <v>#DIV/0!</v>
      </c>
      <c r="AM349" s="18" t="e">
        <f t="shared" si="47"/>
        <v>#REF!</v>
      </c>
      <c r="AN349" s="18" t="e">
        <f t="shared" si="48"/>
        <v>#DIV/0!</v>
      </c>
    </row>
    <row r="350" spans="1:40" hidden="1" x14ac:dyDescent="0.3">
      <c r="A350" s="11">
        <v>46005</v>
      </c>
      <c r="B350" s="6"/>
      <c r="C350" s="6"/>
      <c r="D350" s="7">
        <v>2.9264605637424567E-2</v>
      </c>
      <c r="E350" s="6"/>
      <c r="F350" s="11">
        <v>46369</v>
      </c>
      <c r="G350" s="6">
        <v>7172223.3131624972</v>
      </c>
      <c r="H350" s="6">
        <f t="shared" si="43"/>
        <v>2567581.7105699717</v>
      </c>
      <c r="I350" s="6">
        <f t="shared" si="44"/>
        <v>596662.37777061679</v>
      </c>
      <c r="J350" s="6">
        <v>4186498</v>
      </c>
      <c r="K350" s="6"/>
      <c r="L350" s="6">
        <v>63377.586206896522</v>
      </c>
      <c r="M350" s="6"/>
      <c r="N350" s="6">
        <v>-2176</v>
      </c>
      <c r="O350" s="6"/>
      <c r="P350" s="6">
        <v>4620</v>
      </c>
      <c r="Q350" s="6"/>
      <c r="R350" s="6">
        <v>163689</v>
      </c>
      <c r="S350" s="6"/>
      <c r="T350" s="6">
        <v>3655</v>
      </c>
      <c r="U350" s="6"/>
      <c r="V350" s="6">
        <v>400332</v>
      </c>
      <c r="W350" s="6"/>
      <c r="X350" s="6">
        <v>101596</v>
      </c>
      <c r="Y350" s="6"/>
      <c r="Z350" s="6">
        <v>147093</v>
      </c>
      <c r="AA350" s="6"/>
      <c r="AB350" s="6">
        <v>-631.02586206896558</v>
      </c>
      <c r="AC350" s="6"/>
      <c r="AD350" s="6">
        <v>0</v>
      </c>
      <c r="AE350" s="6"/>
      <c r="AF350" s="8">
        <v>3739.4290300815646</v>
      </c>
      <c r="AG350" s="8">
        <v>14739.551614806585</v>
      </c>
      <c r="AH350" s="9" t="e">
        <f>+SUM([1]!Tabla2[[#This Row],[Web + APP 2026]:[Shein]])</f>
        <v>#REF!</v>
      </c>
      <c r="AI350" s="7"/>
      <c r="AJ350" s="9"/>
      <c r="AK350" s="21" t="e">
        <f t="shared" si="45"/>
        <v>#REF!</v>
      </c>
      <c r="AL350" s="21" t="e">
        <f t="shared" si="46"/>
        <v>#DIV/0!</v>
      </c>
      <c r="AM350" s="18" t="e">
        <f t="shared" si="47"/>
        <v>#REF!</v>
      </c>
      <c r="AN350" s="18" t="e">
        <f t="shared" si="48"/>
        <v>#DIV/0!</v>
      </c>
    </row>
    <row r="351" spans="1:40" hidden="1" x14ac:dyDescent="0.3">
      <c r="A351" s="11">
        <v>46006</v>
      </c>
      <c r="B351" s="6"/>
      <c r="C351" s="6"/>
      <c r="D351" s="7">
        <v>3.6166287890729308E-2</v>
      </c>
      <c r="E351" s="6"/>
      <c r="F351" s="11">
        <v>46370</v>
      </c>
      <c r="G351" s="6">
        <v>8863700.2792450115</v>
      </c>
      <c r="H351" s="6">
        <f t="shared" si="43"/>
        <v>3173112.9569261116</v>
      </c>
      <c r="I351" s="6">
        <f t="shared" si="44"/>
        <v>737377.55414763489</v>
      </c>
      <c r="J351" s="6">
        <v>5911164</v>
      </c>
      <c r="K351" s="6"/>
      <c r="L351" s="6">
        <v>55170.689655172406</v>
      </c>
      <c r="M351" s="6"/>
      <c r="N351" s="6">
        <v>96597</v>
      </c>
      <c r="O351" s="6"/>
      <c r="P351" s="6">
        <v>5578</v>
      </c>
      <c r="Q351" s="6"/>
      <c r="R351" s="6">
        <v>174915</v>
      </c>
      <c r="S351" s="6"/>
      <c r="T351" s="6">
        <v>2393939</v>
      </c>
      <c r="U351" s="6"/>
      <c r="V351" s="6">
        <v>492432</v>
      </c>
      <c r="W351" s="6"/>
      <c r="X351" s="6">
        <v>136733</v>
      </c>
      <c r="Y351" s="6"/>
      <c r="Z351" s="6">
        <v>186165</v>
      </c>
      <c r="AA351" s="6"/>
      <c r="AB351" s="6">
        <v>22443.086206896551</v>
      </c>
      <c r="AC351" s="6"/>
      <c r="AD351" s="6">
        <v>0</v>
      </c>
      <c r="AE351" s="6"/>
      <c r="AF351" s="8">
        <v>4621.3254511084006</v>
      </c>
      <c r="AG351" s="8">
        <v>18215.685995769745</v>
      </c>
      <c r="AH351" s="9" t="e">
        <f>+SUM([1]!Tabla2[[#This Row],[Web + APP 2026]:[Shein]])</f>
        <v>#REF!</v>
      </c>
      <c r="AI351" s="7"/>
      <c r="AJ351" s="9"/>
      <c r="AK351" s="21" t="e">
        <f t="shared" si="45"/>
        <v>#REF!</v>
      </c>
      <c r="AL351" s="21" t="e">
        <f t="shared" si="46"/>
        <v>#DIV/0!</v>
      </c>
      <c r="AM351" s="18" t="e">
        <f t="shared" si="47"/>
        <v>#REF!</v>
      </c>
      <c r="AN351" s="18" t="e">
        <f t="shared" si="48"/>
        <v>#DIV/0!</v>
      </c>
    </row>
    <row r="352" spans="1:40" hidden="1" x14ac:dyDescent="0.3">
      <c r="A352" s="11">
        <v>46007</v>
      </c>
      <c r="B352" s="6"/>
      <c r="C352" s="6"/>
      <c r="D352" s="7">
        <v>4.6989040428206529E-2</v>
      </c>
      <c r="E352" s="6"/>
      <c r="F352" s="11">
        <v>46371</v>
      </c>
      <c r="G352" s="6">
        <v>11516160.354176469</v>
      </c>
      <c r="H352" s="6">
        <f t="shared" si="43"/>
        <v>4122666.2096688938</v>
      </c>
      <c r="I352" s="6">
        <f t="shared" si="44"/>
        <v>958037.60140882293</v>
      </c>
      <c r="J352" s="6">
        <v>6852617</v>
      </c>
      <c r="K352" s="6"/>
      <c r="L352" s="6">
        <v>56310.344827586188</v>
      </c>
      <c r="M352" s="6"/>
      <c r="N352" s="6">
        <v>109047</v>
      </c>
      <c r="O352" s="6"/>
      <c r="P352" s="6">
        <v>2019</v>
      </c>
      <c r="Q352" s="6"/>
      <c r="R352" s="6">
        <v>138436</v>
      </c>
      <c r="S352" s="6"/>
      <c r="T352" s="6">
        <v>4615472</v>
      </c>
      <c r="U352" s="6"/>
      <c r="V352" s="6">
        <v>570628</v>
      </c>
      <c r="W352" s="6"/>
      <c r="X352" s="6">
        <v>102615</v>
      </c>
      <c r="Y352" s="6"/>
      <c r="Z352" s="6">
        <v>148024</v>
      </c>
      <c r="AA352" s="6"/>
      <c r="AB352" s="6">
        <v>22071.637931034486</v>
      </c>
      <c r="AC352" s="6"/>
      <c r="AD352" s="6">
        <v>1033.6206896551726</v>
      </c>
      <c r="AE352" s="6"/>
      <c r="AF352" s="8">
        <v>6004.2559277889295</v>
      </c>
      <c r="AG352" s="8">
        <v>23666.725439691782</v>
      </c>
      <c r="AH352" s="9" t="e">
        <f>+SUM([1]!Tabla2[[#This Row],[Web + APP 2026]:[Shein]])</f>
        <v>#REF!</v>
      </c>
      <c r="AI352" s="7"/>
      <c r="AJ352" s="9"/>
      <c r="AK352" s="21" t="e">
        <f t="shared" si="45"/>
        <v>#REF!</v>
      </c>
      <c r="AL352" s="21" t="e">
        <f t="shared" si="46"/>
        <v>#DIV/0!</v>
      </c>
      <c r="AM352" s="18" t="e">
        <f t="shared" si="47"/>
        <v>#REF!</v>
      </c>
      <c r="AN352" s="18" t="e">
        <f t="shared" si="48"/>
        <v>#DIV/0!</v>
      </c>
    </row>
    <row r="353" spans="1:40" hidden="1" x14ac:dyDescent="0.3">
      <c r="A353" s="11">
        <v>46008</v>
      </c>
      <c r="B353" s="6"/>
      <c r="C353" s="6"/>
      <c r="D353" s="7">
        <v>5.30156153306474E-2</v>
      </c>
      <c r="E353" s="6"/>
      <c r="F353" s="11">
        <v>46372</v>
      </c>
      <c r="G353" s="6">
        <v>12993164.403003635</v>
      </c>
      <c r="H353" s="6">
        <f t="shared" si="43"/>
        <v>4651418.3715329468</v>
      </c>
      <c r="I353" s="6">
        <f t="shared" si="44"/>
        <v>1080910.6226842105</v>
      </c>
      <c r="J353" s="6">
        <v>5512521</v>
      </c>
      <c r="K353" s="6"/>
      <c r="L353" s="6">
        <v>51579.310344827572</v>
      </c>
      <c r="M353" s="6"/>
      <c r="N353" s="6">
        <v>78025</v>
      </c>
      <c r="O353" s="6"/>
      <c r="P353" s="6">
        <v>134</v>
      </c>
      <c r="Q353" s="6"/>
      <c r="R353" s="6">
        <v>184118</v>
      </c>
      <c r="S353" s="6"/>
      <c r="T353" s="6">
        <v>2496155</v>
      </c>
      <c r="U353" s="6"/>
      <c r="V353" s="6">
        <v>626379</v>
      </c>
      <c r="W353" s="6"/>
      <c r="X353" s="6">
        <v>144053</v>
      </c>
      <c r="Y353" s="6"/>
      <c r="Z353" s="6">
        <v>183327</v>
      </c>
      <c r="AA353" s="6"/>
      <c r="AB353" s="6">
        <v>21990.379310344833</v>
      </c>
      <c r="AC353" s="6"/>
      <c r="AD353" s="6">
        <v>0</v>
      </c>
      <c r="AE353" s="6"/>
      <c r="AF353" s="8">
        <v>6774.3311996500552</v>
      </c>
      <c r="AG353" s="8">
        <v>26702.099055710292</v>
      </c>
      <c r="AH353" s="9" t="e">
        <f>+SUM([1]!Tabla2[[#This Row],[Web + APP 2026]:[Shein]])</f>
        <v>#REF!</v>
      </c>
      <c r="AI353" s="7"/>
      <c r="AJ353" s="9"/>
      <c r="AK353" s="21" t="e">
        <f t="shared" si="45"/>
        <v>#REF!</v>
      </c>
      <c r="AL353" s="21" t="e">
        <f t="shared" si="46"/>
        <v>#DIV/0!</v>
      </c>
      <c r="AM353" s="18" t="e">
        <f t="shared" si="47"/>
        <v>#REF!</v>
      </c>
      <c r="AN353" s="18" t="e">
        <f t="shared" si="48"/>
        <v>#DIV/0!</v>
      </c>
    </row>
    <row r="354" spans="1:40" hidden="1" x14ac:dyDescent="0.3">
      <c r="A354" s="11">
        <v>46009</v>
      </c>
      <c r="B354" s="6"/>
      <c r="C354" s="6"/>
      <c r="D354" s="7">
        <v>4.5760526850123127E-2</v>
      </c>
      <c r="E354" s="6"/>
      <c r="F354" s="11">
        <v>46373</v>
      </c>
      <c r="G354" s="6">
        <v>11215073.989493037</v>
      </c>
      <c r="H354" s="6">
        <f t="shared" si="43"/>
        <v>4014880.4074833356</v>
      </c>
      <c r="I354" s="6">
        <f t="shared" si="44"/>
        <v>932990.01178112149</v>
      </c>
      <c r="J354" s="6">
        <v>4907692</v>
      </c>
      <c r="K354" s="6"/>
      <c r="L354" s="6">
        <v>57534.482758620667</v>
      </c>
      <c r="M354" s="6"/>
      <c r="N354" s="6">
        <v>25079</v>
      </c>
      <c r="O354" s="6"/>
      <c r="P354" s="6">
        <v>0</v>
      </c>
      <c r="Q354" s="6"/>
      <c r="R354" s="6">
        <v>195871</v>
      </c>
      <c r="S354" s="6"/>
      <c r="T354" s="6">
        <v>1595724</v>
      </c>
      <c r="U354" s="6"/>
      <c r="V354" s="6">
        <v>465815</v>
      </c>
      <c r="W354" s="6"/>
      <c r="X354" s="6">
        <v>88159</v>
      </c>
      <c r="Y354" s="6"/>
      <c r="Z354" s="6">
        <v>123030</v>
      </c>
      <c r="AA354" s="6"/>
      <c r="AB354" s="6">
        <v>12842.086206896549</v>
      </c>
      <c r="AC354" s="6"/>
      <c r="AD354" s="6">
        <v>-947.41379310344837</v>
      </c>
      <c r="AE354" s="6"/>
      <c r="AF354" s="8">
        <v>5847.2765584220124</v>
      </c>
      <c r="AG354" s="8">
        <v>23047.966399573565</v>
      </c>
      <c r="AH354" s="9" t="e">
        <f>+SUM([1]!Tabla2[[#This Row],[Web + APP 2026]:[Shein]])</f>
        <v>#REF!</v>
      </c>
      <c r="AI354" s="7"/>
      <c r="AJ354" s="9"/>
      <c r="AK354" s="21" t="e">
        <f t="shared" si="45"/>
        <v>#REF!</v>
      </c>
      <c r="AL354" s="21" t="e">
        <f t="shared" si="46"/>
        <v>#DIV/0!</v>
      </c>
      <c r="AM354" s="18" t="e">
        <f t="shared" si="47"/>
        <v>#REF!</v>
      </c>
      <c r="AN354" s="18" t="e">
        <f t="shared" si="48"/>
        <v>#DIV/0!</v>
      </c>
    </row>
    <row r="355" spans="1:40" hidden="1" x14ac:dyDescent="0.3">
      <c r="A355" s="11">
        <v>46010</v>
      </c>
      <c r="B355" s="6"/>
      <c r="C355" s="6"/>
      <c r="D355" s="7">
        <v>3.8909374718282014E-2</v>
      </c>
      <c r="E355" s="6"/>
      <c r="F355" s="11">
        <v>46374</v>
      </c>
      <c r="G355" s="6">
        <v>9535981.0384103656</v>
      </c>
      <c r="H355" s="6">
        <f t="shared" si="43"/>
        <v>3413782.5103173512</v>
      </c>
      <c r="I355" s="6">
        <f t="shared" si="44"/>
        <v>793305.07045305858</v>
      </c>
      <c r="J355" s="6">
        <v>4233630</v>
      </c>
      <c r="K355" s="6"/>
      <c r="L355" s="6">
        <v>55192.241379310333</v>
      </c>
      <c r="M355" s="6"/>
      <c r="N355" s="6">
        <v>61571</v>
      </c>
      <c r="O355" s="6"/>
      <c r="P355" s="6">
        <v>1807</v>
      </c>
      <c r="Q355" s="6"/>
      <c r="R355" s="6">
        <v>260142</v>
      </c>
      <c r="S355" s="6"/>
      <c r="T355" s="6">
        <v>910724</v>
      </c>
      <c r="U355" s="6"/>
      <c r="V355" s="6">
        <v>311790</v>
      </c>
      <c r="W355" s="6"/>
      <c r="X355" s="6">
        <v>88213</v>
      </c>
      <c r="Y355" s="6"/>
      <c r="Z355" s="6">
        <v>121448</v>
      </c>
      <c r="AA355" s="6"/>
      <c r="AB355" s="6">
        <v>5383.2672413793107</v>
      </c>
      <c r="AC355" s="6"/>
      <c r="AD355" s="6">
        <v>0</v>
      </c>
      <c r="AE355" s="6"/>
      <c r="AF355" s="8">
        <v>4971.8368723819958</v>
      </c>
      <c r="AG355" s="8">
        <v>19597.282261905777</v>
      </c>
      <c r="AH355" s="9" t="e">
        <f>+SUM([1]!Tabla2[[#This Row],[Web + APP 2026]:[Shein]])</f>
        <v>#REF!</v>
      </c>
      <c r="AI355" s="7"/>
      <c r="AJ355" s="9"/>
      <c r="AK355" s="21" t="e">
        <f t="shared" si="45"/>
        <v>#REF!</v>
      </c>
      <c r="AL355" s="21" t="e">
        <f t="shared" si="46"/>
        <v>#DIV/0!</v>
      </c>
      <c r="AM355" s="18" t="e">
        <f t="shared" si="47"/>
        <v>#REF!</v>
      </c>
      <c r="AN355" s="18" t="e">
        <f t="shared" si="48"/>
        <v>#DIV/0!</v>
      </c>
    </row>
    <row r="356" spans="1:40" hidden="1" x14ac:dyDescent="0.3">
      <c r="A356" s="11">
        <v>46011</v>
      </c>
      <c r="B356" s="6"/>
      <c r="C356" s="6"/>
      <c r="D356" s="7">
        <v>3.5209429666680718E-2</v>
      </c>
      <c r="E356" s="6"/>
      <c r="F356" s="11">
        <v>46375</v>
      </c>
      <c r="G356" s="6">
        <v>8629191.7078007348</v>
      </c>
      <c r="H356" s="6">
        <f t="shared" si="43"/>
        <v>3089161.3156118756</v>
      </c>
      <c r="I356" s="6">
        <f t="shared" si="44"/>
        <v>717868.61867029883</v>
      </c>
      <c r="J356" s="6">
        <v>3162185</v>
      </c>
      <c r="K356" s="6"/>
      <c r="L356" s="6">
        <v>56364.655172413783</v>
      </c>
      <c r="M356" s="6"/>
      <c r="N356" s="6">
        <v>11112</v>
      </c>
      <c r="O356" s="6"/>
      <c r="P356" s="6">
        <v>6379</v>
      </c>
      <c r="Q356" s="6"/>
      <c r="R356" s="6">
        <v>167453</v>
      </c>
      <c r="S356" s="6"/>
      <c r="T356" s="6">
        <v>1460290</v>
      </c>
      <c r="U356" s="6"/>
      <c r="V356" s="6">
        <v>236261</v>
      </c>
      <c r="W356" s="6"/>
      <c r="X356" s="6">
        <v>60838</v>
      </c>
      <c r="Y356" s="6"/>
      <c r="Z356" s="6">
        <v>88123</v>
      </c>
      <c r="AA356" s="6"/>
      <c r="AB356" s="6">
        <v>2239.6551724137935</v>
      </c>
      <c r="AC356" s="6"/>
      <c r="AD356" s="6">
        <v>0</v>
      </c>
      <c r="AE356" s="6"/>
      <c r="AF356" s="8">
        <v>4499.058181731506</v>
      </c>
      <c r="AG356" s="8">
        <v>17733.75019399765</v>
      </c>
      <c r="AH356" s="9" t="e">
        <f>+SUM([1]!Tabla2[[#This Row],[Web + APP 2026]:[Shein]])</f>
        <v>#REF!</v>
      </c>
      <c r="AI356" s="7"/>
      <c r="AJ356" s="9"/>
      <c r="AK356" s="21" t="e">
        <f t="shared" si="45"/>
        <v>#REF!</v>
      </c>
      <c r="AL356" s="21" t="e">
        <f t="shared" si="46"/>
        <v>#DIV/0!</v>
      </c>
      <c r="AM356" s="18" t="e">
        <f t="shared" si="47"/>
        <v>#REF!</v>
      </c>
      <c r="AN356" s="18" t="e">
        <f t="shared" si="48"/>
        <v>#DIV/0!</v>
      </c>
    </row>
    <row r="357" spans="1:40" hidden="1" x14ac:dyDescent="0.3">
      <c r="A357" s="11">
        <v>46012</v>
      </c>
      <c r="B357" s="6"/>
      <c r="C357" s="6"/>
      <c r="D357" s="7">
        <v>2.7300048228041739E-2</v>
      </c>
      <c r="E357" s="6"/>
      <c r="F357" s="11">
        <v>46376</v>
      </c>
      <c r="G357" s="6">
        <v>6690745.9740794599</v>
      </c>
      <c r="H357" s="6">
        <f t="shared" si="43"/>
        <v>2395217.8066721717</v>
      </c>
      <c r="I357" s="6">
        <f t="shared" si="44"/>
        <v>556607.9341990205</v>
      </c>
      <c r="J357" s="6">
        <v>3267153</v>
      </c>
      <c r="K357" s="6"/>
      <c r="L357" s="6">
        <v>67824.137931034464</v>
      </c>
      <c r="M357" s="6"/>
      <c r="N357" s="6">
        <v>8034</v>
      </c>
      <c r="O357" s="6"/>
      <c r="P357" s="6">
        <v>4687</v>
      </c>
      <c r="Q357" s="6"/>
      <c r="R357" s="6">
        <v>221631</v>
      </c>
      <c r="S357" s="6"/>
      <c r="T357" s="6">
        <v>682525</v>
      </c>
      <c r="U357" s="6"/>
      <c r="V357" s="6">
        <v>246073</v>
      </c>
      <c r="W357" s="6"/>
      <c r="X357" s="6">
        <v>84110</v>
      </c>
      <c r="Y357" s="6"/>
      <c r="Z357" s="6">
        <v>101881</v>
      </c>
      <c r="AA357" s="6"/>
      <c r="AB357" s="6">
        <v>2570.6120689655172</v>
      </c>
      <c r="AC357" s="6"/>
      <c r="AD357" s="6">
        <v>775</v>
      </c>
      <c r="AE357" s="6"/>
      <c r="AF357" s="8">
        <v>3488.3980372526967</v>
      </c>
      <c r="AG357" s="8">
        <v>13750.073208891623</v>
      </c>
      <c r="AH357" s="9" t="e">
        <f>+SUM([1]!Tabla2[[#This Row],[Web + APP 2026]:[Shein]])</f>
        <v>#REF!</v>
      </c>
      <c r="AI357" s="7"/>
      <c r="AJ357" s="9"/>
      <c r="AK357" s="21" t="e">
        <f t="shared" si="45"/>
        <v>#REF!</v>
      </c>
      <c r="AL357" s="21" t="e">
        <f t="shared" si="46"/>
        <v>#DIV/0!</v>
      </c>
      <c r="AM357" s="18" t="e">
        <f t="shared" si="47"/>
        <v>#REF!</v>
      </c>
      <c r="AN357" s="18" t="e">
        <f t="shared" si="48"/>
        <v>#DIV/0!</v>
      </c>
    </row>
    <row r="358" spans="1:40" hidden="1" x14ac:dyDescent="0.3">
      <c r="A358" s="11">
        <v>46013</v>
      </c>
      <c r="B358" s="6"/>
      <c r="C358" s="6"/>
      <c r="D358" s="7">
        <v>3.0455377044321236E-2</v>
      </c>
      <c r="E358" s="6"/>
      <c r="F358" s="11">
        <v>46377</v>
      </c>
      <c r="G358" s="6">
        <v>7464059.7571933633</v>
      </c>
      <c r="H358" s="6">
        <f t="shared" si="43"/>
        <v>2672056.1369024985</v>
      </c>
      <c r="I358" s="6">
        <f t="shared" si="44"/>
        <v>620940.45989558601</v>
      </c>
      <c r="J358" s="6">
        <v>3485137</v>
      </c>
      <c r="K358" s="6"/>
      <c r="L358" s="6">
        <v>49748.275862068956</v>
      </c>
      <c r="M358" s="6"/>
      <c r="N358" s="6">
        <v>47955</v>
      </c>
      <c r="O358" s="6"/>
      <c r="P358" s="6">
        <v>5639</v>
      </c>
      <c r="Q358" s="6"/>
      <c r="R358" s="6">
        <v>157781</v>
      </c>
      <c r="S358" s="6"/>
      <c r="T358" s="6">
        <v>2394236</v>
      </c>
      <c r="U358" s="6"/>
      <c r="V358" s="6">
        <v>262249</v>
      </c>
      <c r="W358" s="6"/>
      <c r="X358" s="6">
        <v>63093</v>
      </c>
      <c r="Y358" s="6"/>
      <c r="Z358" s="6">
        <v>90524</v>
      </c>
      <c r="AA358" s="6"/>
      <c r="AB358" s="6">
        <v>4798.2241379310353</v>
      </c>
      <c r="AC358" s="6"/>
      <c r="AD358" s="6">
        <v>0</v>
      </c>
      <c r="AE358" s="6"/>
      <c r="AF358" s="8">
        <v>3891.5857077524943</v>
      </c>
      <c r="AG358" s="8">
        <v>15339.301251990964</v>
      </c>
      <c r="AH358" s="9" t="e">
        <f>+SUM([1]!Tabla2[[#This Row],[Web + APP 2026]:[Shein]])</f>
        <v>#REF!</v>
      </c>
      <c r="AI358" s="7"/>
      <c r="AJ358" s="9"/>
      <c r="AK358" s="21" t="e">
        <f t="shared" si="45"/>
        <v>#REF!</v>
      </c>
      <c r="AL358" s="21" t="e">
        <f t="shared" si="46"/>
        <v>#DIV/0!</v>
      </c>
      <c r="AM358" s="18" t="e">
        <f t="shared" si="47"/>
        <v>#REF!</v>
      </c>
      <c r="AN358" s="18" t="e">
        <f t="shared" si="48"/>
        <v>#DIV/0!</v>
      </c>
    </row>
    <row r="359" spans="1:40" hidden="1" x14ac:dyDescent="0.3">
      <c r="A359" s="11">
        <v>46014</v>
      </c>
      <c r="B359" s="6"/>
      <c r="C359" s="6"/>
      <c r="D359" s="7">
        <v>2.9204377313514732E-2</v>
      </c>
      <c r="E359" s="6"/>
      <c r="F359" s="11">
        <v>46378</v>
      </c>
      <c r="G359" s="6">
        <v>7157462.4448900614</v>
      </c>
      <c r="H359" s="6">
        <f t="shared" si="43"/>
        <v>2562297.472509664</v>
      </c>
      <c r="I359" s="6">
        <f t="shared" si="44"/>
        <v>595434.4106010464</v>
      </c>
      <c r="J359" s="6">
        <v>3161304</v>
      </c>
      <c r="K359" s="6"/>
      <c r="L359" s="6">
        <v>49668.96551724137</v>
      </c>
      <c r="M359" s="6"/>
      <c r="N359" s="6">
        <v>40624</v>
      </c>
      <c r="O359" s="6"/>
      <c r="P359" s="6">
        <v>2572</v>
      </c>
      <c r="Q359" s="6"/>
      <c r="R359" s="6">
        <v>106256</v>
      </c>
      <c r="S359" s="6"/>
      <c r="T359" s="6">
        <v>434393</v>
      </c>
      <c r="U359" s="6"/>
      <c r="V359" s="6">
        <v>198282</v>
      </c>
      <c r="W359" s="6"/>
      <c r="X359" s="6">
        <v>42615</v>
      </c>
      <c r="Y359" s="6"/>
      <c r="Z359" s="6">
        <v>57674</v>
      </c>
      <c r="AA359" s="6"/>
      <c r="AB359" s="6">
        <v>15040.870689655176</v>
      </c>
      <c r="AC359" s="6"/>
      <c r="AD359" s="6">
        <v>0</v>
      </c>
      <c r="AE359" s="6"/>
      <c r="AF359" s="8">
        <v>3731.73305954118</v>
      </c>
      <c r="AG359" s="8">
        <v>14709.216728359079</v>
      </c>
      <c r="AH359" s="9" t="e">
        <f>+SUM([1]!Tabla2[[#This Row],[Web + APP 2026]:[Shein]])</f>
        <v>#REF!</v>
      </c>
      <c r="AI359" s="7"/>
      <c r="AJ359" s="9"/>
      <c r="AK359" s="21" t="e">
        <f t="shared" si="45"/>
        <v>#REF!</v>
      </c>
      <c r="AL359" s="21" t="e">
        <f t="shared" si="46"/>
        <v>#DIV/0!</v>
      </c>
      <c r="AM359" s="18" t="e">
        <f t="shared" si="47"/>
        <v>#REF!</v>
      </c>
      <c r="AN359" s="18" t="e">
        <f t="shared" si="48"/>
        <v>#DIV/0!</v>
      </c>
    </row>
    <row r="360" spans="1:40" hidden="1" x14ac:dyDescent="0.3">
      <c r="A360" s="11">
        <v>46015</v>
      </c>
      <c r="B360" s="6"/>
      <c r="C360" s="6"/>
      <c r="D360" s="7">
        <v>2.6852277247660872E-2</v>
      </c>
      <c r="E360" s="6"/>
      <c r="F360" s="11">
        <v>46379</v>
      </c>
      <c r="G360" s="6">
        <v>6581005.4395841556</v>
      </c>
      <c r="H360" s="6">
        <f t="shared" si="43"/>
        <v>2355931.8311837595</v>
      </c>
      <c r="I360" s="6">
        <f t="shared" si="44"/>
        <v>547478.54078908288</v>
      </c>
      <c r="J360" s="6">
        <v>1627852</v>
      </c>
      <c r="K360" s="6"/>
      <c r="L360" s="6">
        <v>28223.275862068956</v>
      </c>
      <c r="M360" s="6"/>
      <c r="N360" s="6">
        <v>5195</v>
      </c>
      <c r="O360" s="6"/>
      <c r="P360" s="6">
        <v>3081</v>
      </c>
      <c r="Q360" s="6"/>
      <c r="R360" s="6">
        <v>156813</v>
      </c>
      <c r="S360" s="6"/>
      <c r="T360" s="6">
        <v>160817</v>
      </c>
      <c r="U360" s="6"/>
      <c r="V360" s="6">
        <v>185477</v>
      </c>
      <c r="W360" s="6"/>
      <c r="X360" s="6">
        <v>29110</v>
      </c>
      <c r="Y360" s="6"/>
      <c r="Z360" s="6">
        <v>38376</v>
      </c>
      <c r="AA360" s="6"/>
      <c r="AB360" s="6">
        <v>2128.8706896551726</v>
      </c>
      <c r="AC360" s="6"/>
      <c r="AD360" s="6">
        <v>0</v>
      </c>
      <c r="AE360" s="6"/>
      <c r="AF360" s="8">
        <v>3431.1818962388911</v>
      </c>
      <c r="AG360" s="8">
        <v>13524.546729611269</v>
      </c>
      <c r="AH360" s="9" t="e">
        <f>+SUM([1]!Tabla2[[#This Row],[Web + APP 2026]:[Shein]])</f>
        <v>#REF!</v>
      </c>
      <c r="AI360" s="7"/>
      <c r="AJ360" s="9"/>
      <c r="AK360" s="21" t="e">
        <f t="shared" si="45"/>
        <v>#REF!</v>
      </c>
      <c r="AL360" s="21" t="e">
        <f t="shared" si="46"/>
        <v>#DIV/0!</v>
      </c>
      <c r="AM360" s="18" t="e">
        <f t="shared" si="47"/>
        <v>#REF!</v>
      </c>
      <c r="AN360" s="18" t="e">
        <f t="shared" si="48"/>
        <v>#DIV/0!</v>
      </c>
    </row>
    <row r="361" spans="1:40" hidden="1" x14ac:dyDescent="0.3">
      <c r="A361" s="11">
        <v>46016</v>
      </c>
      <c r="B361" s="6"/>
      <c r="C361" s="6"/>
      <c r="D361" s="7">
        <v>1.3171576351607232E-2</v>
      </c>
      <c r="E361" s="6"/>
      <c r="F361" s="11">
        <v>46380</v>
      </c>
      <c r="G361" s="6">
        <v>3228114.1304459078</v>
      </c>
      <c r="H361" s="6">
        <f t="shared" si="43"/>
        <v>1155631.4463542157</v>
      </c>
      <c r="I361" s="6">
        <f t="shared" si="44"/>
        <v>268549.11910676362</v>
      </c>
      <c r="J361" s="6">
        <v>1583968</v>
      </c>
      <c r="K361" s="6"/>
      <c r="L361" s="6">
        <v>20177.586206896554</v>
      </c>
      <c r="M361" s="6"/>
      <c r="N361" s="6">
        <v>-301</v>
      </c>
      <c r="O361" s="6"/>
      <c r="P361" s="6">
        <v>875</v>
      </c>
      <c r="Q361" s="6"/>
      <c r="R361" s="6">
        <v>875</v>
      </c>
      <c r="S361" s="6"/>
      <c r="T361" s="6">
        <v>937342</v>
      </c>
      <c r="U361" s="6"/>
      <c r="V361" s="6">
        <v>208467</v>
      </c>
      <c r="W361" s="6"/>
      <c r="X361" s="6">
        <v>42593</v>
      </c>
      <c r="Y361" s="6"/>
      <c r="Z361" s="6">
        <v>48945</v>
      </c>
      <c r="AA361" s="6"/>
      <c r="AB361" s="6">
        <v>0</v>
      </c>
      <c r="AC361" s="6"/>
      <c r="AD361" s="6">
        <v>0</v>
      </c>
      <c r="AE361" s="6"/>
      <c r="AF361" s="8">
        <v>1683.0630007926025</v>
      </c>
      <c r="AG361" s="8">
        <v>6634.0593100152282</v>
      </c>
      <c r="AH361" s="9" t="e">
        <f>+SUM([1]!Tabla2[[#This Row],[Web + APP 2026]:[Shein]])</f>
        <v>#REF!</v>
      </c>
      <c r="AI361" s="7"/>
      <c r="AJ361" s="9"/>
      <c r="AK361" s="21" t="e">
        <f t="shared" si="45"/>
        <v>#REF!</v>
      </c>
      <c r="AL361" s="21" t="e">
        <f t="shared" si="46"/>
        <v>#DIV/0!</v>
      </c>
      <c r="AM361" s="18" t="e">
        <f t="shared" si="47"/>
        <v>#REF!</v>
      </c>
      <c r="AN361" s="18" t="e">
        <f t="shared" si="48"/>
        <v>#DIV/0!</v>
      </c>
    </row>
    <row r="362" spans="1:40" hidden="1" x14ac:dyDescent="0.3">
      <c r="A362" s="11">
        <v>46017</v>
      </c>
      <c r="B362" s="6"/>
      <c r="C362" s="6"/>
      <c r="D362" s="7">
        <v>1.1869070462296079E-2</v>
      </c>
      <c r="E362" s="6"/>
      <c r="F362" s="11">
        <v>46381</v>
      </c>
      <c r="G362" s="6">
        <v>2908893.5941916211</v>
      </c>
      <c r="H362" s="6">
        <f t="shared" si="43"/>
        <v>1041353.7984426306</v>
      </c>
      <c r="I362" s="6">
        <f t="shared" si="44"/>
        <v>241992.93479984885</v>
      </c>
      <c r="J362" s="6">
        <v>2721769</v>
      </c>
      <c r="K362" s="6"/>
      <c r="L362" s="6">
        <v>46586.20689655171</v>
      </c>
      <c r="M362" s="6"/>
      <c r="N362" s="6">
        <v>3089</v>
      </c>
      <c r="O362" s="6"/>
      <c r="P362" s="6">
        <v>3108</v>
      </c>
      <c r="Q362" s="6"/>
      <c r="R362" s="6">
        <v>141923</v>
      </c>
      <c r="S362" s="6"/>
      <c r="T362" s="6">
        <v>871637</v>
      </c>
      <c r="U362" s="6"/>
      <c r="V362" s="6">
        <v>261080</v>
      </c>
      <c r="W362" s="6"/>
      <c r="X362" s="6">
        <v>31394</v>
      </c>
      <c r="Y362" s="6"/>
      <c r="Z362" s="6">
        <v>47183</v>
      </c>
      <c r="AA362" s="6"/>
      <c r="AB362" s="6">
        <v>516.37931034482767</v>
      </c>
      <c r="AC362" s="6"/>
      <c r="AD362" s="6">
        <v>0</v>
      </c>
      <c r="AE362" s="6"/>
      <c r="AF362" s="8">
        <v>1516.6288996573526</v>
      </c>
      <c r="AG362" s="8">
        <v>5978.0329475912713</v>
      </c>
      <c r="AH362" s="9" t="e">
        <f>+SUM([1]!Tabla2[[#This Row],[Web + APP 2026]:[Shein]])</f>
        <v>#REF!</v>
      </c>
      <c r="AI362" s="7"/>
      <c r="AJ362" s="9"/>
      <c r="AK362" s="21" t="e">
        <f t="shared" si="45"/>
        <v>#REF!</v>
      </c>
      <c r="AL362" s="21" t="e">
        <f t="shared" si="46"/>
        <v>#DIV/0!</v>
      </c>
      <c r="AM362" s="18" t="e">
        <f t="shared" si="47"/>
        <v>#REF!</v>
      </c>
      <c r="AN362" s="18" t="e">
        <f t="shared" si="48"/>
        <v>#DIV/0!</v>
      </c>
    </row>
    <row r="363" spans="1:40" hidden="1" x14ac:dyDescent="0.3">
      <c r="A363" s="11">
        <v>46018</v>
      </c>
      <c r="B363" s="6"/>
      <c r="C363" s="6"/>
      <c r="D363" s="7">
        <v>2.3213294101949312E-2</v>
      </c>
      <c r="E363" s="6"/>
      <c r="F363" s="11">
        <v>46382</v>
      </c>
      <c r="G363" s="6">
        <v>5689156.7648662971</v>
      </c>
      <c r="H363" s="6">
        <f t="shared" si="43"/>
        <v>2036659.2366454364</v>
      </c>
      <c r="I363" s="6">
        <f t="shared" si="44"/>
        <v>473285.01283629891</v>
      </c>
      <c r="J363" s="6">
        <v>2337835</v>
      </c>
      <c r="K363" s="6"/>
      <c r="L363" s="6">
        <v>29682.758620689652</v>
      </c>
      <c r="M363" s="6"/>
      <c r="N363" s="6">
        <v>28710</v>
      </c>
      <c r="O363" s="6"/>
      <c r="P363" s="6">
        <v>1996</v>
      </c>
      <c r="Q363" s="6"/>
      <c r="R363" s="6">
        <v>81564</v>
      </c>
      <c r="S363" s="6"/>
      <c r="T363" s="6">
        <v>580797</v>
      </c>
      <c r="U363" s="6"/>
      <c r="V363" s="6">
        <v>266643</v>
      </c>
      <c r="W363" s="6"/>
      <c r="X363" s="6">
        <v>33335</v>
      </c>
      <c r="Y363" s="6"/>
      <c r="Z363" s="6">
        <v>43286</v>
      </c>
      <c r="AA363" s="6"/>
      <c r="AB363" s="6">
        <v>1377.5862068965519</v>
      </c>
      <c r="AC363" s="6"/>
      <c r="AD363" s="6">
        <v>0</v>
      </c>
      <c r="AE363" s="6"/>
      <c r="AF363" s="8">
        <v>2966.192913177068</v>
      </c>
      <c r="AG363" s="8">
        <v>11691.719027568568</v>
      </c>
      <c r="AH363" s="9" t="e">
        <f>+SUM([1]!Tabla2[[#This Row],[Web + APP 2026]:[Shein]])</f>
        <v>#REF!</v>
      </c>
      <c r="AI363" s="7"/>
      <c r="AJ363" s="9"/>
      <c r="AK363" s="21" t="e">
        <f t="shared" si="45"/>
        <v>#REF!</v>
      </c>
      <c r="AL363" s="21" t="e">
        <f t="shared" si="46"/>
        <v>#DIV/0!</v>
      </c>
      <c r="AM363" s="18" t="e">
        <f t="shared" si="47"/>
        <v>#REF!</v>
      </c>
      <c r="AN363" s="18" t="e">
        <f t="shared" si="48"/>
        <v>#DIV/0!</v>
      </c>
    </row>
    <row r="364" spans="1:40" hidden="1" x14ac:dyDescent="0.3">
      <c r="A364" s="11">
        <v>46019</v>
      </c>
      <c r="B364" s="6"/>
      <c r="C364" s="6"/>
      <c r="D364" s="7">
        <v>2.0477406324674031E-2</v>
      </c>
      <c r="E364" s="6"/>
      <c r="F364" s="11">
        <v>46383</v>
      </c>
      <c r="G364" s="6">
        <v>5018640.3621686883</v>
      </c>
      <c r="H364" s="6">
        <f t="shared" si="43"/>
        <v>1796621.3046078139</v>
      </c>
      <c r="I364" s="6">
        <f t="shared" si="44"/>
        <v>417504.27460502519</v>
      </c>
      <c r="J364" s="6">
        <v>2361733</v>
      </c>
      <c r="K364" s="6"/>
      <c r="L364" s="6">
        <v>46006.89655172413</v>
      </c>
      <c r="M364" s="6"/>
      <c r="N364" s="6">
        <v>-1939</v>
      </c>
      <c r="O364" s="6"/>
      <c r="P364" s="6">
        <v>5572</v>
      </c>
      <c r="Q364" s="6"/>
      <c r="R364" s="6">
        <v>66956</v>
      </c>
      <c r="S364" s="6"/>
      <c r="T364" s="6">
        <v>557576</v>
      </c>
      <c r="U364" s="6"/>
      <c r="V364" s="6">
        <v>290065</v>
      </c>
      <c r="W364" s="6"/>
      <c r="X364" s="6">
        <v>51047</v>
      </c>
      <c r="Y364" s="6"/>
      <c r="Z364" s="6">
        <v>62670</v>
      </c>
      <c r="AA364" s="6"/>
      <c r="AB364" s="6">
        <v>0</v>
      </c>
      <c r="AC364" s="6"/>
      <c r="AD364" s="6">
        <v>0</v>
      </c>
      <c r="AE364" s="6"/>
      <c r="AF364" s="8">
        <v>2616.601385987472</v>
      </c>
      <c r="AG364" s="8">
        <v>10313.748669618568</v>
      </c>
      <c r="AH364" s="9" t="e">
        <f>+SUM([1]!Tabla2[[#This Row],[Web + APP 2026]:[Shein]])</f>
        <v>#REF!</v>
      </c>
      <c r="AI364" s="7"/>
      <c r="AJ364" s="9"/>
      <c r="AK364" s="21" t="e">
        <f t="shared" si="45"/>
        <v>#REF!</v>
      </c>
      <c r="AL364" s="21" t="e">
        <f t="shared" si="46"/>
        <v>#DIV/0!</v>
      </c>
      <c r="AM364" s="18" t="e">
        <f t="shared" si="47"/>
        <v>#REF!</v>
      </c>
      <c r="AN364" s="18" t="e">
        <f t="shared" si="48"/>
        <v>#DIV/0!</v>
      </c>
    </row>
    <row r="365" spans="1:40" hidden="1" x14ac:dyDescent="0.3">
      <c r="A365" s="11">
        <v>46020</v>
      </c>
      <c r="B365" s="6"/>
      <c r="C365" s="6"/>
      <c r="D365" s="7">
        <v>2.1839518858251038E-2</v>
      </c>
      <c r="E365" s="6"/>
      <c r="F365" s="11">
        <v>46384</v>
      </c>
      <c r="G365" s="6">
        <v>5352469.4043061445</v>
      </c>
      <c r="H365" s="6">
        <f t="shared" si="43"/>
        <v>1916128.6464213643</v>
      </c>
      <c r="I365" s="6">
        <f t="shared" si="44"/>
        <v>445275.75094557361</v>
      </c>
      <c r="J365" s="6">
        <v>3160262</v>
      </c>
      <c r="K365" s="6"/>
      <c r="L365" s="6">
        <v>41125.862068965507</v>
      </c>
      <c r="M365" s="6"/>
      <c r="N365" s="6">
        <v>-878</v>
      </c>
      <c r="O365" s="6"/>
      <c r="P365" s="6">
        <v>808</v>
      </c>
      <c r="Q365" s="6"/>
      <c r="R365" s="6">
        <v>79809</v>
      </c>
      <c r="S365" s="6"/>
      <c r="T365" s="6">
        <v>1453361</v>
      </c>
      <c r="U365" s="6"/>
      <c r="V365" s="6">
        <v>198633</v>
      </c>
      <c r="W365" s="6"/>
      <c r="X365" s="6">
        <v>31565</v>
      </c>
      <c r="Y365" s="6"/>
      <c r="Z365" s="6">
        <v>46263</v>
      </c>
      <c r="AA365" s="6"/>
      <c r="AB365" s="6">
        <v>38725.965517241384</v>
      </c>
      <c r="AC365" s="6"/>
      <c r="AD365" s="6">
        <v>0</v>
      </c>
      <c r="AE365" s="6"/>
      <c r="AF365" s="8">
        <v>2790.6520194865971</v>
      </c>
      <c r="AG365" s="8">
        <v>10999.796800339258</v>
      </c>
      <c r="AH365" s="9" t="e">
        <f>+SUM([1]!Tabla2[[#This Row],[Web + APP 2026]:[Shein]])</f>
        <v>#REF!</v>
      </c>
      <c r="AI365" s="7"/>
      <c r="AJ365" s="9"/>
      <c r="AK365" s="21" t="e">
        <f t="shared" si="45"/>
        <v>#REF!</v>
      </c>
      <c r="AL365" s="21" t="e">
        <f t="shared" si="46"/>
        <v>#DIV/0!</v>
      </c>
      <c r="AM365" s="18" t="e">
        <f t="shared" si="47"/>
        <v>#REF!</v>
      </c>
      <c r="AN365" s="18" t="e">
        <f t="shared" si="48"/>
        <v>#DIV/0!</v>
      </c>
    </row>
    <row r="366" spans="1:40" hidden="1" x14ac:dyDescent="0.3">
      <c r="A366" s="11">
        <v>46021</v>
      </c>
      <c r="B366" s="6"/>
      <c r="C366" s="6"/>
      <c r="D366" s="7">
        <v>2.8277235376448891E-2</v>
      </c>
      <c r="E366" s="6"/>
      <c r="F366" s="11">
        <v>46385</v>
      </c>
      <c r="G366" s="6">
        <v>6930236.7956528664</v>
      </c>
      <c r="H366" s="6">
        <f t="shared" si="43"/>
        <v>2480953.0419642413</v>
      </c>
      <c r="I366" s="6">
        <f t="shared" si="44"/>
        <v>576531.34662149567</v>
      </c>
      <c r="J366" s="6">
        <v>2661283</v>
      </c>
      <c r="K366" s="6"/>
      <c r="L366" s="6">
        <v>34689.65517241379</v>
      </c>
      <c r="M366" s="6"/>
      <c r="N366" s="6">
        <v>41930</v>
      </c>
      <c r="O366" s="6"/>
      <c r="P366" s="6">
        <v>1066</v>
      </c>
      <c r="Q366" s="6"/>
      <c r="R366" s="6">
        <v>144544</v>
      </c>
      <c r="S366" s="6"/>
      <c r="T366" s="6">
        <v>638572</v>
      </c>
      <c r="U366" s="6"/>
      <c r="V366" s="6">
        <v>76225</v>
      </c>
      <c r="W366" s="6"/>
      <c r="X366" s="6">
        <v>34881</v>
      </c>
      <c r="Y366" s="6"/>
      <c r="Z366" s="6">
        <v>48503</v>
      </c>
      <c r="AA366" s="6"/>
      <c r="AB366" s="6">
        <v>23633.293103448275</v>
      </c>
      <c r="AC366" s="6"/>
      <c r="AD366" s="6">
        <v>0</v>
      </c>
      <c r="AE366" s="6"/>
      <c r="AF366" s="8">
        <v>3613.2629350015086</v>
      </c>
      <c r="AG366" s="8">
        <v>14242.247974194232</v>
      </c>
      <c r="AH366" s="9" t="e">
        <f>+SUM([1]!Tabla2[[#This Row],[Web + APP 2026]:[Shein]])</f>
        <v>#REF!</v>
      </c>
      <c r="AI366" s="7"/>
      <c r="AJ366" s="9"/>
      <c r="AK366" s="21" t="e">
        <f t="shared" si="45"/>
        <v>#REF!</v>
      </c>
      <c r="AL366" s="21" t="e">
        <f t="shared" si="46"/>
        <v>#DIV/0!</v>
      </c>
      <c r="AM366" s="18" t="e">
        <f t="shared" si="47"/>
        <v>#REF!</v>
      </c>
      <c r="AN366" s="18" t="e">
        <f t="shared" si="48"/>
        <v>#DIV/0!</v>
      </c>
    </row>
    <row r="367" spans="1:40" hidden="1" x14ac:dyDescent="0.3">
      <c r="A367" s="11">
        <v>46022</v>
      </c>
      <c r="B367" s="6"/>
      <c r="C367" s="6"/>
      <c r="D367" s="7">
        <v>2.3183888654788515E-2</v>
      </c>
      <c r="E367" s="6"/>
      <c r="F367" s="11">
        <v>46386</v>
      </c>
      <c r="G367" s="6">
        <v>5681950.0238538394</v>
      </c>
      <c r="H367" s="6">
        <f t="shared" si="43"/>
        <v>2034079.2979557915</v>
      </c>
      <c r="I367" s="6">
        <f t="shared" si="44"/>
        <v>472685.47890648124</v>
      </c>
      <c r="J367" s="6">
        <v>1199966</v>
      </c>
      <c r="K367" s="6"/>
      <c r="L367" s="6">
        <v>21188.793103448275</v>
      </c>
      <c r="M367" s="6"/>
      <c r="N367" s="6">
        <v>9722</v>
      </c>
      <c r="O367" s="6"/>
      <c r="P367" s="6">
        <v>473</v>
      </c>
      <c r="Q367" s="6"/>
      <c r="R367" s="6">
        <v>87359</v>
      </c>
      <c r="S367" s="6"/>
      <c r="T367" s="6">
        <v>353464</v>
      </c>
      <c r="U367" s="6"/>
      <c r="V367" s="6">
        <v>73566</v>
      </c>
      <c r="W367" s="6"/>
      <c r="X367" s="6">
        <v>22861</v>
      </c>
      <c r="Y367" s="6"/>
      <c r="Z367" s="6">
        <v>29946</v>
      </c>
      <c r="AA367" s="6"/>
      <c r="AB367" s="6">
        <v>2496.9396551724139</v>
      </c>
      <c r="AC367" s="6"/>
      <c r="AD367" s="6">
        <v>0</v>
      </c>
      <c r="AE367" s="6"/>
      <c r="AF367" s="8">
        <v>2962.4354874280943</v>
      </c>
      <c r="AG367" s="8">
        <v>11676.908539036687</v>
      </c>
      <c r="AH367" s="9" t="e">
        <f>+SUM([1]!Tabla2[[#This Row],[Web + APP 2026]:[Shein]])</f>
        <v>#REF!</v>
      </c>
      <c r="AI367" s="7"/>
      <c r="AJ367" s="9"/>
      <c r="AK367" s="21" t="e">
        <f t="shared" si="45"/>
        <v>#REF!</v>
      </c>
      <c r="AL367" s="21" t="e">
        <f t="shared" si="46"/>
        <v>#DIV/0!</v>
      </c>
      <c r="AM367" s="18" t="e">
        <f t="shared" si="47"/>
        <v>#REF!</v>
      </c>
      <c r="AN367" s="18" t="e">
        <f t="shared" si="48"/>
        <v>#DIV/0!</v>
      </c>
    </row>
    <row r="368" spans="1:40" hidden="1" x14ac:dyDescent="0.3">
      <c r="A368" s="11"/>
      <c r="B368" s="6"/>
      <c r="C368" s="6"/>
      <c r="D368" s="7">
        <v>1.1096701889398167E-2</v>
      </c>
      <c r="E368" s="6"/>
      <c r="F368" s="11">
        <v>46387</v>
      </c>
      <c r="G368" s="6">
        <v>2719600.0853869705</v>
      </c>
      <c r="H368" s="6">
        <f t="shared" si="43"/>
        <v>973588.68155837536</v>
      </c>
      <c r="I368" s="6">
        <f t="shared" si="44"/>
        <v>226245.47266315686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>
        <v>0</v>
      </c>
      <c r="AE368" s="6"/>
      <c r="AF368" s="8">
        <v>1417.935703541852</v>
      </c>
      <c r="AG368" s="8">
        <v>5589.0180882444374</v>
      </c>
      <c r="AH368" s="9" t="e">
        <f>+SUM([1]!Tabla2[[#This Row],[Web + APP 2026]:[Shein]])</f>
        <v>#REF!</v>
      </c>
      <c r="AI368" s="7"/>
      <c r="AJ368" s="9"/>
      <c r="AK368" s="21" t="e">
        <f t="shared" si="45"/>
        <v>#REF!</v>
      </c>
      <c r="AL368" s="21" t="e">
        <f t="shared" si="46"/>
        <v>#DIV/0!</v>
      </c>
      <c r="AM368" s="18" t="e">
        <f t="shared" si="47"/>
        <v>#REF!</v>
      </c>
      <c r="AN368" s="18" t="e">
        <f t="shared" si="48"/>
        <v>#DIV/0!</v>
      </c>
    </row>
  </sheetData>
  <phoneticPr fontId="3" type="noConversion"/>
  <conditionalFormatting sqref="AJ4:AJ36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CB6D-62D2-473C-9716-D9F9A3565DAA}">
  <dimension ref="A1"/>
  <sheetViews>
    <sheetView zoomScale="110" zoomScaleNormal="110" workbookViewId="0">
      <selection activeCell="C3" sqref="C3"/>
    </sheetView>
  </sheetViews>
  <sheetFormatPr baseColWidth="10" defaultColWidth="11.44140625" defaultRowHeight="14.4" x14ac:dyDescent="0.3"/>
  <cols>
    <col min="1" max="1" width="3.44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4696-D442-4E5F-A15A-D61450D4607F}">
  <dimension ref="A1"/>
  <sheetViews>
    <sheetView workbookViewId="0">
      <selection activeCell="B2" sqref="B2"/>
    </sheetView>
  </sheetViews>
  <sheetFormatPr baseColWidth="10" defaultColWidth="11.44140625" defaultRowHeight="14.4" x14ac:dyDescent="0.3"/>
  <cols>
    <col min="1" max="1" width="2.44140625" customWidth="1"/>
    <col min="14" max="14" width="2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Analisis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Lopez Diaz</dc:creator>
  <cp:keywords/>
  <dc:description/>
  <cp:lastModifiedBy>Juan Carlos Lopez Diaz</cp:lastModifiedBy>
  <cp:revision/>
  <dcterms:created xsi:type="dcterms:W3CDTF">2026-02-26T18:02:43Z</dcterms:created>
  <dcterms:modified xsi:type="dcterms:W3CDTF">2026-03-09T15:06:11Z</dcterms:modified>
  <cp:category/>
  <cp:contentStatus/>
</cp:coreProperties>
</file>